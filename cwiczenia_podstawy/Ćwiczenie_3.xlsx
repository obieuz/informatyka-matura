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cwiczenia_podstawy\"/>
    </mc:Choice>
  </mc:AlternateContent>
  <xr:revisionPtr revIDLastSave="0" documentId="13_ncr:1_{D88ED0B7-5F4D-4015-A6C3-69E1A20A9BBF}" xr6:coauthVersionLast="47" xr6:coauthVersionMax="47" xr10:uidLastSave="{00000000-0000-0000-0000-000000000000}"/>
  <bookViews>
    <workbookView xWindow="-120" yWindow="-120" windowWidth="29040" windowHeight="15840" xr2:uid="{17173F13-3CC2-A74A-8F57-9EF5EEB2BA0D}"/>
  </bookViews>
  <sheets>
    <sheet name="Arkusz1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  <c r="D12" i="1"/>
  <c r="D3" i="1"/>
  <c r="D4" i="1"/>
  <c r="D5" i="1"/>
  <c r="D6" i="1"/>
  <c r="D7" i="1"/>
  <c r="D8" i="1"/>
  <c r="D9" i="1"/>
  <c r="D10" i="1"/>
  <c r="D11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</calcChain>
</file>

<file path=xl/sharedStrings.xml><?xml version="1.0" encoding="utf-8"?>
<sst xmlns="http://schemas.openxmlformats.org/spreadsheetml/2006/main" count="20" uniqueCount="18">
  <si>
    <t>Rok </t>
  </si>
  <si>
    <t>Kwartał </t>
  </si>
  <si>
    <t>Produkcja klocków[szt]</t>
  </si>
  <si>
    <t>Kwartał</t>
  </si>
  <si>
    <t>Premia do produkcji kloców</t>
  </si>
  <si>
    <t>Mając premię policz ile łącznie fabryka wyprodukuje klocków</t>
  </si>
  <si>
    <t>Zrób w tym miejscu zestawienie prezentujące największą oraz najmniejszą liczbę wyprodukowanych kloców [RAZEM Z PREMIĄ] w każdym kwartale</t>
  </si>
  <si>
    <t>Zrób w tym miejscu zestawienie prezentujące łączną liczbę oraz średnią wyprodukowanych kloców w każdym kwartale</t>
  </si>
  <si>
    <t xml:space="preserve">Kwartał </t>
  </si>
  <si>
    <t>Ile procent to klocki zielone</t>
  </si>
  <si>
    <t>Podaj ile jest klocków zielonych TABELA NIEBIESKA (WYNIK PODAJ Z ZAOKRĄGLENIEM W DÓŁ DO NAJBLIŻSZEJ LICZBY CAŁKOWITEJ)</t>
  </si>
  <si>
    <t>Podaj premię do produkcji klocków na podstawie ZIELONA TABELA</t>
  </si>
  <si>
    <t>Etykiety wierszy</t>
  </si>
  <si>
    <t>Suma końcowa</t>
  </si>
  <si>
    <t>Suma z Mając premię policz ile łącznie fabryka wyprodukuje klocków</t>
  </si>
  <si>
    <t>Średnia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</si>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</sst>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9" fontId="0" fillId="4" borderId="0" xfId="0" applyNumberFormat="1" applyFill="1"/>
    <xf numFmtId="0" fontId="1" fillId="2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3.757362615739" createdVersion="8" refreshedVersion="8" minRefreshableVersion="3" recordCount="32" xr:uid="{5DE3E52C-EA6A-4B86-937C-35696A8E090E}">
  <cacheSource type="worksheet">
    <worksheetSource ref="A1:F33" sheet="Arkusz1"/>
  </cacheSource>
  <cacheFields count="6">
    <cacheField name="Rok " numFmtId="0">
      <sharedItems containsSemiMixedTypes="0" containsString="0" containsNumber="1" containsInteger="1" minValue="2005" maxValue="2012"/>
    </cacheField>
    <cacheField name="Kwartał 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rodukcja klocków[szt]" numFmtId="0">
      <sharedItems containsSemiMixedTypes="0" containsString="0" containsNumber="1" containsInteger="1" minValue="237" maxValue="333"/>
    </cacheField>
    <cacheField name="Podaj premię do produkcji klocków na podstawie ZIELONA TABELA" numFmtId="0">
      <sharedItems containsSemiMixedTypes="0" containsString="0" containsNumber="1" containsInteger="1" minValue="20" maxValue="110"/>
    </cacheField>
    <cacheField name="Mając premię policz ile łącznie fabryka wyprodukuje klocków" numFmtId="0">
      <sharedItems containsSemiMixedTypes="0" containsString="0" containsNumber="1" containsInteger="1" minValue="257" maxValue="443"/>
    </cacheField>
    <cacheField name="Podaj ile jest klocków zielonych TABELA NIEBIESKA (WYNIK PODAJ Z ZAOKRĄGLENIEM W DÓŁ DO NAJBLIŻSZEJ LICZBY CAŁKOWITEJ)" numFmtId="0">
      <sharedItems containsSemiMixedTypes="0" containsString="0" containsNumber="1" containsInteger="1" minValue="27" maxValue="2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05"/>
    <x v="0"/>
    <n v="237"/>
    <n v="20"/>
    <n v="257"/>
    <n v="51"/>
  </r>
  <r>
    <n v="2005"/>
    <x v="1"/>
    <n v="241"/>
    <n v="50"/>
    <n v="291"/>
    <n v="174"/>
  </r>
  <r>
    <n v="2005"/>
    <x v="2"/>
    <n v="245"/>
    <n v="110"/>
    <n v="355"/>
    <n v="106"/>
  </r>
  <r>
    <n v="2005"/>
    <x v="3"/>
    <n v="249"/>
    <n v="25"/>
    <n v="274"/>
    <n v="27"/>
  </r>
  <r>
    <n v="2006"/>
    <x v="0"/>
    <n v="253"/>
    <n v="20"/>
    <n v="273"/>
    <n v="54"/>
  </r>
  <r>
    <n v="2006"/>
    <x v="1"/>
    <n v="258"/>
    <n v="50"/>
    <n v="308"/>
    <n v="184"/>
  </r>
  <r>
    <n v="2006"/>
    <x v="2"/>
    <n v="263"/>
    <n v="110"/>
    <n v="373"/>
    <n v="111"/>
  </r>
  <r>
    <n v="2006"/>
    <x v="3"/>
    <n v="268"/>
    <n v="25"/>
    <n v="293"/>
    <n v="29"/>
  </r>
  <r>
    <n v="2007"/>
    <x v="0"/>
    <n v="273"/>
    <n v="20"/>
    <n v="293"/>
    <n v="58"/>
  </r>
  <r>
    <n v="2007"/>
    <x v="1"/>
    <n v="278"/>
    <n v="50"/>
    <n v="328"/>
    <n v="196"/>
  </r>
  <r>
    <n v="2007"/>
    <x v="2"/>
    <n v="283"/>
    <n v="110"/>
    <n v="393"/>
    <n v="117"/>
  </r>
  <r>
    <n v="2007"/>
    <x v="3"/>
    <n v="288"/>
    <n v="25"/>
    <n v="313"/>
    <n v="31"/>
  </r>
  <r>
    <n v="2008"/>
    <x v="0"/>
    <n v="293"/>
    <n v="20"/>
    <n v="313"/>
    <n v="62"/>
  </r>
  <r>
    <n v="2008"/>
    <x v="1"/>
    <n v="298"/>
    <n v="50"/>
    <n v="348"/>
    <n v="208"/>
  </r>
  <r>
    <n v="2008"/>
    <x v="2"/>
    <n v="303"/>
    <n v="110"/>
    <n v="413"/>
    <n v="123"/>
  </r>
  <r>
    <n v="2008"/>
    <x v="3"/>
    <n v="309"/>
    <n v="25"/>
    <n v="334"/>
    <n v="33"/>
  </r>
  <r>
    <n v="2009"/>
    <x v="0"/>
    <n v="315"/>
    <n v="20"/>
    <n v="335"/>
    <n v="67"/>
  </r>
  <r>
    <n v="2009"/>
    <x v="1"/>
    <n v="321"/>
    <n v="50"/>
    <n v="371"/>
    <n v="222"/>
  </r>
  <r>
    <n v="2009"/>
    <x v="2"/>
    <n v="327"/>
    <n v="110"/>
    <n v="437"/>
    <n v="131"/>
  </r>
  <r>
    <n v="2009"/>
    <x v="3"/>
    <n v="333"/>
    <n v="25"/>
    <n v="358"/>
    <n v="35"/>
  </r>
  <r>
    <n v="2010"/>
    <x v="0"/>
    <n v="333"/>
    <n v="20"/>
    <n v="353"/>
    <n v="70"/>
  </r>
  <r>
    <n v="2010"/>
    <x v="1"/>
    <n v="333"/>
    <n v="50"/>
    <n v="383"/>
    <n v="229"/>
  </r>
  <r>
    <n v="2010"/>
    <x v="2"/>
    <n v="333"/>
    <n v="110"/>
    <n v="443"/>
    <n v="132"/>
  </r>
  <r>
    <n v="2010"/>
    <x v="3"/>
    <n v="333"/>
    <n v="25"/>
    <n v="358"/>
    <n v="35"/>
  </r>
  <r>
    <n v="2011"/>
    <x v="0"/>
    <n v="329"/>
    <n v="20"/>
    <n v="349"/>
    <n v="69"/>
  </r>
  <r>
    <n v="2011"/>
    <x v="1"/>
    <n v="325"/>
    <n v="50"/>
    <n v="375"/>
    <n v="225"/>
  </r>
  <r>
    <n v="2011"/>
    <x v="2"/>
    <n v="321"/>
    <n v="110"/>
    <n v="431"/>
    <n v="129"/>
  </r>
  <r>
    <n v="2011"/>
    <x v="3"/>
    <n v="317"/>
    <n v="25"/>
    <n v="342"/>
    <n v="34"/>
  </r>
  <r>
    <n v="2012"/>
    <x v="0"/>
    <n v="313"/>
    <n v="20"/>
    <n v="333"/>
    <n v="66"/>
  </r>
  <r>
    <n v="2012"/>
    <x v="1"/>
    <n v="309"/>
    <n v="50"/>
    <n v="359"/>
    <n v="215"/>
  </r>
  <r>
    <n v="2012"/>
    <x v="2"/>
    <n v="305"/>
    <n v="110"/>
    <n v="415"/>
    <n v="124"/>
  </r>
  <r>
    <n v="2012"/>
    <x v="3"/>
    <n v="301"/>
    <n v="25"/>
    <n v="326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66619-8400-4D5F-9375-5B86213F58B5}" name="Tabela przestawna2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M11:O16" firstHeaderRow="0" firstDataRow="1" firstDataCol="1"/>
  <pivotFields count="6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ksimum" fld="4" subtotal="max" baseField="1" baseItem="0"/>
    <dataField name="Minimum" fld="4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8F161-4AE4-4D65-B0A5-C52D6929E9C3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11:K16" firstHeaderRow="0" firstDataRow="1" firstDataCol="1"/>
  <pivotFields count="6"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1"/>
  </rowFields>
  <rowItems count="5">
    <i>
      <x v="2"/>
    </i>
    <i>
      <x v="1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Mając premię policz ile łącznie fabryka wyprodukuje klocków" fld="4" baseField="0" baseItem="0"/>
    <dataField name="Średnia" fld="4" subtotal="average" baseField="1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2BAE-F309-4C41-9E2C-3181233F24E5}">
  <dimension ref="A1:O33"/>
  <sheetViews>
    <sheetView tabSelected="1" topLeftCell="I1" workbookViewId="0">
      <selection activeCell="P16" sqref="P16"/>
    </sheetView>
  </sheetViews>
  <sheetFormatPr defaultColWidth="11" defaultRowHeight="15.75" x14ac:dyDescent="0.25"/>
  <cols>
    <col min="1" max="1" width="5.125" bestFit="1" customWidth="1"/>
    <col min="2" max="2" width="7.5" bestFit="1" customWidth="1"/>
    <col min="3" max="3" width="22" bestFit="1" customWidth="1"/>
    <col min="4" max="4" width="55" bestFit="1" customWidth="1"/>
    <col min="5" max="5" width="50.375" bestFit="1" customWidth="1"/>
    <col min="6" max="6" width="109.25" bestFit="1" customWidth="1"/>
    <col min="8" max="8" width="23.375" bestFit="1" customWidth="1"/>
    <col min="9" max="9" width="16" bestFit="1" customWidth="1"/>
    <col min="10" max="10" width="58.125" bestFit="1" customWidth="1"/>
    <col min="11" max="11" width="9.875" bestFit="1" customWidth="1"/>
    <col min="13" max="13" width="16" bestFit="1" customWidth="1"/>
    <col min="14" max="14" width="10" bestFit="1" customWidth="1"/>
    <col min="15" max="15" width="8.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6" t="s">
        <v>11</v>
      </c>
      <c r="E1" s="6" t="s">
        <v>5</v>
      </c>
      <c r="F1" s="6" t="s">
        <v>10</v>
      </c>
    </row>
    <row r="2" spans="1:15" x14ac:dyDescent="0.25">
      <c r="A2" s="1">
        <v>2005</v>
      </c>
      <c r="B2" s="1">
        <v>1</v>
      </c>
      <c r="C2" s="1">
        <v>237</v>
      </c>
      <c r="D2">
        <f>VLOOKUP(B2,$J$4:$K$7,2,FALSE)</f>
        <v>20</v>
      </c>
      <c r="E2">
        <f>SUM(C2:D2)</f>
        <v>257</v>
      </c>
      <c r="F2">
        <f>ROUNDDOWN(VLOOKUP(B2,$G$4:$H$7,2,FALSE)*E2,0)</f>
        <v>51</v>
      </c>
    </row>
    <row r="3" spans="1:15" x14ac:dyDescent="0.25">
      <c r="A3" s="1">
        <v>2005</v>
      </c>
      <c r="B3" s="1">
        <v>2</v>
      </c>
      <c r="C3" s="1">
        <v>241</v>
      </c>
      <c r="D3">
        <f t="shared" ref="D3:D33" si="0">VLOOKUP(B3,$J$4:$K$7,2,FALSE)</f>
        <v>50</v>
      </c>
      <c r="E3">
        <f t="shared" ref="E3:E33" si="1">SUM(C3:D3)</f>
        <v>291</v>
      </c>
      <c r="F3">
        <f t="shared" ref="F3:F33" si="2">ROUNDDOWN(VLOOKUP(B3,$G$4:$H$7,2,FALSE)*E3,0)</f>
        <v>174</v>
      </c>
      <c r="G3" s="4" t="s">
        <v>8</v>
      </c>
      <c r="H3" s="4" t="s">
        <v>9</v>
      </c>
      <c r="J3" s="3" t="s">
        <v>3</v>
      </c>
      <c r="K3" s="3" t="s">
        <v>4</v>
      </c>
    </row>
    <row r="4" spans="1:15" x14ac:dyDescent="0.25">
      <c r="A4" s="1">
        <v>2005</v>
      </c>
      <c r="B4" s="1">
        <v>3</v>
      </c>
      <c r="C4" s="1">
        <v>245</v>
      </c>
      <c r="D4">
        <f t="shared" si="0"/>
        <v>110</v>
      </c>
      <c r="E4">
        <f t="shared" si="1"/>
        <v>355</v>
      </c>
      <c r="F4">
        <f t="shared" si="2"/>
        <v>106</v>
      </c>
      <c r="G4" s="4">
        <v>1</v>
      </c>
      <c r="H4" s="5">
        <v>0.2</v>
      </c>
      <c r="J4" s="3">
        <v>1</v>
      </c>
      <c r="K4" s="3">
        <v>20</v>
      </c>
    </row>
    <row r="5" spans="1:15" x14ac:dyDescent="0.25">
      <c r="A5" s="1">
        <v>2005</v>
      </c>
      <c r="B5" s="1">
        <v>4</v>
      </c>
      <c r="C5" s="1">
        <v>249</v>
      </c>
      <c r="D5">
        <f t="shared" si="0"/>
        <v>25</v>
      </c>
      <c r="E5">
        <f t="shared" si="1"/>
        <v>274</v>
      </c>
      <c r="F5">
        <f t="shared" si="2"/>
        <v>27</v>
      </c>
      <c r="G5" s="4">
        <v>2</v>
      </c>
      <c r="H5" s="5">
        <v>0.6</v>
      </c>
      <c r="J5" s="3">
        <v>2</v>
      </c>
      <c r="K5" s="3">
        <v>50</v>
      </c>
    </row>
    <row r="6" spans="1:15" x14ac:dyDescent="0.25">
      <c r="A6" s="1">
        <v>2006</v>
      </c>
      <c r="B6" s="1">
        <v>1</v>
      </c>
      <c r="C6" s="1">
        <v>253</v>
      </c>
      <c r="D6">
        <f t="shared" si="0"/>
        <v>20</v>
      </c>
      <c r="E6">
        <f t="shared" si="1"/>
        <v>273</v>
      </c>
      <c r="F6">
        <f t="shared" si="2"/>
        <v>54</v>
      </c>
      <c r="G6" s="4">
        <v>3</v>
      </c>
      <c r="H6" s="5">
        <v>0.3</v>
      </c>
      <c r="J6" s="3">
        <v>3</v>
      </c>
      <c r="K6" s="3">
        <v>110</v>
      </c>
    </row>
    <row r="7" spans="1:15" x14ac:dyDescent="0.25">
      <c r="A7" s="1">
        <v>2006</v>
      </c>
      <c r="B7" s="1">
        <v>2</v>
      </c>
      <c r="C7" s="1">
        <v>258</v>
      </c>
      <c r="D7">
        <f t="shared" si="0"/>
        <v>50</v>
      </c>
      <c r="E7">
        <f t="shared" si="1"/>
        <v>308</v>
      </c>
      <c r="F7">
        <f t="shared" si="2"/>
        <v>184</v>
      </c>
      <c r="G7" s="4">
        <v>4</v>
      </c>
      <c r="H7" s="5">
        <v>0.1</v>
      </c>
      <c r="J7" s="3">
        <v>4</v>
      </c>
      <c r="K7" s="3">
        <v>25</v>
      </c>
    </row>
    <row r="8" spans="1:15" x14ac:dyDescent="0.25">
      <c r="A8" s="1">
        <v>2006</v>
      </c>
      <c r="B8" s="1">
        <v>3</v>
      </c>
      <c r="C8" s="1">
        <v>263</v>
      </c>
      <c r="D8">
        <f t="shared" si="0"/>
        <v>110</v>
      </c>
      <c r="E8">
        <f t="shared" si="1"/>
        <v>373</v>
      </c>
      <c r="F8">
        <f t="shared" si="2"/>
        <v>111</v>
      </c>
    </row>
    <row r="9" spans="1:15" x14ac:dyDescent="0.25">
      <c r="A9" s="1">
        <v>2006</v>
      </c>
      <c r="B9" s="1">
        <v>4</v>
      </c>
      <c r="C9" s="1">
        <v>268</v>
      </c>
      <c r="D9">
        <f t="shared" si="0"/>
        <v>25</v>
      </c>
      <c r="E9">
        <f t="shared" si="1"/>
        <v>293</v>
      </c>
      <c r="F9">
        <f t="shared" si="2"/>
        <v>29</v>
      </c>
    </row>
    <row r="10" spans="1:15" x14ac:dyDescent="0.25">
      <c r="A10" s="1">
        <v>2007</v>
      </c>
      <c r="B10" s="1">
        <v>1</v>
      </c>
      <c r="C10" s="1">
        <v>273</v>
      </c>
      <c r="D10">
        <f t="shared" si="0"/>
        <v>20</v>
      </c>
      <c r="E10">
        <f t="shared" si="1"/>
        <v>293</v>
      </c>
      <c r="F10">
        <f t="shared" si="2"/>
        <v>58</v>
      </c>
      <c r="I10" s="2" t="s">
        <v>7</v>
      </c>
      <c r="M10" s="2" t="s">
        <v>6</v>
      </c>
    </row>
    <row r="11" spans="1:15" x14ac:dyDescent="0.25">
      <c r="A11" s="1">
        <v>2007</v>
      </c>
      <c r="B11" s="1">
        <v>2</v>
      </c>
      <c r="C11" s="1">
        <v>278</v>
      </c>
      <c r="D11">
        <f t="shared" si="0"/>
        <v>50</v>
      </c>
      <c r="E11">
        <f t="shared" si="1"/>
        <v>328</v>
      </c>
      <c r="F11">
        <f t="shared" si="2"/>
        <v>196</v>
      </c>
      <c r="I11" s="8" t="s">
        <v>12</v>
      </c>
      <c r="J11" t="s">
        <v>14</v>
      </c>
      <c r="K11" t="s">
        <v>15</v>
      </c>
      <c r="M11" s="8" t="s">
        <v>12</v>
      </c>
      <c r="N11" t="s">
        <v>16</v>
      </c>
      <c r="O11" t="s">
        <v>17</v>
      </c>
    </row>
    <row r="12" spans="1:15" x14ac:dyDescent="0.25">
      <c r="A12" s="1">
        <v>2007</v>
      </c>
      <c r="B12" s="1">
        <v>3</v>
      </c>
      <c r="C12" s="1">
        <v>283</v>
      </c>
      <c r="D12">
        <f>VLOOKUP(B12,$J$4:$K$7,2,FALSE)</f>
        <v>110</v>
      </c>
      <c r="E12">
        <f t="shared" si="1"/>
        <v>393</v>
      </c>
      <c r="F12">
        <f t="shared" si="2"/>
        <v>117</v>
      </c>
      <c r="I12" s="9">
        <v>3</v>
      </c>
      <c r="J12" s="7">
        <v>3260</v>
      </c>
      <c r="K12" s="7">
        <v>407.5</v>
      </c>
      <c r="M12" s="9">
        <v>1</v>
      </c>
      <c r="N12" s="7">
        <v>353</v>
      </c>
      <c r="O12" s="7">
        <v>257</v>
      </c>
    </row>
    <row r="13" spans="1:15" x14ac:dyDescent="0.25">
      <c r="A13" s="1">
        <v>2007</v>
      </c>
      <c r="B13" s="1">
        <v>4</v>
      </c>
      <c r="C13" s="1">
        <v>288</v>
      </c>
      <c r="D13">
        <f t="shared" si="0"/>
        <v>25</v>
      </c>
      <c r="E13">
        <f t="shared" si="1"/>
        <v>313</v>
      </c>
      <c r="F13">
        <f t="shared" si="2"/>
        <v>31</v>
      </c>
      <c r="I13" s="9">
        <v>2</v>
      </c>
      <c r="J13" s="7">
        <v>2763</v>
      </c>
      <c r="K13" s="7">
        <v>345.375</v>
      </c>
      <c r="M13" s="9">
        <v>2</v>
      </c>
      <c r="N13" s="7">
        <v>383</v>
      </c>
      <c r="O13" s="7">
        <v>291</v>
      </c>
    </row>
    <row r="14" spans="1:15" x14ac:dyDescent="0.25">
      <c r="A14" s="1">
        <v>2008</v>
      </c>
      <c r="B14" s="1">
        <v>1</v>
      </c>
      <c r="C14" s="1">
        <v>293</v>
      </c>
      <c r="D14">
        <f t="shared" si="0"/>
        <v>20</v>
      </c>
      <c r="E14">
        <f t="shared" si="1"/>
        <v>313</v>
      </c>
      <c r="F14">
        <f t="shared" si="2"/>
        <v>62</v>
      </c>
      <c r="I14" s="9">
        <v>4</v>
      </c>
      <c r="J14" s="7">
        <v>2598</v>
      </c>
      <c r="K14" s="7">
        <v>324.75</v>
      </c>
      <c r="M14" s="9">
        <v>3</v>
      </c>
      <c r="N14" s="7">
        <v>443</v>
      </c>
      <c r="O14" s="7">
        <v>355</v>
      </c>
    </row>
    <row r="15" spans="1:15" x14ac:dyDescent="0.25">
      <c r="A15" s="1">
        <v>2008</v>
      </c>
      <c r="B15" s="1">
        <v>2</v>
      </c>
      <c r="C15" s="1">
        <v>298</v>
      </c>
      <c r="D15">
        <f t="shared" si="0"/>
        <v>50</v>
      </c>
      <c r="E15">
        <f t="shared" si="1"/>
        <v>348</v>
      </c>
      <c r="F15">
        <f t="shared" si="2"/>
        <v>208</v>
      </c>
      <c r="I15" s="9">
        <v>1</v>
      </c>
      <c r="J15" s="7">
        <v>2506</v>
      </c>
      <c r="K15" s="7">
        <v>313.25</v>
      </c>
      <c r="M15" s="9">
        <v>4</v>
      </c>
      <c r="N15" s="7">
        <v>358</v>
      </c>
      <c r="O15" s="7">
        <v>274</v>
      </c>
    </row>
    <row r="16" spans="1:15" x14ac:dyDescent="0.25">
      <c r="A16" s="1">
        <v>2008</v>
      </c>
      <c r="B16" s="1">
        <v>3</v>
      </c>
      <c r="C16" s="1">
        <v>303</v>
      </c>
      <c r="D16">
        <f t="shared" si="0"/>
        <v>110</v>
      </c>
      <c r="E16">
        <f t="shared" si="1"/>
        <v>413</v>
      </c>
      <c r="F16">
        <f t="shared" si="2"/>
        <v>123</v>
      </c>
      <c r="I16" s="9" t="s">
        <v>13</v>
      </c>
      <c r="J16" s="7">
        <v>11127</v>
      </c>
      <c r="K16" s="7">
        <v>347.71875</v>
      </c>
      <c r="M16" s="9" t="s">
        <v>13</v>
      </c>
      <c r="N16" s="7">
        <v>443</v>
      </c>
      <c r="O16" s="7">
        <v>257</v>
      </c>
    </row>
    <row r="17" spans="1:6" x14ac:dyDescent="0.25">
      <c r="A17" s="1">
        <v>2008</v>
      </c>
      <c r="B17" s="1">
        <v>4</v>
      </c>
      <c r="C17" s="1">
        <v>309</v>
      </c>
      <c r="D17">
        <f t="shared" si="0"/>
        <v>25</v>
      </c>
      <c r="E17">
        <f t="shared" si="1"/>
        <v>334</v>
      </c>
      <c r="F17">
        <f t="shared" si="2"/>
        <v>33</v>
      </c>
    </row>
    <row r="18" spans="1:6" x14ac:dyDescent="0.25">
      <c r="A18" s="1">
        <v>2009</v>
      </c>
      <c r="B18" s="1">
        <v>1</v>
      </c>
      <c r="C18" s="1">
        <v>315</v>
      </c>
      <c r="D18">
        <f t="shared" si="0"/>
        <v>20</v>
      </c>
      <c r="E18">
        <f t="shared" si="1"/>
        <v>335</v>
      </c>
      <c r="F18">
        <f t="shared" si="2"/>
        <v>67</v>
      </c>
    </row>
    <row r="19" spans="1:6" x14ac:dyDescent="0.25">
      <c r="A19" s="1">
        <v>2009</v>
      </c>
      <c r="B19" s="1">
        <v>2</v>
      </c>
      <c r="C19" s="1">
        <v>321</v>
      </c>
      <c r="D19">
        <f t="shared" si="0"/>
        <v>50</v>
      </c>
      <c r="E19">
        <f t="shared" si="1"/>
        <v>371</v>
      </c>
      <c r="F19">
        <f t="shared" si="2"/>
        <v>222</v>
      </c>
    </row>
    <row r="20" spans="1:6" x14ac:dyDescent="0.25">
      <c r="A20" s="1">
        <v>2009</v>
      </c>
      <c r="B20" s="1">
        <v>3</v>
      </c>
      <c r="C20" s="1">
        <v>327</v>
      </c>
      <c r="D20">
        <f t="shared" si="0"/>
        <v>110</v>
      </c>
      <c r="E20">
        <f t="shared" si="1"/>
        <v>437</v>
      </c>
      <c r="F20">
        <f t="shared" si="2"/>
        <v>131</v>
      </c>
    </row>
    <row r="21" spans="1:6" x14ac:dyDescent="0.25">
      <c r="A21" s="1">
        <v>2009</v>
      </c>
      <c r="B21" s="1">
        <v>4</v>
      </c>
      <c r="C21" s="1">
        <v>333</v>
      </c>
      <c r="D21">
        <f t="shared" si="0"/>
        <v>25</v>
      </c>
      <c r="E21">
        <f t="shared" si="1"/>
        <v>358</v>
      </c>
      <c r="F21">
        <f t="shared" si="2"/>
        <v>35</v>
      </c>
    </row>
    <row r="22" spans="1:6" x14ac:dyDescent="0.25">
      <c r="A22" s="1">
        <v>2010</v>
      </c>
      <c r="B22" s="1">
        <v>1</v>
      </c>
      <c r="C22" s="1">
        <v>333</v>
      </c>
      <c r="D22">
        <f t="shared" si="0"/>
        <v>20</v>
      </c>
      <c r="E22">
        <f t="shared" si="1"/>
        <v>353</v>
      </c>
      <c r="F22">
        <f t="shared" si="2"/>
        <v>70</v>
      </c>
    </row>
    <row r="23" spans="1:6" x14ac:dyDescent="0.25">
      <c r="A23" s="1">
        <v>2010</v>
      </c>
      <c r="B23" s="1">
        <v>2</v>
      </c>
      <c r="C23" s="1">
        <v>333</v>
      </c>
      <c r="D23">
        <f t="shared" si="0"/>
        <v>50</v>
      </c>
      <c r="E23">
        <f t="shared" si="1"/>
        <v>383</v>
      </c>
      <c r="F23">
        <f t="shared" si="2"/>
        <v>229</v>
      </c>
    </row>
    <row r="24" spans="1:6" x14ac:dyDescent="0.25">
      <c r="A24" s="1">
        <v>2010</v>
      </c>
      <c r="B24" s="1">
        <v>3</v>
      </c>
      <c r="C24" s="1">
        <v>333</v>
      </c>
      <c r="D24">
        <f t="shared" si="0"/>
        <v>110</v>
      </c>
      <c r="E24">
        <f t="shared" si="1"/>
        <v>443</v>
      </c>
      <c r="F24">
        <f t="shared" si="2"/>
        <v>132</v>
      </c>
    </row>
    <row r="25" spans="1:6" x14ac:dyDescent="0.25">
      <c r="A25" s="1">
        <v>2010</v>
      </c>
      <c r="B25" s="1">
        <v>4</v>
      </c>
      <c r="C25" s="1">
        <v>333</v>
      </c>
      <c r="D25">
        <f t="shared" si="0"/>
        <v>25</v>
      </c>
      <c r="E25">
        <f t="shared" si="1"/>
        <v>358</v>
      </c>
      <c r="F25">
        <f t="shared" si="2"/>
        <v>35</v>
      </c>
    </row>
    <row r="26" spans="1:6" x14ac:dyDescent="0.25">
      <c r="A26" s="1">
        <v>2011</v>
      </c>
      <c r="B26" s="1">
        <v>1</v>
      </c>
      <c r="C26" s="1">
        <v>329</v>
      </c>
      <c r="D26">
        <f t="shared" si="0"/>
        <v>20</v>
      </c>
      <c r="E26">
        <f t="shared" si="1"/>
        <v>349</v>
      </c>
      <c r="F26">
        <f t="shared" si="2"/>
        <v>69</v>
      </c>
    </row>
    <row r="27" spans="1:6" x14ac:dyDescent="0.25">
      <c r="A27" s="1">
        <v>2011</v>
      </c>
      <c r="B27" s="1">
        <v>2</v>
      </c>
      <c r="C27" s="1">
        <v>325</v>
      </c>
      <c r="D27">
        <f t="shared" si="0"/>
        <v>50</v>
      </c>
      <c r="E27">
        <f t="shared" si="1"/>
        <v>375</v>
      </c>
      <c r="F27">
        <f t="shared" si="2"/>
        <v>225</v>
      </c>
    </row>
    <row r="28" spans="1:6" x14ac:dyDescent="0.25">
      <c r="A28" s="1">
        <v>2011</v>
      </c>
      <c r="B28" s="1">
        <v>3</v>
      </c>
      <c r="C28" s="1">
        <v>321</v>
      </c>
      <c r="D28">
        <f t="shared" si="0"/>
        <v>110</v>
      </c>
      <c r="E28">
        <f t="shared" si="1"/>
        <v>431</v>
      </c>
      <c r="F28">
        <f t="shared" si="2"/>
        <v>129</v>
      </c>
    </row>
    <row r="29" spans="1:6" x14ac:dyDescent="0.25">
      <c r="A29" s="1">
        <v>2011</v>
      </c>
      <c r="B29" s="1">
        <v>4</v>
      </c>
      <c r="C29" s="1">
        <v>317</v>
      </c>
      <c r="D29">
        <f t="shared" si="0"/>
        <v>25</v>
      </c>
      <c r="E29">
        <f t="shared" si="1"/>
        <v>342</v>
      </c>
      <c r="F29">
        <f t="shared" si="2"/>
        <v>34</v>
      </c>
    </row>
    <row r="30" spans="1:6" x14ac:dyDescent="0.25">
      <c r="A30" s="1">
        <v>2012</v>
      </c>
      <c r="B30" s="1">
        <v>1</v>
      </c>
      <c r="C30" s="1">
        <v>313</v>
      </c>
      <c r="D30">
        <f t="shared" si="0"/>
        <v>20</v>
      </c>
      <c r="E30">
        <f t="shared" si="1"/>
        <v>333</v>
      </c>
      <c r="F30">
        <f t="shared" si="2"/>
        <v>66</v>
      </c>
    </row>
    <row r="31" spans="1:6" x14ac:dyDescent="0.25">
      <c r="A31" s="1">
        <v>2012</v>
      </c>
      <c r="B31" s="1">
        <v>2</v>
      </c>
      <c r="C31" s="1">
        <v>309</v>
      </c>
      <c r="D31">
        <f t="shared" si="0"/>
        <v>50</v>
      </c>
      <c r="E31">
        <f t="shared" si="1"/>
        <v>359</v>
      </c>
      <c r="F31">
        <f t="shared" si="2"/>
        <v>215</v>
      </c>
    </row>
    <row r="32" spans="1:6" x14ac:dyDescent="0.25">
      <c r="A32" s="1">
        <v>2012</v>
      </c>
      <c r="B32" s="1">
        <v>3</v>
      </c>
      <c r="C32" s="1">
        <v>305</v>
      </c>
      <c r="D32">
        <f t="shared" si="0"/>
        <v>110</v>
      </c>
      <c r="E32">
        <f t="shared" si="1"/>
        <v>415</v>
      </c>
      <c r="F32">
        <f t="shared" si="2"/>
        <v>124</v>
      </c>
    </row>
    <row r="33" spans="1:6" x14ac:dyDescent="0.25">
      <c r="A33" s="1">
        <v>2012</v>
      </c>
      <c r="B33" s="1">
        <v>4</v>
      </c>
      <c r="C33" s="1">
        <v>301</v>
      </c>
      <c r="D33">
        <f t="shared" si="0"/>
        <v>25</v>
      </c>
      <c r="E33">
        <f t="shared" si="1"/>
        <v>326</v>
      </c>
      <c r="F33">
        <f t="shared" si="2"/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Domanowski Bartłomiej (STUD)</dc:creator>
  <cp:lastModifiedBy>Robert Zając</cp:lastModifiedBy>
  <dcterms:created xsi:type="dcterms:W3CDTF">2025-09-11T15:22:23Z</dcterms:created>
  <dcterms:modified xsi:type="dcterms:W3CDTF">2025-10-23T16:15:18Z</dcterms:modified>
</cp:coreProperties>
</file>