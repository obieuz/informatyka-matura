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20PRczerwiec\6\"/>
    </mc:Choice>
  </mc:AlternateContent>
  <xr:revisionPtr revIDLastSave="0" documentId="13_ncr:1_{42D62290-26CB-4368-9D0E-3160F09AB08E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6.1" sheetId="3" r:id="rId1"/>
    <sheet name="6.2" sheetId="4" r:id="rId2"/>
    <sheet name="6.3" sheetId="5" r:id="rId3"/>
    <sheet name="6.5" sheetId="7" r:id="rId4"/>
    <sheet name="6.4" sheetId="6" r:id="rId5"/>
    <sheet name="dane" sheetId="2" r:id="rId6"/>
  </sheets>
  <definedNames>
    <definedName name="ExternalData_1" localSheetId="0" hidden="1">'6.1'!$A$1:$F$203</definedName>
    <definedName name="ExternalData_1" localSheetId="1" hidden="1">'6.2'!$A$1:$F$203</definedName>
    <definedName name="ExternalData_1" localSheetId="2" hidden="1">'6.3'!$A$1:$G$204</definedName>
    <definedName name="ExternalData_1" localSheetId="4" hidden="1">'6.4'!$A$1:$F$203</definedName>
    <definedName name="ExternalData_1" localSheetId="3" hidden="1">'6.5'!$A$1:$G$203</definedName>
    <definedName name="ExternalData_1" localSheetId="5" hidden="1">dane!$A$1:$F$203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7" l="1"/>
  <c r="M3" i="7"/>
  <c r="M4" i="7"/>
  <c r="M5" i="7"/>
  <c r="M6" i="7"/>
  <c r="M8" i="7"/>
  <c r="M10" i="7"/>
  <c r="M11" i="7"/>
  <c r="M13" i="7"/>
  <c r="M14" i="7"/>
  <c r="M15" i="7"/>
  <c r="M17" i="7"/>
  <c r="M18" i="7"/>
  <c r="M19" i="7"/>
  <c r="M21" i="7"/>
  <c r="M22" i="7"/>
  <c r="M24" i="7"/>
  <c r="M25" i="7"/>
  <c r="M27" i="7"/>
  <c r="M29" i="7"/>
  <c r="M30" i="7"/>
  <c r="M31" i="7"/>
  <c r="M33" i="7"/>
  <c r="M34" i="7"/>
  <c r="M35" i="7"/>
  <c r="M36" i="7"/>
  <c r="M38" i="7"/>
  <c r="M39" i="7"/>
  <c r="M40" i="7"/>
  <c r="M42" i="7"/>
  <c r="M44" i="7"/>
  <c r="M45" i="7"/>
  <c r="M47" i="7"/>
  <c r="M48" i="7"/>
  <c r="M49" i="7"/>
  <c r="M50" i="7"/>
  <c r="M52" i="7"/>
  <c r="M53" i="7"/>
  <c r="M54" i="7"/>
  <c r="M55" i="7"/>
  <c r="M57" i="7"/>
  <c r="M58" i="7"/>
  <c r="M60" i="7"/>
  <c r="M61" i="7"/>
  <c r="M63" i="7"/>
  <c r="M64" i="7"/>
  <c r="M65" i="7"/>
  <c r="M67" i="7"/>
  <c r="M68" i="7"/>
  <c r="M70" i="7"/>
  <c r="M71" i="7"/>
  <c r="M72" i="7"/>
  <c r="M73" i="7"/>
  <c r="M75" i="7"/>
  <c r="M76" i="7"/>
  <c r="M78" i="7"/>
  <c r="M80" i="7"/>
  <c r="M81" i="7"/>
  <c r="M82" i="7"/>
  <c r="M84" i="7"/>
  <c r="M85" i="7"/>
  <c r="M87" i="7"/>
  <c r="M88" i="7"/>
  <c r="M89" i="7"/>
  <c r="M90" i="7"/>
  <c r="M92" i="7"/>
  <c r="M93" i="7"/>
  <c r="M94" i="7"/>
  <c r="M95" i="7"/>
  <c r="M97" i="7"/>
  <c r="M98" i="7"/>
  <c r="M99" i="7"/>
  <c r="M100" i="7"/>
  <c r="M102" i="7"/>
  <c r="M103" i="7"/>
  <c r="M104" i="7"/>
  <c r="M105" i="7"/>
  <c r="M107" i="7"/>
  <c r="M109" i="7"/>
  <c r="M110" i="7"/>
  <c r="M111" i="7"/>
  <c r="M112" i="7"/>
  <c r="M114" i="7"/>
  <c r="M115" i="7"/>
  <c r="M116" i="7"/>
  <c r="M118" i="7"/>
  <c r="M119" i="7"/>
  <c r="M120" i="7"/>
  <c r="M122" i="7"/>
  <c r="M124" i="7"/>
  <c r="M126" i="7"/>
  <c r="M127" i="7"/>
  <c r="M128" i="7"/>
  <c r="M129" i="7"/>
  <c r="M131" i="7"/>
  <c r="M133" i="7"/>
  <c r="M134" i="7"/>
  <c r="M136" i="7"/>
  <c r="M137" i="7"/>
  <c r="M138" i="7"/>
  <c r="M140" i="7"/>
  <c r="M141" i="7"/>
  <c r="M142" i="7"/>
  <c r="M143" i="7"/>
  <c r="M145" i="7"/>
  <c r="M147" i="7"/>
  <c r="M148" i="7"/>
  <c r="M149" i="7"/>
  <c r="M150" i="7"/>
  <c r="M152" i="7"/>
  <c r="M154" i="7"/>
  <c r="M155" i="7"/>
  <c r="M157" i="7"/>
  <c r="M158" i="7"/>
  <c r="M159" i="7"/>
  <c r="M161" i="7"/>
  <c r="M162" i="7"/>
  <c r="M164" i="7"/>
  <c r="M165" i="7"/>
  <c r="M167" i="7"/>
  <c r="M168" i="7"/>
  <c r="M170" i="7"/>
  <c r="M171" i="7"/>
  <c r="M172" i="7"/>
  <c r="M173" i="7"/>
  <c r="M175" i="7"/>
  <c r="M176" i="7"/>
  <c r="M177" i="7"/>
  <c r="M179" i="7"/>
  <c r="M180" i="7"/>
  <c r="M181" i="7"/>
  <c r="M183" i="7"/>
  <c r="M184" i="7"/>
  <c r="M185" i="7"/>
  <c r="M187" i="7"/>
  <c r="M188" i="7"/>
  <c r="M189" i="7"/>
  <c r="M190" i="7"/>
  <c r="M192" i="7"/>
  <c r="M193" i="7"/>
  <c r="M195" i="7"/>
  <c r="M197" i="7"/>
  <c r="M198" i="7"/>
  <c r="M200" i="7"/>
  <c r="M201" i="7"/>
  <c r="M202" i="7"/>
  <c r="M20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3" i="7"/>
  <c r="G4" i="4"/>
  <c r="G5" i="4"/>
  <c r="G6" i="4"/>
  <c r="H6" i="4" s="1"/>
  <c r="G7" i="4"/>
  <c r="G8" i="4"/>
  <c r="G9" i="4"/>
  <c r="G10" i="4"/>
  <c r="G11" i="4"/>
  <c r="H11" i="4" s="1"/>
  <c r="G12" i="4"/>
  <c r="H12" i="4" s="1"/>
  <c r="G13" i="4"/>
  <c r="G14" i="4"/>
  <c r="G15" i="4"/>
  <c r="H15" i="4" s="1"/>
  <c r="G16" i="4"/>
  <c r="G17" i="4"/>
  <c r="G18" i="4"/>
  <c r="H18" i="4" s="1"/>
  <c r="G19" i="4"/>
  <c r="G20" i="4"/>
  <c r="G21" i="4"/>
  <c r="G22" i="4"/>
  <c r="G23" i="4"/>
  <c r="H23" i="4" s="1"/>
  <c r="G24" i="4"/>
  <c r="H24" i="4" s="1"/>
  <c r="G25" i="4"/>
  <c r="G26" i="4"/>
  <c r="G27" i="4"/>
  <c r="H27" i="4" s="1"/>
  <c r="G28" i="4"/>
  <c r="G29" i="4"/>
  <c r="G30" i="4"/>
  <c r="H30" i="4" s="1"/>
  <c r="G31" i="4"/>
  <c r="G32" i="4"/>
  <c r="G33" i="4"/>
  <c r="G34" i="4"/>
  <c r="G35" i="4"/>
  <c r="H35" i="4" s="1"/>
  <c r="G36" i="4"/>
  <c r="H36" i="4" s="1"/>
  <c r="G37" i="4"/>
  <c r="G38" i="4"/>
  <c r="G39" i="4"/>
  <c r="H39" i="4" s="1"/>
  <c r="G40" i="4"/>
  <c r="G41" i="4"/>
  <c r="G42" i="4"/>
  <c r="H42" i="4" s="1"/>
  <c r="G43" i="4"/>
  <c r="G44" i="4"/>
  <c r="G45" i="4"/>
  <c r="G46" i="4"/>
  <c r="G47" i="4"/>
  <c r="H47" i="4" s="1"/>
  <c r="G48" i="4"/>
  <c r="H48" i="4" s="1"/>
  <c r="G49" i="4"/>
  <c r="G50" i="4"/>
  <c r="G51" i="4"/>
  <c r="H51" i="4" s="1"/>
  <c r="G52" i="4"/>
  <c r="G53" i="4"/>
  <c r="G54" i="4"/>
  <c r="H54" i="4" s="1"/>
  <c r="G55" i="4"/>
  <c r="G56" i="4"/>
  <c r="G57" i="4"/>
  <c r="G58" i="4"/>
  <c r="G59" i="4"/>
  <c r="H59" i="4" s="1"/>
  <c r="G60" i="4"/>
  <c r="H60" i="4" s="1"/>
  <c r="G61" i="4"/>
  <c r="G62" i="4"/>
  <c r="G63" i="4"/>
  <c r="H63" i="4" s="1"/>
  <c r="G64" i="4"/>
  <c r="G65" i="4"/>
  <c r="G66" i="4"/>
  <c r="H66" i="4" s="1"/>
  <c r="G67" i="4"/>
  <c r="G68" i="4"/>
  <c r="G69" i="4"/>
  <c r="G70" i="4"/>
  <c r="G71" i="4"/>
  <c r="H71" i="4" s="1"/>
  <c r="G72" i="4"/>
  <c r="H72" i="4" s="1"/>
  <c r="G73" i="4"/>
  <c r="G74" i="4"/>
  <c r="G75" i="4"/>
  <c r="H75" i="4" s="1"/>
  <c r="G76" i="4"/>
  <c r="G77" i="4"/>
  <c r="G78" i="4"/>
  <c r="H78" i="4" s="1"/>
  <c r="G79" i="4"/>
  <c r="G80" i="4"/>
  <c r="G81" i="4"/>
  <c r="G82" i="4"/>
  <c r="G83" i="4"/>
  <c r="H83" i="4" s="1"/>
  <c r="G84" i="4"/>
  <c r="H84" i="4" s="1"/>
  <c r="G85" i="4"/>
  <c r="G86" i="4"/>
  <c r="G87" i="4"/>
  <c r="H87" i="4" s="1"/>
  <c r="G88" i="4"/>
  <c r="G89" i="4"/>
  <c r="G90" i="4"/>
  <c r="H90" i="4" s="1"/>
  <c r="G91" i="4"/>
  <c r="G92" i="4"/>
  <c r="G93" i="4"/>
  <c r="G94" i="4"/>
  <c r="G95" i="4"/>
  <c r="H95" i="4" s="1"/>
  <c r="G96" i="4"/>
  <c r="H96" i="4" s="1"/>
  <c r="G97" i="4"/>
  <c r="G98" i="4"/>
  <c r="G99" i="4"/>
  <c r="H99" i="4" s="1"/>
  <c r="G100" i="4"/>
  <c r="G101" i="4"/>
  <c r="G102" i="4"/>
  <c r="H102" i="4" s="1"/>
  <c r="G103" i="4"/>
  <c r="G104" i="4"/>
  <c r="G105" i="4"/>
  <c r="G106" i="4"/>
  <c r="G107" i="4"/>
  <c r="H107" i="4" s="1"/>
  <c r="G108" i="4"/>
  <c r="H108" i="4" s="1"/>
  <c r="G109" i="4"/>
  <c r="G110" i="4"/>
  <c r="G111" i="4"/>
  <c r="H111" i="4" s="1"/>
  <c r="G112" i="4"/>
  <c r="G113" i="4"/>
  <c r="G114" i="4"/>
  <c r="H114" i="4" s="1"/>
  <c r="G115" i="4"/>
  <c r="G116" i="4"/>
  <c r="G117" i="4"/>
  <c r="G118" i="4"/>
  <c r="G119" i="4"/>
  <c r="H119" i="4" s="1"/>
  <c r="G120" i="4"/>
  <c r="H120" i="4" s="1"/>
  <c r="G121" i="4"/>
  <c r="G122" i="4"/>
  <c r="G123" i="4"/>
  <c r="H123" i="4" s="1"/>
  <c r="G124" i="4"/>
  <c r="G125" i="4"/>
  <c r="G126" i="4"/>
  <c r="H126" i="4" s="1"/>
  <c r="G127" i="4"/>
  <c r="G128" i="4"/>
  <c r="G129" i="4"/>
  <c r="G130" i="4"/>
  <c r="G131" i="4"/>
  <c r="H131" i="4" s="1"/>
  <c r="G132" i="4"/>
  <c r="H132" i="4" s="1"/>
  <c r="G133" i="4"/>
  <c r="G134" i="4"/>
  <c r="G135" i="4"/>
  <c r="H135" i="4" s="1"/>
  <c r="G136" i="4"/>
  <c r="G137" i="4"/>
  <c r="G138" i="4"/>
  <c r="H138" i="4" s="1"/>
  <c r="G139" i="4"/>
  <c r="G140" i="4"/>
  <c r="G141" i="4"/>
  <c r="G142" i="4"/>
  <c r="G143" i="4"/>
  <c r="H143" i="4" s="1"/>
  <c r="G144" i="4"/>
  <c r="H144" i="4" s="1"/>
  <c r="G145" i="4"/>
  <c r="G146" i="4"/>
  <c r="G147" i="4"/>
  <c r="H147" i="4" s="1"/>
  <c r="G148" i="4"/>
  <c r="G149" i="4"/>
  <c r="G150" i="4"/>
  <c r="H150" i="4" s="1"/>
  <c r="G151" i="4"/>
  <c r="G152" i="4"/>
  <c r="G153" i="4"/>
  <c r="G154" i="4"/>
  <c r="G155" i="4"/>
  <c r="H155" i="4" s="1"/>
  <c r="G156" i="4"/>
  <c r="H156" i="4" s="1"/>
  <c r="G157" i="4"/>
  <c r="G158" i="4"/>
  <c r="G159" i="4"/>
  <c r="H159" i="4" s="1"/>
  <c r="G160" i="4"/>
  <c r="G161" i="4"/>
  <c r="G162" i="4"/>
  <c r="H162" i="4" s="1"/>
  <c r="G163" i="4"/>
  <c r="G164" i="4"/>
  <c r="G165" i="4"/>
  <c r="G166" i="4"/>
  <c r="G167" i="4"/>
  <c r="H167" i="4" s="1"/>
  <c r="G168" i="4"/>
  <c r="H168" i="4" s="1"/>
  <c r="G169" i="4"/>
  <c r="G170" i="4"/>
  <c r="G171" i="4"/>
  <c r="H171" i="4" s="1"/>
  <c r="G172" i="4"/>
  <c r="G173" i="4"/>
  <c r="G174" i="4"/>
  <c r="H174" i="4" s="1"/>
  <c r="G175" i="4"/>
  <c r="G176" i="4"/>
  <c r="G177" i="4"/>
  <c r="G178" i="4"/>
  <c r="G179" i="4"/>
  <c r="H179" i="4" s="1"/>
  <c r="G180" i="4"/>
  <c r="H180" i="4" s="1"/>
  <c r="G181" i="4"/>
  <c r="G182" i="4"/>
  <c r="G183" i="4"/>
  <c r="H183" i="4" s="1"/>
  <c r="G184" i="4"/>
  <c r="G185" i="4"/>
  <c r="G186" i="4"/>
  <c r="H186" i="4" s="1"/>
  <c r="G187" i="4"/>
  <c r="G188" i="4"/>
  <c r="G189" i="4"/>
  <c r="G190" i="4"/>
  <c r="G191" i="4"/>
  <c r="H191" i="4" s="1"/>
  <c r="G192" i="4"/>
  <c r="H192" i="4" s="1"/>
  <c r="G193" i="4"/>
  <c r="G194" i="4"/>
  <c r="G195" i="4"/>
  <c r="H195" i="4" s="1"/>
  <c r="G196" i="4"/>
  <c r="G197" i="4"/>
  <c r="G198" i="4"/>
  <c r="H198" i="4" s="1"/>
  <c r="G199" i="4"/>
  <c r="G200" i="4"/>
  <c r="G201" i="4"/>
  <c r="G202" i="4"/>
  <c r="G203" i="4"/>
  <c r="H203" i="4" s="1"/>
  <c r="G3" i="4"/>
  <c r="H3" i="4"/>
  <c r="B2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F174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H4" i="4"/>
  <c r="H5" i="4"/>
  <c r="H7" i="4"/>
  <c r="H8" i="4"/>
  <c r="H9" i="4"/>
  <c r="H10" i="4"/>
  <c r="H13" i="4"/>
  <c r="H14" i="4"/>
  <c r="H16" i="4"/>
  <c r="H17" i="4"/>
  <c r="H19" i="4"/>
  <c r="H20" i="4"/>
  <c r="H21" i="4"/>
  <c r="H22" i="4"/>
  <c r="H25" i="4"/>
  <c r="H26" i="4"/>
  <c r="H28" i="4"/>
  <c r="H29" i="4"/>
  <c r="H31" i="4"/>
  <c r="H32" i="4"/>
  <c r="H33" i="4"/>
  <c r="H34" i="4"/>
  <c r="H37" i="4"/>
  <c r="H38" i="4"/>
  <c r="H40" i="4"/>
  <c r="H41" i="4"/>
  <c r="H43" i="4"/>
  <c r="H44" i="4"/>
  <c r="H45" i="4"/>
  <c r="H46" i="4"/>
  <c r="H49" i="4"/>
  <c r="H50" i="4"/>
  <c r="H52" i="4"/>
  <c r="H53" i="4"/>
  <c r="H55" i="4"/>
  <c r="H56" i="4"/>
  <c r="H57" i="4"/>
  <c r="H58" i="4"/>
  <c r="H61" i="4"/>
  <c r="H62" i="4"/>
  <c r="H64" i="4"/>
  <c r="H65" i="4"/>
  <c r="H67" i="4"/>
  <c r="H68" i="4"/>
  <c r="H69" i="4"/>
  <c r="H70" i="4"/>
  <c r="H73" i="4"/>
  <c r="H74" i="4"/>
  <c r="H76" i="4"/>
  <c r="H77" i="4"/>
  <c r="H79" i="4"/>
  <c r="H80" i="4"/>
  <c r="H81" i="4"/>
  <c r="H82" i="4"/>
  <c r="H85" i="4"/>
  <c r="H86" i="4"/>
  <c r="H88" i="4"/>
  <c r="H89" i="4"/>
  <c r="H91" i="4"/>
  <c r="H92" i="4"/>
  <c r="H93" i="4"/>
  <c r="H94" i="4"/>
  <c r="H97" i="4"/>
  <c r="H98" i="4"/>
  <c r="H100" i="4"/>
  <c r="H101" i="4"/>
  <c r="H103" i="4"/>
  <c r="H104" i="4"/>
  <c r="H105" i="4"/>
  <c r="H106" i="4"/>
  <c r="H109" i="4"/>
  <c r="H110" i="4"/>
  <c r="H112" i="4"/>
  <c r="H113" i="4"/>
  <c r="H115" i="4"/>
  <c r="H116" i="4"/>
  <c r="H117" i="4"/>
  <c r="H118" i="4"/>
  <c r="H121" i="4"/>
  <c r="H122" i="4"/>
  <c r="H124" i="4"/>
  <c r="H125" i="4"/>
  <c r="H127" i="4"/>
  <c r="H128" i="4"/>
  <c r="H129" i="4"/>
  <c r="H130" i="4"/>
  <c r="H133" i="4"/>
  <c r="H134" i="4"/>
  <c r="H136" i="4"/>
  <c r="H137" i="4"/>
  <c r="H139" i="4"/>
  <c r="H140" i="4"/>
  <c r="H141" i="4"/>
  <c r="H142" i="4"/>
  <c r="H145" i="4"/>
  <c r="H146" i="4"/>
  <c r="H148" i="4"/>
  <c r="H149" i="4"/>
  <c r="H151" i="4"/>
  <c r="H152" i="4"/>
  <c r="H153" i="4"/>
  <c r="H154" i="4"/>
  <c r="H157" i="4"/>
  <c r="H158" i="4"/>
  <c r="H160" i="4"/>
  <c r="H161" i="4"/>
  <c r="H163" i="4"/>
  <c r="H164" i="4"/>
  <c r="H165" i="4"/>
  <c r="H166" i="4"/>
  <c r="H169" i="4"/>
  <c r="H170" i="4"/>
  <c r="H172" i="4"/>
  <c r="H173" i="4"/>
  <c r="H175" i="4"/>
  <c r="H176" i="4"/>
  <c r="H177" i="4"/>
  <c r="H178" i="4"/>
  <c r="H181" i="4"/>
  <c r="H182" i="4"/>
  <c r="H184" i="4"/>
  <c r="H185" i="4"/>
  <c r="H187" i="4"/>
  <c r="H188" i="4"/>
  <c r="H189" i="4"/>
  <c r="H190" i="4"/>
  <c r="H193" i="4"/>
  <c r="H194" i="4"/>
  <c r="H196" i="4"/>
  <c r="H197" i="4"/>
  <c r="H199" i="4"/>
  <c r="H200" i="4"/>
  <c r="H201" i="4"/>
  <c r="H202" i="4"/>
  <c r="J1" i="4" l="1"/>
  <c r="I2" i="7"/>
  <c r="K2" i="7" s="1"/>
  <c r="B3" i="7" s="1"/>
  <c r="I3" i="7" s="1"/>
  <c r="K3" i="7" s="1"/>
  <c r="B4" i="7" l="1"/>
  <c r="I4" i="7" s="1"/>
  <c r="K4" i="7" s="1"/>
  <c r="B5" i="7" s="1"/>
  <c r="I5" i="7" s="1"/>
  <c r="K5" i="7" s="1"/>
  <c r="B6" i="7" s="1"/>
  <c r="I6" i="7" s="1"/>
  <c r="K6" i="7" s="1"/>
  <c r="B7" i="7" l="1"/>
  <c r="I7" i="7" l="1"/>
  <c r="K7" i="7" s="1"/>
  <c r="M7" i="7"/>
  <c r="B8" i="7"/>
  <c r="I8" i="7" s="1"/>
  <c r="K8" i="7" s="1"/>
  <c r="B9" i="7" l="1"/>
  <c r="I9" i="7" l="1"/>
  <c r="K9" i="7" s="1"/>
  <c r="B10" i="7" s="1"/>
  <c r="I10" i="7" s="1"/>
  <c r="K10" i="7" s="1"/>
  <c r="M9" i="7"/>
  <c r="B11" i="7" l="1"/>
  <c r="I11" i="7" s="1"/>
  <c r="K11" i="7" s="1"/>
  <c r="B12" i="7" l="1"/>
  <c r="I12" i="7" l="1"/>
  <c r="K12" i="7" s="1"/>
  <c r="B13" i="7" s="1"/>
  <c r="I13" i="7" s="1"/>
  <c r="K13" i="7" s="1"/>
  <c r="M12" i="7"/>
  <c r="B14" i="7" l="1"/>
  <c r="I14" i="7" s="1"/>
  <c r="K14" i="7" s="1"/>
  <c r="B15" i="7" l="1"/>
  <c r="I15" i="7" s="1"/>
  <c r="K15" i="7" s="1"/>
  <c r="B16" i="7" l="1"/>
  <c r="I16" i="7" l="1"/>
  <c r="K16" i="7" s="1"/>
  <c r="M16" i="7"/>
  <c r="B17" i="7"/>
  <c r="I17" i="7" s="1"/>
  <c r="K17" i="7" s="1"/>
  <c r="B18" i="7" l="1"/>
  <c r="I18" i="7" s="1"/>
  <c r="K18" i="7" s="1"/>
  <c r="B19" i="7" l="1"/>
  <c r="I19" i="7" s="1"/>
  <c r="K19" i="7" s="1"/>
  <c r="B20" i="7" l="1"/>
  <c r="I20" i="7" l="1"/>
  <c r="K20" i="7" s="1"/>
  <c r="M20" i="7"/>
  <c r="B21" i="7"/>
  <c r="I21" i="7" s="1"/>
  <c r="K21" i="7" s="1"/>
  <c r="B22" i="7" l="1"/>
  <c r="I22" i="7" s="1"/>
  <c r="K22" i="7" s="1"/>
  <c r="B23" i="7" l="1"/>
  <c r="I23" i="7" l="1"/>
  <c r="K23" i="7" s="1"/>
  <c r="B24" i="7" s="1"/>
  <c r="I24" i="7" s="1"/>
  <c r="K24" i="7" s="1"/>
  <c r="M23" i="7"/>
  <c r="B25" i="7" l="1"/>
  <c r="I25" i="7" s="1"/>
  <c r="K25" i="7" s="1"/>
  <c r="B26" i="7" l="1"/>
  <c r="I26" i="7" l="1"/>
  <c r="K26" i="7" s="1"/>
  <c r="B27" i="7" s="1"/>
  <c r="I27" i="7" s="1"/>
  <c r="K27" i="7" s="1"/>
  <c r="M26" i="7"/>
  <c r="B28" i="7" l="1"/>
  <c r="I28" i="7" l="1"/>
  <c r="K28" i="7" s="1"/>
  <c r="M28" i="7"/>
  <c r="B29" i="7"/>
  <c r="I29" i="7" s="1"/>
  <c r="K29" i="7" s="1"/>
  <c r="B30" i="7" l="1"/>
  <c r="I30" i="7" s="1"/>
  <c r="K30" i="7" s="1"/>
  <c r="B31" i="7" l="1"/>
  <c r="I31" i="7" s="1"/>
  <c r="K31" i="7" s="1"/>
  <c r="B32" i="7" l="1"/>
  <c r="I32" i="7" l="1"/>
  <c r="K32" i="7" s="1"/>
  <c r="M32" i="7"/>
  <c r="B33" i="7"/>
  <c r="I33" i="7" s="1"/>
  <c r="K33" i="7" s="1"/>
  <c r="B34" i="7" l="1"/>
  <c r="I34" i="7" s="1"/>
  <c r="K34" i="7" s="1"/>
  <c r="B35" i="7" l="1"/>
  <c r="I35" i="7" s="1"/>
  <c r="K35" i="7" s="1"/>
  <c r="B36" i="7" l="1"/>
  <c r="I36" i="7" s="1"/>
  <c r="K36" i="7" s="1"/>
  <c r="B37" i="7" l="1"/>
  <c r="I37" i="7" l="1"/>
  <c r="K37" i="7" s="1"/>
  <c r="M37" i="7"/>
  <c r="B38" i="7"/>
  <c r="I38" i="7" s="1"/>
  <c r="K38" i="7" s="1"/>
  <c r="B39" i="7" l="1"/>
  <c r="I39" i="7" s="1"/>
  <c r="K39" i="7" s="1"/>
  <c r="B40" i="7" l="1"/>
  <c r="I40" i="7" s="1"/>
  <c r="K40" i="7" s="1"/>
  <c r="B41" i="7" l="1"/>
  <c r="I41" i="7" l="1"/>
  <c r="K41" i="7" s="1"/>
  <c r="M41" i="7"/>
  <c r="B42" i="7"/>
  <c r="I42" i="7" s="1"/>
  <c r="K42" i="7" s="1"/>
  <c r="B43" i="7" l="1"/>
  <c r="I43" i="7" l="1"/>
  <c r="K43" i="7" s="1"/>
  <c r="M43" i="7"/>
  <c r="B44" i="7"/>
  <c r="I44" i="7" s="1"/>
  <c r="K44" i="7" s="1"/>
  <c r="B45" i="7" l="1"/>
  <c r="I45" i="7" s="1"/>
  <c r="K45" i="7" s="1"/>
  <c r="B46" i="7" l="1"/>
  <c r="I46" i="7" l="1"/>
  <c r="K46" i="7" s="1"/>
  <c r="B47" i="7" s="1"/>
  <c r="I47" i="7" s="1"/>
  <c r="K47" i="7" s="1"/>
  <c r="M46" i="7"/>
  <c r="B48" i="7" l="1"/>
  <c r="I48" i="7" s="1"/>
  <c r="K48" i="7" s="1"/>
  <c r="B49" i="7" l="1"/>
  <c r="I49" i="7" s="1"/>
  <c r="K49" i="7" s="1"/>
  <c r="B50" i="7" l="1"/>
  <c r="I50" i="7" s="1"/>
  <c r="K50" i="7" s="1"/>
  <c r="B51" i="7" l="1"/>
  <c r="I51" i="7" l="1"/>
  <c r="K51" i="7" s="1"/>
  <c r="M51" i="7"/>
  <c r="B52" i="7"/>
  <c r="I52" i="7" s="1"/>
  <c r="K52" i="7" s="1"/>
  <c r="B53" i="7" l="1"/>
  <c r="I53" i="7" s="1"/>
  <c r="K53" i="7" s="1"/>
  <c r="B54" i="7" l="1"/>
  <c r="I54" i="7" s="1"/>
  <c r="K54" i="7" s="1"/>
  <c r="B55" i="7" l="1"/>
  <c r="I55" i="7" s="1"/>
  <c r="K55" i="7" s="1"/>
  <c r="B56" i="7" l="1"/>
  <c r="I56" i="7" l="1"/>
  <c r="K56" i="7" s="1"/>
  <c r="B57" i="7" s="1"/>
  <c r="I57" i="7" s="1"/>
  <c r="K57" i="7" s="1"/>
  <c r="M56" i="7"/>
  <c r="B58" i="7" l="1"/>
  <c r="I58" i="7" s="1"/>
  <c r="K58" i="7" s="1"/>
  <c r="B59" i="7" l="1"/>
  <c r="I59" i="7" l="1"/>
  <c r="K59" i="7" s="1"/>
  <c r="M59" i="7"/>
  <c r="B60" i="7"/>
  <c r="I60" i="7" s="1"/>
  <c r="K60" i="7" s="1"/>
  <c r="B61" i="7" l="1"/>
  <c r="I61" i="7" s="1"/>
  <c r="K61" i="7" s="1"/>
  <c r="B62" i="7" l="1"/>
  <c r="I62" i="7" l="1"/>
  <c r="K62" i="7" s="1"/>
  <c r="B63" i="7" s="1"/>
  <c r="I63" i="7" s="1"/>
  <c r="K63" i="7" s="1"/>
  <c r="M62" i="7"/>
  <c r="B64" i="7" l="1"/>
  <c r="I64" i="7" s="1"/>
  <c r="K64" i="7" s="1"/>
  <c r="B65" i="7" l="1"/>
  <c r="I65" i="7" s="1"/>
  <c r="K65" i="7" s="1"/>
  <c r="B66" i="7" l="1"/>
  <c r="I66" i="7" l="1"/>
  <c r="K66" i="7" s="1"/>
  <c r="M66" i="7"/>
  <c r="B67" i="7"/>
  <c r="I67" i="7" s="1"/>
  <c r="K67" i="7" s="1"/>
  <c r="B68" i="7" l="1"/>
  <c r="I68" i="7" s="1"/>
  <c r="K68" i="7" s="1"/>
  <c r="B69" i="7" l="1"/>
  <c r="I69" i="7" l="1"/>
  <c r="K69" i="7" s="1"/>
  <c r="M69" i="7"/>
  <c r="B70" i="7"/>
  <c r="I70" i="7" s="1"/>
  <c r="K70" i="7" s="1"/>
  <c r="B71" i="7" l="1"/>
  <c r="I71" i="7" s="1"/>
  <c r="K71" i="7" s="1"/>
  <c r="B72" i="7" l="1"/>
  <c r="I72" i="7" s="1"/>
  <c r="K72" i="7" s="1"/>
  <c r="B73" i="7" l="1"/>
  <c r="I73" i="7" s="1"/>
  <c r="K73" i="7" s="1"/>
  <c r="B74" i="7" l="1"/>
  <c r="I74" i="7" l="1"/>
  <c r="K74" i="7" s="1"/>
  <c r="B75" i="7" s="1"/>
  <c r="I75" i="7" s="1"/>
  <c r="K75" i="7" s="1"/>
  <c r="M74" i="7"/>
  <c r="B76" i="7" l="1"/>
  <c r="I76" i="7" s="1"/>
  <c r="K76" i="7" s="1"/>
  <c r="B77" i="7" l="1"/>
  <c r="I77" i="7" l="1"/>
  <c r="K77" i="7" s="1"/>
  <c r="M77" i="7"/>
  <c r="B78" i="7"/>
  <c r="I78" i="7" s="1"/>
  <c r="K78" i="7" s="1"/>
  <c r="B79" i="7" l="1"/>
  <c r="I79" i="7" l="1"/>
  <c r="K79" i="7" s="1"/>
  <c r="B80" i="7" s="1"/>
  <c r="I80" i="7" s="1"/>
  <c r="K80" i="7" s="1"/>
  <c r="M79" i="7"/>
  <c r="B81" i="7" l="1"/>
  <c r="I81" i="7" s="1"/>
  <c r="K81" i="7" s="1"/>
  <c r="B82" i="7" l="1"/>
  <c r="I82" i="7" s="1"/>
  <c r="K82" i="7" s="1"/>
  <c r="B83" i="7" l="1"/>
  <c r="I83" i="7" l="1"/>
  <c r="K83" i="7" s="1"/>
  <c r="B84" i="7" s="1"/>
  <c r="I84" i="7" s="1"/>
  <c r="K84" i="7" s="1"/>
  <c r="M83" i="7"/>
  <c r="B85" i="7" l="1"/>
  <c r="I85" i="7" s="1"/>
  <c r="K85" i="7" s="1"/>
  <c r="B86" i="7" l="1"/>
  <c r="I86" i="7" l="1"/>
  <c r="K86" i="7" s="1"/>
  <c r="M86" i="7"/>
  <c r="B87" i="7"/>
  <c r="I87" i="7" s="1"/>
  <c r="K87" i="7" s="1"/>
  <c r="B88" i="7" l="1"/>
  <c r="I88" i="7" s="1"/>
  <c r="K88" i="7" s="1"/>
  <c r="B89" i="7" l="1"/>
  <c r="I89" i="7" s="1"/>
  <c r="K89" i="7" s="1"/>
  <c r="B90" i="7" l="1"/>
  <c r="I90" i="7" s="1"/>
  <c r="K90" i="7" s="1"/>
  <c r="B91" i="7" l="1"/>
  <c r="I91" i="7" l="1"/>
  <c r="K91" i="7" s="1"/>
  <c r="M91" i="7"/>
  <c r="B92" i="7"/>
  <c r="I92" i="7" s="1"/>
  <c r="K92" i="7" s="1"/>
  <c r="B93" i="7" l="1"/>
  <c r="I93" i="7" s="1"/>
  <c r="K93" i="7" s="1"/>
  <c r="B94" i="7" l="1"/>
  <c r="I94" i="7" s="1"/>
  <c r="K94" i="7" s="1"/>
  <c r="B95" i="7" l="1"/>
  <c r="I95" i="7" s="1"/>
  <c r="K95" i="7" s="1"/>
  <c r="B96" i="7" l="1"/>
  <c r="I96" i="7" l="1"/>
  <c r="K96" i="7" s="1"/>
  <c r="B97" i="7" s="1"/>
  <c r="I97" i="7" s="1"/>
  <c r="K97" i="7" s="1"/>
  <c r="M96" i="7"/>
  <c r="B98" i="7" l="1"/>
  <c r="I98" i="7" s="1"/>
  <c r="K98" i="7" s="1"/>
  <c r="B99" i="7" l="1"/>
  <c r="I99" i="7" s="1"/>
  <c r="K99" i="7" s="1"/>
  <c r="B100" i="7" l="1"/>
  <c r="I100" i="7" s="1"/>
  <c r="K100" i="7" s="1"/>
  <c r="B101" i="7" l="1"/>
  <c r="I101" i="7" l="1"/>
  <c r="K101" i="7" s="1"/>
  <c r="M101" i="7"/>
  <c r="B102" i="7"/>
  <c r="I102" i="7" s="1"/>
  <c r="K102" i="7" s="1"/>
  <c r="B103" i="7" l="1"/>
  <c r="I103" i="7" s="1"/>
  <c r="K103" i="7" s="1"/>
  <c r="B104" i="7" l="1"/>
  <c r="I104" i="7" s="1"/>
  <c r="K104" i="7" s="1"/>
  <c r="B105" i="7" l="1"/>
  <c r="I105" i="7" s="1"/>
  <c r="K105" i="7" s="1"/>
  <c r="B106" i="7" l="1"/>
  <c r="I106" i="7" l="1"/>
  <c r="K106" i="7" s="1"/>
  <c r="B107" i="7" s="1"/>
  <c r="I107" i="7" s="1"/>
  <c r="K107" i="7" s="1"/>
  <c r="M106" i="7"/>
  <c r="B108" i="7" l="1"/>
  <c r="I108" i="7" l="1"/>
  <c r="K108" i="7" s="1"/>
  <c r="B109" i="7" s="1"/>
  <c r="I109" i="7" s="1"/>
  <c r="K109" i="7" s="1"/>
  <c r="M108" i="7"/>
  <c r="B110" i="7" l="1"/>
  <c r="I110" i="7" s="1"/>
  <c r="K110" i="7" s="1"/>
  <c r="B111" i="7" l="1"/>
  <c r="I111" i="7" s="1"/>
  <c r="K111" i="7" s="1"/>
  <c r="B112" i="7" l="1"/>
  <c r="I112" i="7" s="1"/>
  <c r="K112" i="7" s="1"/>
  <c r="B113" i="7" l="1"/>
  <c r="I113" i="7" l="1"/>
  <c r="K113" i="7" s="1"/>
  <c r="M113" i="7"/>
  <c r="B114" i="7"/>
  <c r="I114" i="7" s="1"/>
  <c r="K114" i="7" s="1"/>
  <c r="B115" i="7" l="1"/>
  <c r="I115" i="7" s="1"/>
  <c r="K115" i="7" s="1"/>
  <c r="B116" i="7" l="1"/>
  <c r="I116" i="7" s="1"/>
  <c r="K116" i="7" s="1"/>
  <c r="B117" i="7" l="1"/>
  <c r="I117" i="7" l="1"/>
  <c r="K117" i="7" s="1"/>
  <c r="M117" i="7"/>
  <c r="B118" i="7"/>
  <c r="I118" i="7" s="1"/>
  <c r="K118" i="7" s="1"/>
  <c r="B119" i="7" l="1"/>
  <c r="I119" i="7" s="1"/>
  <c r="K119" i="7" s="1"/>
  <c r="B120" i="7" l="1"/>
  <c r="I120" i="7" s="1"/>
  <c r="K120" i="7" s="1"/>
  <c r="B121" i="7" l="1"/>
  <c r="I121" i="7" l="1"/>
  <c r="K121" i="7" s="1"/>
  <c r="B122" i="7" s="1"/>
  <c r="I122" i="7" s="1"/>
  <c r="K122" i="7" s="1"/>
  <c r="M121" i="7"/>
  <c r="B123" i="7" l="1"/>
  <c r="I123" i="7" l="1"/>
  <c r="K123" i="7" s="1"/>
  <c r="M123" i="7"/>
  <c r="B124" i="7"/>
  <c r="I124" i="7" s="1"/>
  <c r="K124" i="7" s="1"/>
  <c r="B125" i="7" l="1"/>
  <c r="I125" i="7" l="1"/>
  <c r="K125" i="7" s="1"/>
  <c r="M125" i="7"/>
  <c r="B126" i="7"/>
  <c r="I126" i="7" s="1"/>
  <c r="K126" i="7" s="1"/>
  <c r="B127" i="7" l="1"/>
  <c r="I127" i="7" s="1"/>
  <c r="K127" i="7" s="1"/>
  <c r="B128" i="7" l="1"/>
  <c r="I128" i="7" s="1"/>
  <c r="K128" i="7" s="1"/>
  <c r="B129" i="7" l="1"/>
  <c r="I129" i="7" s="1"/>
  <c r="K129" i="7" s="1"/>
  <c r="B130" i="7" l="1"/>
  <c r="I130" i="7" l="1"/>
  <c r="K130" i="7" s="1"/>
  <c r="M130" i="7"/>
  <c r="B131" i="7"/>
  <c r="I131" i="7" s="1"/>
  <c r="K131" i="7" s="1"/>
  <c r="B132" i="7" l="1"/>
  <c r="I132" i="7" l="1"/>
  <c r="K132" i="7" s="1"/>
  <c r="M132" i="7"/>
  <c r="B133" i="7"/>
  <c r="I133" i="7" s="1"/>
  <c r="K133" i="7" s="1"/>
  <c r="B134" i="7" l="1"/>
  <c r="I134" i="7" s="1"/>
  <c r="K134" i="7" s="1"/>
  <c r="B135" i="7" l="1"/>
  <c r="I135" i="7" l="1"/>
  <c r="K135" i="7" s="1"/>
  <c r="M135" i="7"/>
  <c r="B136" i="7"/>
  <c r="I136" i="7" s="1"/>
  <c r="K136" i="7" s="1"/>
  <c r="B137" i="7" l="1"/>
  <c r="I137" i="7" s="1"/>
  <c r="K137" i="7" s="1"/>
  <c r="B138" i="7" l="1"/>
  <c r="I138" i="7" s="1"/>
  <c r="K138" i="7" s="1"/>
  <c r="B139" i="7" l="1"/>
  <c r="I139" i="7" l="1"/>
  <c r="K139" i="7" s="1"/>
  <c r="B140" i="7" s="1"/>
  <c r="I140" i="7" s="1"/>
  <c r="K140" i="7" s="1"/>
  <c r="M139" i="7"/>
  <c r="B141" i="7" l="1"/>
  <c r="I141" i="7" s="1"/>
  <c r="K141" i="7" s="1"/>
  <c r="B142" i="7" l="1"/>
  <c r="I142" i="7" s="1"/>
  <c r="K142" i="7" s="1"/>
  <c r="B143" i="7" l="1"/>
  <c r="I143" i="7" s="1"/>
  <c r="K143" i="7" s="1"/>
  <c r="B144" i="7" l="1"/>
  <c r="I144" i="7" l="1"/>
  <c r="K144" i="7" s="1"/>
  <c r="B145" i="7" s="1"/>
  <c r="I145" i="7" s="1"/>
  <c r="K145" i="7" s="1"/>
  <c r="M144" i="7"/>
  <c r="B146" i="7" l="1"/>
  <c r="I146" i="7" l="1"/>
  <c r="K146" i="7" s="1"/>
  <c r="B147" i="7" s="1"/>
  <c r="I147" i="7" s="1"/>
  <c r="K147" i="7" s="1"/>
  <c r="M146" i="7"/>
  <c r="B148" i="7" l="1"/>
  <c r="I148" i="7" s="1"/>
  <c r="K148" i="7" s="1"/>
  <c r="B149" i="7" l="1"/>
  <c r="I149" i="7" s="1"/>
  <c r="K149" i="7" s="1"/>
  <c r="B150" i="7" l="1"/>
  <c r="I150" i="7" s="1"/>
  <c r="K150" i="7" s="1"/>
  <c r="B151" i="7" l="1"/>
  <c r="I151" i="7" l="1"/>
  <c r="K151" i="7" s="1"/>
  <c r="M151" i="7"/>
  <c r="B152" i="7"/>
  <c r="I152" i="7" s="1"/>
  <c r="K152" i="7" s="1"/>
  <c r="B153" i="7" l="1"/>
  <c r="I153" i="7" l="1"/>
  <c r="K153" i="7" s="1"/>
  <c r="M153" i="7"/>
  <c r="B154" i="7"/>
  <c r="I154" i="7" s="1"/>
  <c r="K154" i="7" s="1"/>
  <c r="B155" i="7" l="1"/>
  <c r="I155" i="7" s="1"/>
  <c r="K155" i="7" s="1"/>
  <c r="B156" i="7" l="1"/>
  <c r="I156" i="7" l="1"/>
  <c r="K156" i="7" s="1"/>
  <c r="M156" i="7"/>
  <c r="B157" i="7"/>
  <c r="I157" i="7" s="1"/>
  <c r="K157" i="7" s="1"/>
  <c r="B158" i="7" l="1"/>
  <c r="I158" i="7" s="1"/>
  <c r="K158" i="7" s="1"/>
  <c r="B159" i="7" l="1"/>
  <c r="I159" i="7" s="1"/>
  <c r="K159" i="7" s="1"/>
  <c r="B160" i="7" l="1"/>
  <c r="I160" i="7" l="1"/>
  <c r="K160" i="7" s="1"/>
  <c r="M160" i="7"/>
  <c r="B161" i="7"/>
  <c r="I161" i="7" s="1"/>
  <c r="K161" i="7" s="1"/>
  <c r="B162" i="7" l="1"/>
  <c r="I162" i="7" s="1"/>
  <c r="K162" i="7" s="1"/>
  <c r="B163" i="7" l="1"/>
  <c r="I163" i="7" l="1"/>
  <c r="K163" i="7" s="1"/>
  <c r="M163" i="7"/>
  <c r="B164" i="7"/>
  <c r="I164" i="7" s="1"/>
  <c r="K164" i="7" s="1"/>
  <c r="B165" i="7" l="1"/>
  <c r="I165" i="7" s="1"/>
  <c r="K165" i="7" s="1"/>
  <c r="B166" i="7" l="1"/>
  <c r="I166" i="7" l="1"/>
  <c r="K166" i="7" s="1"/>
  <c r="B167" i="7" s="1"/>
  <c r="I167" i="7" s="1"/>
  <c r="K167" i="7" s="1"/>
  <c r="M166" i="7"/>
  <c r="B168" i="7" l="1"/>
  <c r="I168" i="7" s="1"/>
  <c r="K168" i="7" s="1"/>
  <c r="B169" i="7" l="1"/>
  <c r="I169" i="7" l="1"/>
  <c r="K169" i="7" s="1"/>
  <c r="M169" i="7"/>
  <c r="B170" i="7"/>
  <c r="I170" i="7" s="1"/>
  <c r="K170" i="7" s="1"/>
  <c r="B171" i="7" l="1"/>
  <c r="I171" i="7" s="1"/>
  <c r="K171" i="7" s="1"/>
  <c r="B172" i="7" l="1"/>
  <c r="I172" i="7" s="1"/>
  <c r="K172" i="7" s="1"/>
  <c r="B173" i="7" l="1"/>
  <c r="I173" i="7" s="1"/>
  <c r="K173" i="7" s="1"/>
  <c r="B174" i="7" l="1"/>
  <c r="I174" i="7" l="1"/>
  <c r="K174" i="7" s="1"/>
  <c r="B175" i="7" s="1"/>
  <c r="I175" i="7" s="1"/>
  <c r="K175" i="7" s="1"/>
  <c r="M174" i="7"/>
  <c r="B176" i="7" l="1"/>
  <c r="I176" i="7" s="1"/>
  <c r="K176" i="7" s="1"/>
  <c r="B177" i="7" l="1"/>
  <c r="I177" i="7" s="1"/>
  <c r="K177" i="7" s="1"/>
  <c r="B178" i="7" l="1"/>
  <c r="I178" i="7" l="1"/>
  <c r="K178" i="7" s="1"/>
  <c r="M178" i="7"/>
  <c r="B179" i="7"/>
  <c r="I179" i="7" s="1"/>
  <c r="K179" i="7" s="1"/>
  <c r="B180" i="7" l="1"/>
  <c r="I180" i="7" s="1"/>
  <c r="K180" i="7" s="1"/>
  <c r="B181" i="7" l="1"/>
  <c r="I181" i="7" s="1"/>
  <c r="K181" i="7" s="1"/>
  <c r="B182" i="7" l="1"/>
  <c r="I182" i="7" l="1"/>
  <c r="K182" i="7" s="1"/>
  <c r="M182" i="7"/>
  <c r="B183" i="7"/>
  <c r="I183" i="7" s="1"/>
  <c r="K183" i="7" s="1"/>
  <c r="B184" i="7" l="1"/>
  <c r="I184" i="7" s="1"/>
  <c r="K184" i="7" s="1"/>
  <c r="B185" i="7" l="1"/>
  <c r="I185" i="7" s="1"/>
  <c r="K185" i="7" s="1"/>
  <c r="B186" i="7" l="1"/>
  <c r="I186" i="7" l="1"/>
  <c r="K186" i="7" s="1"/>
  <c r="B187" i="7" s="1"/>
  <c r="I187" i="7" s="1"/>
  <c r="K187" i="7" s="1"/>
  <c r="M186" i="7"/>
  <c r="B188" i="7" l="1"/>
  <c r="I188" i="7" s="1"/>
  <c r="K188" i="7" s="1"/>
  <c r="B189" i="7" l="1"/>
  <c r="I189" i="7" s="1"/>
  <c r="K189" i="7" s="1"/>
  <c r="B190" i="7" l="1"/>
  <c r="I190" i="7" s="1"/>
  <c r="K190" i="7" s="1"/>
  <c r="B191" i="7" l="1"/>
  <c r="I191" i="7" l="1"/>
  <c r="K191" i="7" s="1"/>
  <c r="B192" i="7" s="1"/>
  <c r="I192" i="7" s="1"/>
  <c r="K192" i="7" s="1"/>
  <c r="M191" i="7"/>
  <c r="B193" i="7" l="1"/>
  <c r="I193" i="7" s="1"/>
  <c r="K193" i="7" s="1"/>
  <c r="B194" i="7" l="1"/>
  <c r="I194" i="7" l="1"/>
  <c r="K194" i="7" s="1"/>
  <c r="M194" i="7"/>
  <c r="B195" i="7"/>
  <c r="I195" i="7" s="1"/>
  <c r="K195" i="7" s="1"/>
  <c r="B196" i="7" l="1"/>
  <c r="I196" i="7" l="1"/>
  <c r="K196" i="7" s="1"/>
  <c r="M196" i="7"/>
  <c r="B197" i="7"/>
  <c r="I197" i="7" s="1"/>
  <c r="K197" i="7" s="1"/>
  <c r="B198" i="7" l="1"/>
  <c r="I198" i="7" s="1"/>
  <c r="K198" i="7" s="1"/>
  <c r="B199" i="7" l="1"/>
  <c r="I199" i="7" l="1"/>
  <c r="K199" i="7" s="1"/>
  <c r="M199" i="7"/>
  <c r="R5" i="7" s="1"/>
  <c r="Q5" i="7" s="1" a="1"/>
  <c r="Q5" i="7" s="1"/>
  <c r="B200" i="7"/>
  <c r="I200" i="7" s="1"/>
  <c r="K200" i="7" s="1"/>
  <c r="B201" i="7" l="1"/>
  <c r="I201" i="7" s="1"/>
  <c r="K201" i="7" s="1"/>
  <c r="B202" i="7" l="1"/>
  <c r="I202" i="7" s="1"/>
  <c r="K202" i="7" s="1"/>
  <c r="B203" i="7" l="1"/>
  <c r="I203" i="7" s="1"/>
  <c r="K203" i="7" s="1"/>
  <c r="R7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326361-28D8-4969-8CA6-0DF7B2303CD2}" keepAlive="1" name="Zapytanie — statek" description="Połączenie z zapytaniem „statek” w skoroszycie." type="5" refreshedVersion="8" background="1" saveData="1">
    <dbPr connection="Provider=Microsoft.Mashup.OleDb.1;Data Source=$Workbook$;Location=statek;Extended Properties=&quot;&quot;" command="SELECT * FROM [statek]"/>
  </connection>
  <connection id="2" xr16:uid="{8FF8CE90-92A2-4B29-A55A-213F2D756766}" keepAlive="1" name="Zapytanie — statek (2)" description="Połączenie z zapytaniem „statek (2)” w skoroszycie." type="5" refreshedVersion="8" background="1" saveData="1">
    <dbPr connection="Provider=Microsoft.Mashup.OleDb.1;Data Source=$Workbook$;Location=&quot;statek (2)&quot;;Extended Properties=&quot;&quot;" command="SELECT * FROM [statek (2)]"/>
  </connection>
  <connection id="3" xr16:uid="{44A96750-A834-4CE8-89EF-F2D4CDED510D}" keepAlive="1" name="Zapytanie — statek (3)" description="Połączenie z zapytaniem „statek (3)” w skoroszycie." type="5" refreshedVersion="8" background="1" saveData="1">
    <dbPr connection="Provider=Microsoft.Mashup.OleDb.1;Data Source=$Workbook$;Location=&quot;statek (3)&quot;;Extended Properties=&quot;&quot;" command="SELECT * FROM [statek (3)]"/>
  </connection>
  <connection id="4" xr16:uid="{80436D69-255D-4EB7-8CBB-BAE909E3FA53}" keepAlive="1" name="Zapytanie — statek (4)" description="Połączenie z zapytaniem „statek (4)” w skoroszycie." type="5" refreshedVersion="8" background="1" saveData="1">
    <dbPr connection="Provider=Microsoft.Mashup.OleDb.1;Data Source=$Workbook$;Location=&quot;statek (4)&quot;;Extended Properties=&quot;&quot;" command="SELECT * FROM [statek (4)]"/>
  </connection>
  <connection id="5" xr16:uid="{2AB0AB15-77E2-47A9-8CD2-00A863DDE472}" keepAlive="1" name="Zapytanie — statek (5)" description="Połączenie z zapytaniem „statek (5)” w skoroszycie." type="5" refreshedVersion="8" background="1" saveData="1">
    <dbPr connection="Provider=Microsoft.Mashup.OleDb.1;Data Source=$Workbook$;Location=&quot;statek (5)&quot;;Extended Properties=&quot;&quot;" command="SELECT * FROM [statek (5)]"/>
  </connection>
  <connection id="6" xr16:uid="{50E01CDE-E589-49A2-A1CE-F8D6786392FD}" keepAlive="1" name="Zapytanie — statek (6)" description="Połączenie z zapytaniem „statek (6)” w skoroszycie." type="5" refreshedVersion="8" background="1" saveData="1">
    <dbPr connection="Provider=Microsoft.Mashup.OleDb.1;Data Source=$Workbook$;Location=&quot;statek (6)&quot;;Extended Properties=&quot;&quot;" command="SELECT * FROM [statek (6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<sst xmlns="http://schemas.openxmlformats.org/spreadsheetml/2006/main" count="3773" uniqueCount="91">
  <si>
    <t>data</t>
  </si>
  <si>
    <t>port</t>
  </si>
  <si>
    <t>towar</t>
  </si>
  <si>
    <t>Z/W</t>
  </si>
  <si>
    <t>ile ton</t>
  </si>
  <si>
    <t>cena za tone w talarach</t>
  </si>
  <si>
    <t>Algier</t>
  </si>
  <si>
    <t>T4</t>
  </si>
  <si>
    <t>Z</t>
  </si>
  <si>
    <t>T5</t>
  </si>
  <si>
    <t>T1</t>
  </si>
  <si>
    <t>T2</t>
  </si>
  <si>
    <t>T3</t>
  </si>
  <si>
    <t>Tunis</t>
  </si>
  <si>
    <t>W</t>
  </si>
  <si>
    <t>Benghazi</t>
  </si>
  <si>
    <t>Aleksandria</t>
  </si>
  <si>
    <t>Bejrut</t>
  </si>
  <si>
    <t>Palermo</t>
  </si>
  <si>
    <t>Neapol</t>
  </si>
  <si>
    <t>Monako</t>
  </si>
  <si>
    <t>Barcelona</t>
  </si>
  <si>
    <t>Walencja</t>
  </si>
  <si>
    <t>Etykiety wierszy</t>
  </si>
  <si>
    <t>Suma końcowa</t>
  </si>
  <si>
    <t>Suma z ile ton</t>
  </si>
  <si>
    <t>Liczba z data</t>
  </si>
  <si>
    <t>łączna masa</t>
  </si>
  <si>
    <t>czy_zmiana_zaladunku_na_wyladunek</t>
  </si>
  <si>
    <t>ile_dni</t>
  </si>
  <si>
    <t>Kolumna1</t>
  </si>
  <si>
    <t>bilans_towaru</t>
  </si>
  <si>
    <t>Suma z bilans_towaru</t>
  </si>
  <si>
    <t>czego_najmniej</t>
  </si>
  <si>
    <t>ile_najmniej</t>
  </si>
  <si>
    <t>ile_najw</t>
  </si>
  <si>
    <t>czego_najw</t>
  </si>
  <si>
    <t>miesiac</t>
  </si>
  <si>
    <t>ile_zaladowano</t>
  </si>
  <si>
    <t>ile_wyładowano</t>
  </si>
  <si>
    <t>Suma z ile_zaladowano</t>
  </si>
  <si>
    <t>Suma z ile_wyładowano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</si>
  <si>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</si>
  <si>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</si>
  <si>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</si>
  <si>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</si>
  <si>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</si>
  <si>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</si>
  <si>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</si>
  <si>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</si>
  <si>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</si>
  <si>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</si>
  <si>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</si>
  <si>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</si>
  <si>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</si>
  <si>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</si>
  <si>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</si>
  <si>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</si>
  <si>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</si>
  <si>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</si>
  <si>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</si>
  <si>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</si>
  <si>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</si>
  <si>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</si>
  <si>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</si>
  <si>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</si>
  <si>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</si>
  <si>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</si>
  <si>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</si>
  <si>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</si>
  <si>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</si>
  <si>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</si>
  <si>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</si>
  <si>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</si>
  <si>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</si>
  <si>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</si>
  <si>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</si>
  <si>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</si>
  <si>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ile_talarow</t>
  </si>
  <si>
    <t>ile_za_zaladunek</t>
  </si>
  <si>
    <t>ile_za_wyładunek</t>
  </si>
  <si>
    <t>ile_talarow_po_zaladowaniu</t>
  </si>
  <si>
    <t>ile_po_wyladunku</t>
  </si>
  <si>
    <t>a</t>
  </si>
  <si>
    <t>ile_talarow_pod_koniec</t>
  </si>
  <si>
    <t>dzien</t>
  </si>
  <si>
    <t>b</t>
  </si>
  <si>
    <t>max</t>
  </si>
  <si>
    <t>czy_debet</t>
  </si>
  <si>
    <t>czy_wyplynal</t>
  </si>
  <si>
    <t>kwota_dzien_przed_wyplynieciem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</si>
</sst>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14" fontId="0" fillId="2" borderId="0" xfId="0" applyNumberFormat="1" applyFill="1"/>
    <xf numFmtId="0" fontId="0" fillId="2" borderId="1" xfId="0" applyFill="1" applyBorder="1"/>
    <xf numFmtId="0" fontId="0" fillId="0" borderId="0" xfId="0" applyNumberFormat="1"/>
  </cellXfs>
  <cellStyles count="1">
    <cellStyle name="Normalny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[6.xlsx]6.4!Tabela przestawna6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załadowanego / wyładowanego towaru T5 w każdym miesiącu od 1 stycznia 2016 do 18 grudnia 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'6.4'!$M$1</c:f>
              <c:strCache>
                <c:ptCount val="1"/>
                <c:pt idx="0">
                  <c:v>Suma z ile_zaladowano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'6.4'!$L$2:$L$38</c:f>
              <c:strCache>
                <c:ptCount val="36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  <c:pt idx="12">
                  <c:v>2017-01</c:v>
                </c:pt>
                <c:pt idx="13">
                  <c:v>2017-02</c:v>
                </c:pt>
                <c:pt idx="14">
                  <c:v>2017-03</c:v>
                </c:pt>
                <c:pt idx="15">
                  <c:v>2017-04</c:v>
                </c:pt>
                <c:pt idx="16">
                  <c:v>2017-05</c:v>
                </c:pt>
                <c:pt idx="17">
                  <c:v>2017-06</c:v>
                </c:pt>
                <c:pt idx="18">
                  <c:v>2017-07</c:v>
                </c:pt>
                <c:pt idx="19">
                  <c:v>2017-08</c:v>
                </c:pt>
                <c:pt idx="20">
                  <c:v>2017-09</c:v>
                </c:pt>
                <c:pt idx="21">
                  <c:v>2017-10</c:v>
                </c:pt>
                <c:pt idx="22">
                  <c:v>2017-11</c:v>
                </c:pt>
                <c:pt idx="23">
                  <c:v>2017-12</c:v>
                </c:pt>
                <c:pt idx="24">
                  <c:v>2018-01</c:v>
                </c:pt>
                <c:pt idx="25">
                  <c:v>2018-02</c:v>
                </c:pt>
                <c:pt idx="26">
                  <c:v>2018-03</c:v>
                </c:pt>
                <c:pt idx="27">
                  <c:v>2018-04</c:v>
                </c:pt>
                <c:pt idx="28">
                  <c:v>2018-05</c:v>
                </c:pt>
                <c:pt idx="29">
                  <c:v>2018-06</c:v>
                </c:pt>
                <c:pt idx="30">
                  <c:v>2018-07</c:v>
                </c:pt>
                <c:pt idx="31">
                  <c:v>2018-08</c:v>
                </c:pt>
                <c:pt idx="32">
                  <c:v>2018-09</c:v>
                </c:pt>
                <c:pt idx="33">
                  <c:v>2018-10</c:v>
                </c:pt>
                <c:pt idx="34">
                  <c:v>2018-11</c:v>
                </c:pt>
                <c:pt idx="35">
                  <c:v>2018-12</c:v>
                </c:pt>
              </c:strCache>
            </c:strRef>
          </c:cat>
          <c:val>
            <c:numRef>
              <c:f>'6.4'!$M$2:$M$38</c:f>
              <c:numCache>
                <c:formatCode>General</c:formatCode>
                <c:ptCount val="36"/>
                <c:pt idx="0">
                  <c:v>76</c:v>
                </c:pt>
                <c:pt idx="1">
                  <c:v>8</c:v>
                </c:pt>
                <c:pt idx="2">
                  <c:v>0</c:v>
                </c:pt>
                <c:pt idx="3">
                  <c:v>68</c:v>
                </c:pt>
                <c:pt idx="4">
                  <c:v>0</c:v>
                </c:pt>
                <c:pt idx="5">
                  <c:v>42</c:v>
                </c:pt>
                <c:pt idx="6">
                  <c:v>83</c:v>
                </c:pt>
                <c:pt idx="7">
                  <c:v>0</c:v>
                </c:pt>
                <c:pt idx="8">
                  <c:v>44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39</c:v>
                </c:pt>
                <c:pt idx="13">
                  <c:v>0</c:v>
                </c:pt>
                <c:pt idx="14">
                  <c:v>35</c:v>
                </c:pt>
                <c:pt idx="15">
                  <c:v>1</c:v>
                </c:pt>
                <c:pt idx="16">
                  <c:v>33</c:v>
                </c:pt>
                <c:pt idx="17">
                  <c:v>8</c:v>
                </c:pt>
                <c:pt idx="18">
                  <c:v>42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0</c:v>
                </c:pt>
                <c:pt idx="24">
                  <c:v>10</c:v>
                </c:pt>
                <c:pt idx="25">
                  <c:v>34</c:v>
                </c:pt>
                <c:pt idx="26">
                  <c:v>0</c:v>
                </c:pt>
                <c:pt idx="27">
                  <c:v>5</c:v>
                </c:pt>
                <c:pt idx="28">
                  <c:v>0</c:v>
                </c:pt>
                <c:pt idx="29">
                  <c:v>95</c:v>
                </c:pt>
                <c:pt idx="30">
                  <c:v>25</c:v>
                </c:pt>
                <c:pt idx="31">
                  <c:v>22</c:v>
                </c:pt>
                <c:pt idx="32">
                  <c:v>0</c:v>
                </c:pt>
                <c:pt idx="33">
                  <c:v>20</c:v>
                </c:pt>
                <c:pt idx="34">
                  <c:v>48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5-4A06-BC01-BE2DB574F81A}"/>
            </c:ext>
          </c:extLst>
        </c:ser>
        <c:ser>
          <c:idx val="1"/>
          <c:order val="1"/>
          <c:tx>
            <c:strRef>
              <c:f>'6.4'!$N$1</c:f>
              <c:strCache>
                <c:ptCount val="1"/>
                <c:pt idx="0">
                  <c:v>Suma z ile_wyładowano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'6.4'!$L$2:$L$38</c:f>
              <c:strCache>
                <c:ptCount val="36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  <c:pt idx="12">
                  <c:v>2017-01</c:v>
                </c:pt>
                <c:pt idx="13">
                  <c:v>2017-02</c:v>
                </c:pt>
                <c:pt idx="14">
                  <c:v>2017-03</c:v>
                </c:pt>
                <c:pt idx="15">
                  <c:v>2017-04</c:v>
                </c:pt>
                <c:pt idx="16">
                  <c:v>2017-05</c:v>
                </c:pt>
                <c:pt idx="17">
                  <c:v>2017-06</c:v>
                </c:pt>
                <c:pt idx="18">
                  <c:v>2017-07</c:v>
                </c:pt>
                <c:pt idx="19">
                  <c:v>2017-08</c:v>
                </c:pt>
                <c:pt idx="20">
                  <c:v>2017-09</c:v>
                </c:pt>
                <c:pt idx="21">
                  <c:v>2017-10</c:v>
                </c:pt>
                <c:pt idx="22">
                  <c:v>2017-11</c:v>
                </c:pt>
                <c:pt idx="23">
                  <c:v>2017-12</c:v>
                </c:pt>
                <c:pt idx="24">
                  <c:v>2018-01</c:v>
                </c:pt>
                <c:pt idx="25">
                  <c:v>2018-02</c:v>
                </c:pt>
                <c:pt idx="26">
                  <c:v>2018-03</c:v>
                </c:pt>
                <c:pt idx="27">
                  <c:v>2018-04</c:v>
                </c:pt>
                <c:pt idx="28">
                  <c:v>2018-05</c:v>
                </c:pt>
                <c:pt idx="29">
                  <c:v>2018-06</c:v>
                </c:pt>
                <c:pt idx="30">
                  <c:v>2018-07</c:v>
                </c:pt>
                <c:pt idx="31">
                  <c:v>2018-08</c:v>
                </c:pt>
                <c:pt idx="32">
                  <c:v>2018-09</c:v>
                </c:pt>
                <c:pt idx="33">
                  <c:v>2018-10</c:v>
                </c:pt>
                <c:pt idx="34">
                  <c:v>2018-11</c:v>
                </c:pt>
                <c:pt idx="35">
                  <c:v>2018-12</c:v>
                </c:pt>
              </c:strCache>
            </c:strRef>
          </c:cat>
          <c:val>
            <c:numRef>
              <c:f>'6.4'!$N$2:$N$38</c:f>
              <c:numCache>
                <c:formatCode>General</c:formatCode>
                <c:ptCount val="36"/>
                <c:pt idx="0">
                  <c:v>32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191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68</c:v>
                </c:pt>
                <c:pt idx="17">
                  <c:v>0</c:v>
                </c:pt>
                <c:pt idx="18">
                  <c:v>0</c:v>
                </c:pt>
                <c:pt idx="19">
                  <c:v>48</c:v>
                </c:pt>
                <c:pt idx="20">
                  <c:v>0</c:v>
                </c:pt>
                <c:pt idx="21">
                  <c:v>6</c:v>
                </c:pt>
                <c:pt idx="22">
                  <c:v>1</c:v>
                </c:pt>
                <c:pt idx="23">
                  <c:v>0</c:v>
                </c:pt>
                <c:pt idx="24">
                  <c:v>22</c:v>
                </c:pt>
                <c:pt idx="25">
                  <c:v>0</c:v>
                </c:pt>
                <c:pt idx="26">
                  <c:v>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121</c:v>
                </c:pt>
                <c:pt idx="32">
                  <c:v>26</c:v>
                </c:pt>
                <c:pt idx="33">
                  <c:v>0</c:v>
                </c:pt>
                <c:pt idx="34">
                  <c:v>64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45-4A06-BC01-BE2DB574F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3246272"/>
        <c:axId val="1753243872"/>
      </c:barChart>
      <c:catAx>
        <c:axId val="1753246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53243872"/>
        <c:crosses val="autoZero"/>
        <c:auto val="1"/>
        <c:lblAlgn val="ctr"/>
        <c:lblOffset val="100"/>
        <c:noMultiLvlLbl val="0"/>
      </c:catAx>
      <c:valAx>
        <c:axId val="17532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ton załadowanego</a:t>
                </a:r>
                <a:r>
                  <a:rPr lang="pl-PL" baseline="0"/>
                  <a:t> / wyładowanego towaru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5324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773205</xdr:colOff>
      <xdr:row>39</xdr:row>
      <xdr:rowOff>4761</xdr:rowOff>
    </xdr:from>
    <xdr:to>
      <xdr:col>22</xdr:col>
      <xdr:colOff>257734</xdr:colOff>
      <xdr:row>70</xdr:row>
      <xdr:rowOff>22412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D68E62E-7124-D9B2-0531-83C6F16B4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87.634013078707" createdVersion="8" refreshedVersion="8" minRefreshableVersion="3" recordCount="202" xr:uid="{736F0760-D5F4-40EC-B91D-7DA0C5ADD8DD}">
  <cacheSource type="worksheet">
    <worksheetSource name="statek3"/>
  </cacheSource>
  <cacheFields count="9">
    <cacheField name="data" numFmtId="14">
      <sharedItems containsSemiMixedTypes="0" containsNonDate="0" containsDate="1" containsString="0" minDate="2016-01-01T00:00:00" maxDate="2018-12-19T00:00:00" count="56">
        <d v="2016-01-01T00:00:00"/>
        <d v="2016-01-16T00:00:00"/>
        <d v="2016-01-24T00:00:00"/>
        <d v="2016-02-19T00:00:00"/>
        <d v="2016-03-11T00:00:00"/>
        <d v="2016-04-04T00:00:00"/>
        <d v="2016-04-22T00:00:00"/>
        <d v="2016-05-14T00:00:00"/>
        <d v="2016-06-08T00:00:00"/>
        <d v="2016-06-21T00:00:00"/>
        <d v="2016-07-08T00:00:00"/>
        <d v="2016-07-23T00:00:00"/>
        <d v="2016-08-11T00:00:00"/>
        <d v="2016-09-06T00:00:00"/>
        <d v="2016-09-27T00:00:00"/>
        <d v="2016-10-21T00:00:00"/>
        <d v="2016-11-08T00:00:00"/>
        <d v="2016-11-30T00:00:00"/>
        <d v="2016-12-25T00:00:00"/>
        <d v="2017-01-07T00:00:00"/>
        <d v="2017-01-24T00:00:00"/>
        <d v="2017-02-08T00:00:00"/>
        <d v="2017-02-27T00:00:00"/>
        <d v="2017-03-25T00:00:00"/>
        <d v="2017-04-15T00:00:00"/>
        <d v="2017-05-09T00:00:00"/>
        <d v="2017-05-27T00:00:00"/>
        <d v="2017-06-18T00:00:00"/>
        <d v="2017-07-13T00:00:00"/>
        <d v="2017-07-26T00:00:00"/>
        <d v="2017-08-12T00:00:00"/>
        <d v="2017-08-27T00:00:00"/>
        <d v="2017-09-15T00:00:00"/>
        <d v="2017-10-11T00:00:00"/>
        <d v="2017-11-01T00:00:00"/>
        <d v="2017-11-25T00:00:00"/>
        <d v="2017-12-13T00:00:00"/>
        <d v="2018-01-04T00:00:00"/>
        <d v="2018-01-29T00:00:00"/>
        <d v="2018-01-30T00:00:00"/>
        <d v="2018-02-16T00:00:00"/>
        <d v="2018-03-03T00:00:00"/>
        <d v="2018-03-22T00:00:00"/>
        <d v="2018-04-17T00:00:00"/>
        <d v="2018-05-08T00:00:00"/>
        <d v="2018-06-01T00:00:00"/>
        <d v="2018-06-19T00:00:00"/>
        <d v="2018-07-11T00:00:00"/>
        <d v="2018-08-05T00:00:00"/>
        <d v="2018-08-18T00:00:00"/>
        <d v="2018-09-04T00:00:00"/>
        <d v="2018-09-19T00:00:00"/>
        <d v="2018-10-08T00:00:00"/>
        <d v="2018-11-03T00:00:00"/>
        <d v="2018-11-24T00:00:00"/>
        <d v="2018-12-18T00:00:00"/>
      </sharedItems>
      <fieldGroup par="8"/>
    </cacheField>
    <cacheField name="port" numFmtId="0">
      <sharedItems/>
    </cacheField>
    <cacheField name="towar" numFmtId="0">
      <sharedItems count="5">
        <s v="T4"/>
        <s v="T5"/>
        <s v="T1"/>
        <s v="T2"/>
        <s v="T3"/>
      </sharedItems>
    </cacheField>
    <cacheField name="Z/W" numFmtId="0">
      <sharedItems count="2">
        <s v="Z"/>
        <s v="W"/>
      </sharedItems>
    </cacheField>
    <cacheField name="ile ton" numFmtId="0">
      <sharedItems containsSemiMixedTypes="0" containsString="0" containsNumber="1" containsInteger="1" minValue="1" maxValue="192" count="67">
        <n v="3"/>
        <n v="32"/>
        <n v="38"/>
        <n v="33"/>
        <n v="43"/>
        <n v="14"/>
        <n v="44"/>
        <n v="1"/>
        <n v="21"/>
        <n v="9"/>
        <n v="8"/>
        <n v="50"/>
        <n v="7"/>
        <n v="10"/>
        <n v="25"/>
        <n v="36"/>
        <n v="5"/>
        <n v="35"/>
        <n v="4"/>
        <n v="42"/>
        <n v="28"/>
        <n v="19"/>
        <n v="72"/>
        <n v="37"/>
        <n v="48"/>
        <n v="191"/>
        <n v="47"/>
        <n v="41"/>
        <n v="45"/>
        <n v="40"/>
        <n v="17"/>
        <n v="2"/>
        <n v="23"/>
        <n v="11"/>
        <n v="30"/>
        <n v="97"/>
        <n v="79"/>
        <n v="26"/>
        <n v="39"/>
        <n v="112"/>
        <n v="34"/>
        <n v="74"/>
        <n v="12"/>
        <n v="15"/>
        <n v="86"/>
        <n v="110"/>
        <n v="13"/>
        <n v="68"/>
        <n v="22"/>
        <n v="116"/>
        <n v="29"/>
        <n v="20"/>
        <n v="24"/>
        <n v="6"/>
        <n v="147"/>
        <n v="134"/>
        <n v="49"/>
        <n v="46"/>
        <n v="16"/>
        <n v="27"/>
        <n v="184"/>
        <n v="192"/>
        <n v="18"/>
        <n v="121"/>
        <n v="61"/>
        <n v="82"/>
        <n v="64"/>
      </sharedItems>
    </cacheField>
    <cacheField name="cena za tone w talarach" numFmtId="0">
      <sharedItems containsSemiMixedTypes="0" containsString="0" containsNumber="1" containsInteger="1" minValue="7" maxValue="100"/>
    </cacheField>
    <cacheField name="Miesiące (data)" numFmtId="0" databaseField="0">
      <fieldGroup base="0">
        <rangePr groupBy="months" startDate="2016-01-01T00:00:00" endDate="2018-12-19T00:00:00"/>
        <groupItems count="14">
          <s v="&lt;01.01.2016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9.12.2018"/>
        </groupItems>
      </fieldGroup>
    </cacheField>
    <cacheField name="Kwartały (data)" numFmtId="0" databaseField="0">
      <fieldGroup base="0">
        <rangePr groupBy="quarters" startDate="2016-01-01T00:00:00" endDate="2018-12-19T00:00:00"/>
        <groupItems count="6">
          <s v="&lt;01.01.2016"/>
          <s v="Kwartał1"/>
          <s v="Kwartał2"/>
          <s v="Kwartał3"/>
          <s v="Kwartał4"/>
          <s v="&gt;19.12.2018"/>
        </groupItems>
      </fieldGroup>
    </cacheField>
    <cacheField name="Lata (data)" numFmtId="0" databaseField="0">
      <fieldGroup base="0">
        <rangePr groupBy="years" startDate="2016-01-01T00:00:00" endDate="2018-12-19T00:00:00"/>
        <groupItems count="5">
          <s v="&lt;01.01.2016"/>
          <s v="2016"/>
          <s v="2017"/>
          <s v="2018"/>
          <s v="&gt;19.12.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87.642991435183" createdVersion="8" refreshedVersion="8" minRefreshableVersion="3" recordCount="10" xr:uid="{EE0B0435-37C8-4BA4-B3E9-EBE7BBC06BCC}">
  <cacheSource type="worksheet">
    <worksheetSource ref="A1:G11" sheet="6.3"/>
  </cacheSource>
  <cacheFields count="7">
    <cacheField name="data" numFmtId="14">
      <sharedItems containsSemiMixedTypes="0" containsNonDate="0" containsDate="1" containsString="0" minDate="2016-01-01T00:00:00" maxDate="2016-01-25T00:00:00"/>
    </cacheField>
    <cacheField name="port" numFmtId="0">
      <sharedItems/>
    </cacheField>
    <cacheField name="towar" numFmtId="0">
      <sharedItems count="5">
        <s v="T4"/>
        <s v="T5"/>
        <s v="T1"/>
        <s v="T2"/>
        <s v="T3"/>
      </sharedItems>
    </cacheField>
    <cacheField name="Z/W" numFmtId="0">
      <sharedItems/>
    </cacheField>
    <cacheField name="ile ton" numFmtId="0">
      <sharedItems containsSemiMixedTypes="0" containsString="0" containsNumber="1" containsInteger="1" minValue="1" maxValue="44"/>
    </cacheField>
    <cacheField name="bilans_towaru" numFmtId="0">
      <sharedItems containsSemiMixedTypes="0" containsString="0" containsNumber="1" containsInteger="1" minValue="-32" maxValue="44"/>
    </cacheField>
    <cacheField name="cena za tone w talarach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87.644917129626" createdVersion="8" refreshedVersion="8" minRefreshableVersion="3" recordCount="172" xr:uid="{03BA2BA0-8F3D-4EFC-BEFE-E554CDA0FB22}">
  <cacheSource type="worksheet">
    <worksheetSource ref="A1:G173" sheet="6.3"/>
  </cacheSource>
  <cacheFields count="7">
    <cacheField name="data" numFmtId="14">
      <sharedItems containsSemiMixedTypes="0" containsNonDate="0" containsDate="1" containsString="0" minDate="2016-01-01T00:00:00" maxDate="2018-07-12T00:00:00"/>
    </cacheField>
    <cacheField name="port" numFmtId="0">
      <sharedItems/>
    </cacheField>
    <cacheField name="towar" numFmtId="0">
      <sharedItems count="5">
        <s v="T4"/>
        <s v="T5"/>
        <s v="T1"/>
        <s v="T2"/>
        <s v="T3"/>
      </sharedItems>
    </cacheField>
    <cacheField name="Z/W" numFmtId="0">
      <sharedItems/>
    </cacheField>
    <cacheField name="ile ton" numFmtId="0">
      <sharedItems containsSemiMixedTypes="0" containsString="0" containsNumber="1" containsInteger="1" minValue="1" maxValue="192"/>
    </cacheField>
    <cacheField name="bilans_towaru" numFmtId="0">
      <sharedItems containsSemiMixedTypes="0" containsString="0" containsNumber="1" containsInteger="1" minValue="-192" maxValue="49"/>
    </cacheField>
    <cacheField name="cena za tone w talarach" numFmtId="0">
      <sharedItems containsSemiMixedTypes="0" containsString="0" containsNumber="1" containsInteger="1" minValue="7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87.652842361109" createdVersion="8" refreshedVersion="8" minRefreshableVersion="3" recordCount="202" xr:uid="{3CC82AC6-E172-4531-9EF9-BD108ACBBB2E}">
  <cacheSource type="worksheet">
    <worksheetSource name="statek6"/>
  </cacheSource>
  <cacheFields count="10">
    <cacheField name="data" numFmtId="14">
      <sharedItems containsSemiMixedTypes="0" containsNonDate="0" containsDate="1" containsString="0" minDate="2016-01-01T00:00:00" maxDate="2018-12-19T00:00:00"/>
    </cacheField>
    <cacheField name="port" numFmtId="0">
      <sharedItems/>
    </cacheField>
    <cacheField name="towar" numFmtId="0">
      <sharedItems/>
    </cacheField>
    <cacheField name="Z/W" numFmtId="0">
      <sharedItems/>
    </cacheField>
    <cacheField name="ile ton" numFmtId="0">
      <sharedItems containsSemiMixedTypes="0" containsString="0" containsNumber="1" containsInteger="1" minValue="1" maxValue="192"/>
    </cacheField>
    <cacheField name="cena za tone w talarach" numFmtId="0">
      <sharedItems containsSemiMixedTypes="0" containsString="0" containsNumber="1" containsInteger="1" minValue="7" maxValue="100"/>
    </cacheField>
    <cacheField name="Kolumna1" numFmtId="0">
      <sharedItems containsSemiMixedTypes="0" containsString="0" containsNumber="1" containsInteger="1" minValue="1" maxValue="12"/>
    </cacheField>
    <cacheField name="miesiac" numFmtId="0">
      <sharedItems containsMixedTypes="1" containsNumber="1" containsInteger="1" minValue="1" maxValue="12" count="48">
        <s v="2016-01"/>
        <s v="2016-02"/>
        <s v="2016-03"/>
        <s v="2016-04"/>
        <s v="2016-05"/>
        <s v="2016-06"/>
        <s v="2016-07"/>
        <s v="2016-08"/>
        <s v="2016-09"/>
        <s v="2016-10"/>
        <s v="2016-11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  <s v="2018-09"/>
        <s v="2018-10"/>
        <s v="2018-11"/>
        <s v="2018-12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</sharedItems>
    </cacheField>
    <cacheField name="ile_zaladowano" numFmtId="0">
      <sharedItems containsSemiMixedTypes="0" containsString="0" containsNumber="1" containsInteger="1" minValue="0" maxValue="48"/>
    </cacheField>
    <cacheField name="ile_wyładowano" numFmtId="0">
      <sharedItems containsSemiMixedTypes="0" containsString="0" containsNumber="1" containsInteger="1" minValue="0" maxValue="1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s v="Algier"/>
    <x v="0"/>
    <x v="0"/>
    <x v="0"/>
    <n v="80"/>
  </r>
  <r>
    <x v="0"/>
    <s v="Algier"/>
    <x v="1"/>
    <x v="0"/>
    <x v="1"/>
    <n v="50"/>
  </r>
  <r>
    <x v="0"/>
    <s v="Algier"/>
    <x v="2"/>
    <x v="0"/>
    <x v="2"/>
    <n v="10"/>
  </r>
  <r>
    <x v="0"/>
    <s v="Algier"/>
    <x v="3"/>
    <x v="0"/>
    <x v="3"/>
    <n v="30"/>
  </r>
  <r>
    <x v="0"/>
    <s v="Algier"/>
    <x v="4"/>
    <x v="0"/>
    <x v="4"/>
    <n v="25"/>
  </r>
  <r>
    <x v="1"/>
    <s v="Tunis"/>
    <x v="1"/>
    <x v="1"/>
    <x v="1"/>
    <n v="58"/>
  </r>
  <r>
    <x v="1"/>
    <s v="Tunis"/>
    <x v="3"/>
    <x v="0"/>
    <x v="5"/>
    <n v="26"/>
  </r>
  <r>
    <x v="2"/>
    <s v="Benghazi"/>
    <x v="1"/>
    <x v="0"/>
    <x v="6"/>
    <n v="46"/>
  </r>
  <r>
    <x v="2"/>
    <s v="Benghazi"/>
    <x v="3"/>
    <x v="0"/>
    <x v="7"/>
    <n v="28"/>
  </r>
  <r>
    <x v="2"/>
    <s v="Benghazi"/>
    <x v="0"/>
    <x v="0"/>
    <x v="8"/>
    <n v="74"/>
  </r>
  <r>
    <x v="3"/>
    <s v="Aleksandria"/>
    <x v="4"/>
    <x v="1"/>
    <x v="4"/>
    <n v="32"/>
  </r>
  <r>
    <x v="3"/>
    <s v="Aleksandria"/>
    <x v="2"/>
    <x v="1"/>
    <x v="2"/>
    <n v="13"/>
  </r>
  <r>
    <x v="3"/>
    <s v="Aleksandria"/>
    <x v="0"/>
    <x v="0"/>
    <x v="9"/>
    <n v="59"/>
  </r>
  <r>
    <x v="3"/>
    <s v="Aleksandria"/>
    <x v="1"/>
    <x v="0"/>
    <x v="10"/>
    <n v="37"/>
  </r>
  <r>
    <x v="4"/>
    <s v="Bejrut"/>
    <x v="1"/>
    <x v="1"/>
    <x v="11"/>
    <n v="61"/>
  </r>
  <r>
    <x v="4"/>
    <s v="Bejrut"/>
    <x v="4"/>
    <x v="0"/>
    <x v="1"/>
    <n v="20"/>
  </r>
  <r>
    <x v="4"/>
    <s v="Bejrut"/>
    <x v="2"/>
    <x v="0"/>
    <x v="12"/>
    <n v="8"/>
  </r>
  <r>
    <x v="4"/>
    <s v="Bejrut"/>
    <x v="3"/>
    <x v="0"/>
    <x v="13"/>
    <n v="24"/>
  </r>
  <r>
    <x v="5"/>
    <s v="Palermo"/>
    <x v="2"/>
    <x v="1"/>
    <x v="12"/>
    <n v="12"/>
  </r>
  <r>
    <x v="5"/>
    <s v="Palermo"/>
    <x v="4"/>
    <x v="0"/>
    <x v="14"/>
    <n v="19"/>
  </r>
  <r>
    <x v="5"/>
    <s v="Palermo"/>
    <x v="1"/>
    <x v="0"/>
    <x v="3"/>
    <n v="38"/>
  </r>
  <r>
    <x v="6"/>
    <s v="Neapol"/>
    <x v="3"/>
    <x v="1"/>
    <x v="15"/>
    <n v="35"/>
  </r>
  <r>
    <x v="6"/>
    <s v="Neapol"/>
    <x v="0"/>
    <x v="0"/>
    <x v="16"/>
    <n v="66"/>
  </r>
  <r>
    <x v="6"/>
    <s v="Neapol"/>
    <x v="1"/>
    <x v="0"/>
    <x v="17"/>
    <n v="41"/>
  </r>
  <r>
    <x v="7"/>
    <s v="Monako"/>
    <x v="0"/>
    <x v="1"/>
    <x v="2"/>
    <n v="98"/>
  </r>
  <r>
    <x v="7"/>
    <s v="Monako"/>
    <x v="3"/>
    <x v="0"/>
    <x v="13"/>
    <n v="23"/>
  </r>
  <r>
    <x v="8"/>
    <s v="Barcelona"/>
    <x v="3"/>
    <x v="1"/>
    <x v="18"/>
    <n v="38"/>
  </r>
  <r>
    <x v="8"/>
    <s v="Barcelona"/>
    <x v="0"/>
    <x v="0"/>
    <x v="19"/>
    <n v="60"/>
  </r>
  <r>
    <x v="8"/>
    <s v="Barcelona"/>
    <x v="2"/>
    <x v="0"/>
    <x v="20"/>
    <n v="8"/>
  </r>
  <r>
    <x v="8"/>
    <s v="Barcelona"/>
    <x v="4"/>
    <x v="0"/>
    <x v="21"/>
    <n v="19"/>
  </r>
  <r>
    <x v="9"/>
    <s v="Walencja"/>
    <x v="4"/>
    <x v="1"/>
    <x v="22"/>
    <n v="28"/>
  </r>
  <r>
    <x v="9"/>
    <s v="Walencja"/>
    <x v="0"/>
    <x v="1"/>
    <x v="19"/>
    <n v="90"/>
  </r>
  <r>
    <x v="9"/>
    <s v="Walencja"/>
    <x v="1"/>
    <x v="0"/>
    <x v="19"/>
    <n v="44"/>
  </r>
  <r>
    <x v="9"/>
    <s v="Walencja"/>
    <x v="3"/>
    <x v="0"/>
    <x v="3"/>
    <n v="26"/>
  </r>
  <r>
    <x v="9"/>
    <s v="Walencja"/>
    <x v="2"/>
    <x v="0"/>
    <x v="9"/>
    <n v="9"/>
  </r>
  <r>
    <x v="10"/>
    <s v="Algier"/>
    <x v="4"/>
    <x v="1"/>
    <x v="18"/>
    <n v="29"/>
  </r>
  <r>
    <x v="10"/>
    <s v="Algier"/>
    <x v="2"/>
    <x v="1"/>
    <x v="23"/>
    <n v="12"/>
  </r>
  <r>
    <x v="10"/>
    <s v="Algier"/>
    <x v="1"/>
    <x v="0"/>
    <x v="17"/>
    <n v="42"/>
  </r>
  <r>
    <x v="10"/>
    <s v="Algier"/>
    <x v="0"/>
    <x v="0"/>
    <x v="1"/>
    <n v="66"/>
  </r>
  <r>
    <x v="11"/>
    <s v="Tunis"/>
    <x v="0"/>
    <x v="1"/>
    <x v="1"/>
    <n v="92"/>
  </r>
  <r>
    <x v="11"/>
    <s v="Tunis"/>
    <x v="1"/>
    <x v="0"/>
    <x v="24"/>
    <n v="43"/>
  </r>
  <r>
    <x v="12"/>
    <s v="Benghazi"/>
    <x v="1"/>
    <x v="1"/>
    <x v="25"/>
    <n v="60"/>
  </r>
  <r>
    <x v="12"/>
    <s v="Benghazi"/>
    <x v="3"/>
    <x v="0"/>
    <x v="9"/>
    <n v="24"/>
  </r>
  <r>
    <x v="12"/>
    <s v="Benghazi"/>
    <x v="0"/>
    <x v="0"/>
    <x v="15"/>
    <n v="65"/>
  </r>
  <r>
    <x v="13"/>
    <s v="Aleksandria"/>
    <x v="2"/>
    <x v="0"/>
    <x v="26"/>
    <n v="7"/>
  </r>
  <r>
    <x v="13"/>
    <s v="Aleksandria"/>
    <x v="1"/>
    <x v="1"/>
    <x v="18"/>
    <n v="63"/>
  </r>
  <r>
    <x v="13"/>
    <s v="Aleksandria"/>
    <x v="4"/>
    <x v="0"/>
    <x v="10"/>
    <n v="19"/>
  </r>
  <r>
    <x v="13"/>
    <s v="Aleksandria"/>
    <x v="3"/>
    <x v="0"/>
    <x v="0"/>
    <n v="22"/>
  </r>
  <r>
    <x v="13"/>
    <s v="Aleksandria"/>
    <x v="0"/>
    <x v="0"/>
    <x v="27"/>
    <n v="59"/>
  </r>
  <r>
    <x v="14"/>
    <s v="Bejrut"/>
    <x v="1"/>
    <x v="0"/>
    <x v="6"/>
    <n v="40"/>
  </r>
  <r>
    <x v="14"/>
    <s v="Bejrut"/>
    <x v="2"/>
    <x v="1"/>
    <x v="28"/>
    <n v="12"/>
  </r>
  <r>
    <x v="14"/>
    <s v="Bejrut"/>
    <x v="4"/>
    <x v="0"/>
    <x v="29"/>
    <n v="20"/>
  </r>
  <r>
    <x v="14"/>
    <s v="Bejrut"/>
    <x v="0"/>
    <x v="0"/>
    <x v="0"/>
    <n v="63"/>
  </r>
  <r>
    <x v="14"/>
    <s v="Bejrut"/>
    <x v="3"/>
    <x v="0"/>
    <x v="30"/>
    <n v="24"/>
  </r>
  <r>
    <x v="15"/>
    <s v="Palermo"/>
    <x v="2"/>
    <x v="1"/>
    <x v="31"/>
    <n v="12"/>
  </r>
  <r>
    <x v="15"/>
    <s v="Palermo"/>
    <x v="4"/>
    <x v="0"/>
    <x v="5"/>
    <n v="19"/>
  </r>
  <r>
    <x v="15"/>
    <s v="Palermo"/>
    <x v="3"/>
    <x v="0"/>
    <x v="32"/>
    <n v="23"/>
  </r>
  <r>
    <x v="16"/>
    <s v="Neapol"/>
    <x v="2"/>
    <x v="0"/>
    <x v="33"/>
    <n v="8"/>
  </r>
  <r>
    <x v="16"/>
    <s v="Neapol"/>
    <x v="0"/>
    <x v="0"/>
    <x v="30"/>
    <n v="66"/>
  </r>
  <r>
    <x v="16"/>
    <s v="Neapol"/>
    <x v="1"/>
    <x v="0"/>
    <x v="34"/>
    <n v="41"/>
  </r>
  <r>
    <x v="17"/>
    <s v="Monako"/>
    <x v="0"/>
    <x v="1"/>
    <x v="35"/>
    <n v="98"/>
  </r>
  <r>
    <x v="17"/>
    <s v="Monako"/>
    <x v="2"/>
    <x v="1"/>
    <x v="33"/>
    <n v="12"/>
  </r>
  <r>
    <x v="17"/>
    <s v="Monako"/>
    <x v="4"/>
    <x v="0"/>
    <x v="30"/>
    <n v="20"/>
  </r>
  <r>
    <x v="17"/>
    <s v="Monako"/>
    <x v="3"/>
    <x v="0"/>
    <x v="18"/>
    <n v="23"/>
  </r>
  <r>
    <x v="18"/>
    <s v="Barcelona"/>
    <x v="4"/>
    <x v="1"/>
    <x v="36"/>
    <n v="31"/>
  </r>
  <r>
    <x v="18"/>
    <s v="Barcelona"/>
    <x v="0"/>
    <x v="0"/>
    <x v="3"/>
    <n v="60"/>
  </r>
  <r>
    <x v="18"/>
    <s v="Barcelona"/>
    <x v="3"/>
    <x v="0"/>
    <x v="37"/>
    <n v="23"/>
  </r>
  <r>
    <x v="19"/>
    <s v="Walencja"/>
    <x v="4"/>
    <x v="0"/>
    <x v="29"/>
    <n v="22"/>
  </r>
  <r>
    <x v="19"/>
    <s v="Walencja"/>
    <x v="2"/>
    <x v="0"/>
    <x v="19"/>
    <n v="9"/>
  </r>
  <r>
    <x v="19"/>
    <s v="Walencja"/>
    <x v="3"/>
    <x v="0"/>
    <x v="19"/>
    <n v="26"/>
  </r>
  <r>
    <x v="19"/>
    <s v="Walencja"/>
    <x v="0"/>
    <x v="0"/>
    <x v="9"/>
    <n v="70"/>
  </r>
  <r>
    <x v="19"/>
    <s v="Walencja"/>
    <x v="1"/>
    <x v="0"/>
    <x v="38"/>
    <n v="44"/>
  </r>
  <r>
    <x v="20"/>
    <s v="Algier"/>
    <x v="1"/>
    <x v="1"/>
    <x v="39"/>
    <n v="59"/>
  </r>
  <r>
    <x v="20"/>
    <s v="Algier"/>
    <x v="0"/>
    <x v="0"/>
    <x v="40"/>
    <n v="66"/>
  </r>
  <r>
    <x v="20"/>
    <s v="Algier"/>
    <x v="4"/>
    <x v="0"/>
    <x v="16"/>
    <n v="21"/>
  </r>
  <r>
    <x v="21"/>
    <s v="Tunis"/>
    <x v="0"/>
    <x v="1"/>
    <x v="41"/>
    <n v="92"/>
  </r>
  <r>
    <x v="21"/>
    <s v="Tunis"/>
    <x v="3"/>
    <x v="0"/>
    <x v="5"/>
    <n v="26"/>
  </r>
  <r>
    <x v="22"/>
    <s v="Benghazi"/>
    <x v="1"/>
    <x v="1"/>
    <x v="7"/>
    <n v="60"/>
  </r>
  <r>
    <x v="22"/>
    <s v="Benghazi"/>
    <x v="3"/>
    <x v="1"/>
    <x v="4"/>
    <n v="36"/>
  </r>
  <r>
    <x v="22"/>
    <s v="Benghazi"/>
    <x v="2"/>
    <x v="0"/>
    <x v="34"/>
    <n v="8"/>
  </r>
  <r>
    <x v="22"/>
    <s v="Benghazi"/>
    <x v="4"/>
    <x v="0"/>
    <x v="5"/>
    <n v="20"/>
  </r>
  <r>
    <x v="23"/>
    <s v="Aleksandria"/>
    <x v="3"/>
    <x v="1"/>
    <x v="3"/>
    <n v="38"/>
  </r>
  <r>
    <x v="23"/>
    <s v="Aleksandria"/>
    <x v="1"/>
    <x v="0"/>
    <x v="17"/>
    <n v="37"/>
  </r>
  <r>
    <x v="23"/>
    <s v="Aleksandria"/>
    <x v="4"/>
    <x v="0"/>
    <x v="29"/>
    <n v="19"/>
  </r>
  <r>
    <x v="24"/>
    <s v="Bejrut"/>
    <x v="3"/>
    <x v="1"/>
    <x v="8"/>
    <n v="36"/>
  </r>
  <r>
    <x v="24"/>
    <s v="Bejrut"/>
    <x v="0"/>
    <x v="1"/>
    <x v="31"/>
    <n v="97"/>
  </r>
  <r>
    <x v="24"/>
    <s v="Bejrut"/>
    <x v="4"/>
    <x v="0"/>
    <x v="42"/>
    <n v="20"/>
  </r>
  <r>
    <x v="24"/>
    <s v="Bejrut"/>
    <x v="2"/>
    <x v="0"/>
    <x v="43"/>
    <n v="8"/>
  </r>
  <r>
    <x v="24"/>
    <s v="Bejrut"/>
    <x v="1"/>
    <x v="0"/>
    <x v="7"/>
    <n v="40"/>
  </r>
  <r>
    <x v="25"/>
    <s v="Palermo"/>
    <x v="2"/>
    <x v="1"/>
    <x v="44"/>
    <n v="12"/>
  </r>
  <r>
    <x v="25"/>
    <s v="Palermo"/>
    <x v="4"/>
    <x v="1"/>
    <x v="45"/>
    <n v="31"/>
  </r>
  <r>
    <x v="25"/>
    <s v="Palermo"/>
    <x v="1"/>
    <x v="0"/>
    <x v="3"/>
    <n v="38"/>
  </r>
  <r>
    <x v="25"/>
    <s v="Palermo"/>
    <x v="3"/>
    <x v="0"/>
    <x v="46"/>
    <n v="23"/>
  </r>
  <r>
    <x v="25"/>
    <s v="Palermo"/>
    <x v="0"/>
    <x v="0"/>
    <x v="23"/>
    <n v="61"/>
  </r>
  <r>
    <x v="26"/>
    <s v="Neapol"/>
    <x v="2"/>
    <x v="1"/>
    <x v="7"/>
    <n v="12"/>
  </r>
  <r>
    <x v="26"/>
    <s v="Neapol"/>
    <x v="1"/>
    <x v="1"/>
    <x v="47"/>
    <n v="59"/>
  </r>
  <r>
    <x v="26"/>
    <s v="Neapol"/>
    <x v="0"/>
    <x v="0"/>
    <x v="17"/>
    <n v="66"/>
  </r>
  <r>
    <x v="26"/>
    <s v="Neapol"/>
    <x v="4"/>
    <x v="0"/>
    <x v="14"/>
    <n v="21"/>
  </r>
  <r>
    <x v="26"/>
    <s v="Neapol"/>
    <x v="3"/>
    <x v="0"/>
    <x v="13"/>
    <n v="25"/>
  </r>
  <r>
    <x v="27"/>
    <s v="Monako"/>
    <x v="3"/>
    <x v="1"/>
    <x v="2"/>
    <n v="37"/>
  </r>
  <r>
    <x v="27"/>
    <s v="Monako"/>
    <x v="2"/>
    <x v="0"/>
    <x v="48"/>
    <n v="8"/>
  </r>
  <r>
    <x v="27"/>
    <s v="Monako"/>
    <x v="4"/>
    <x v="0"/>
    <x v="14"/>
    <n v="20"/>
  </r>
  <r>
    <x v="27"/>
    <s v="Monako"/>
    <x v="1"/>
    <x v="0"/>
    <x v="10"/>
    <n v="39"/>
  </r>
  <r>
    <x v="27"/>
    <s v="Monako"/>
    <x v="0"/>
    <x v="0"/>
    <x v="28"/>
    <n v="62"/>
  </r>
  <r>
    <x v="28"/>
    <s v="Barcelona"/>
    <x v="0"/>
    <x v="1"/>
    <x v="49"/>
    <n v="100"/>
  </r>
  <r>
    <x v="28"/>
    <s v="Barcelona"/>
    <x v="4"/>
    <x v="0"/>
    <x v="50"/>
    <n v="19"/>
  </r>
  <r>
    <x v="29"/>
    <s v="Walencja"/>
    <x v="3"/>
    <x v="1"/>
    <x v="16"/>
    <n v="34"/>
  </r>
  <r>
    <x v="29"/>
    <s v="Walencja"/>
    <x v="2"/>
    <x v="1"/>
    <x v="48"/>
    <n v="11"/>
  </r>
  <r>
    <x v="29"/>
    <s v="Walencja"/>
    <x v="4"/>
    <x v="0"/>
    <x v="23"/>
    <n v="22"/>
  </r>
  <r>
    <x v="29"/>
    <s v="Walencja"/>
    <x v="0"/>
    <x v="0"/>
    <x v="13"/>
    <n v="70"/>
  </r>
  <r>
    <x v="29"/>
    <s v="Walencja"/>
    <x v="1"/>
    <x v="0"/>
    <x v="19"/>
    <n v="44"/>
  </r>
  <r>
    <x v="30"/>
    <s v="Algier"/>
    <x v="0"/>
    <x v="1"/>
    <x v="33"/>
    <n v="94"/>
  </r>
  <r>
    <x v="30"/>
    <s v="Algier"/>
    <x v="1"/>
    <x v="1"/>
    <x v="24"/>
    <n v="59"/>
  </r>
  <r>
    <x v="30"/>
    <s v="Algier"/>
    <x v="4"/>
    <x v="0"/>
    <x v="51"/>
    <n v="21"/>
  </r>
  <r>
    <x v="30"/>
    <s v="Algier"/>
    <x v="3"/>
    <x v="0"/>
    <x v="37"/>
    <n v="25"/>
  </r>
  <r>
    <x v="31"/>
    <s v="Tunis"/>
    <x v="2"/>
    <x v="0"/>
    <x v="52"/>
    <n v="9"/>
  </r>
  <r>
    <x v="31"/>
    <s v="Tunis"/>
    <x v="0"/>
    <x v="0"/>
    <x v="2"/>
    <n v="68"/>
  </r>
  <r>
    <x v="31"/>
    <s v="Tunis"/>
    <x v="4"/>
    <x v="0"/>
    <x v="5"/>
    <n v="21"/>
  </r>
  <r>
    <x v="31"/>
    <s v="Tunis"/>
    <x v="1"/>
    <x v="0"/>
    <x v="18"/>
    <n v="43"/>
  </r>
  <r>
    <x v="32"/>
    <s v="Benghazi"/>
    <x v="3"/>
    <x v="1"/>
    <x v="21"/>
    <n v="36"/>
  </r>
  <r>
    <x v="32"/>
    <s v="Benghazi"/>
    <x v="0"/>
    <x v="0"/>
    <x v="34"/>
    <n v="65"/>
  </r>
  <r>
    <x v="33"/>
    <s v="Aleksandria"/>
    <x v="1"/>
    <x v="1"/>
    <x v="53"/>
    <n v="63"/>
  </r>
  <r>
    <x v="33"/>
    <s v="Aleksandria"/>
    <x v="0"/>
    <x v="0"/>
    <x v="4"/>
    <n v="59"/>
  </r>
  <r>
    <x v="34"/>
    <s v="Bejrut"/>
    <x v="1"/>
    <x v="1"/>
    <x v="7"/>
    <n v="61"/>
  </r>
  <r>
    <x v="34"/>
    <s v="Bejrut"/>
    <x v="4"/>
    <x v="1"/>
    <x v="54"/>
    <n v="30"/>
  </r>
  <r>
    <x v="34"/>
    <s v="Bejrut"/>
    <x v="2"/>
    <x v="0"/>
    <x v="43"/>
    <n v="8"/>
  </r>
  <r>
    <x v="34"/>
    <s v="Bejrut"/>
    <x v="0"/>
    <x v="0"/>
    <x v="52"/>
    <n v="63"/>
  </r>
  <r>
    <x v="34"/>
    <s v="Bejrut"/>
    <x v="3"/>
    <x v="0"/>
    <x v="21"/>
    <n v="24"/>
  </r>
  <r>
    <x v="35"/>
    <s v="Palermo"/>
    <x v="0"/>
    <x v="1"/>
    <x v="55"/>
    <n v="99"/>
  </r>
  <r>
    <x v="35"/>
    <s v="Palermo"/>
    <x v="1"/>
    <x v="0"/>
    <x v="42"/>
    <n v="38"/>
  </r>
  <r>
    <x v="36"/>
    <s v="Neapol"/>
    <x v="4"/>
    <x v="1"/>
    <x v="18"/>
    <n v="30"/>
  </r>
  <r>
    <x v="36"/>
    <s v="Neapol"/>
    <x v="2"/>
    <x v="0"/>
    <x v="37"/>
    <n v="8"/>
  </r>
  <r>
    <x v="36"/>
    <s v="Neapol"/>
    <x v="0"/>
    <x v="0"/>
    <x v="2"/>
    <n v="66"/>
  </r>
  <r>
    <x v="37"/>
    <s v="Monako"/>
    <x v="0"/>
    <x v="1"/>
    <x v="2"/>
    <n v="98"/>
  </r>
  <r>
    <x v="37"/>
    <s v="Monako"/>
    <x v="3"/>
    <x v="1"/>
    <x v="6"/>
    <n v="37"/>
  </r>
  <r>
    <x v="37"/>
    <s v="Monako"/>
    <x v="2"/>
    <x v="0"/>
    <x v="8"/>
    <n v="8"/>
  </r>
  <r>
    <x v="37"/>
    <s v="Monako"/>
    <x v="1"/>
    <x v="0"/>
    <x v="13"/>
    <n v="39"/>
  </r>
  <r>
    <x v="38"/>
    <s v="Barcelona"/>
    <x v="3"/>
    <x v="1"/>
    <x v="43"/>
    <n v="38"/>
  </r>
  <r>
    <x v="38"/>
    <s v="Barcelona"/>
    <x v="1"/>
    <x v="1"/>
    <x v="48"/>
    <n v="63"/>
  </r>
  <r>
    <x v="38"/>
    <s v="Barcelona"/>
    <x v="0"/>
    <x v="0"/>
    <x v="9"/>
    <n v="60"/>
  </r>
  <r>
    <x v="38"/>
    <s v="Barcelona"/>
    <x v="4"/>
    <x v="0"/>
    <x v="53"/>
    <n v="19"/>
  </r>
  <r>
    <x v="38"/>
    <s v="Barcelona"/>
    <x v="2"/>
    <x v="0"/>
    <x v="18"/>
    <n v="8"/>
  </r>
  <r>
    <x v="39"/>
    <s v="Walencja"/>
    <x v="4"/>
    <x v="1"/>
    <x v="53"/>
    <n v="25"/>
  </r>
  <r>
    <x v="39"/>
    <s v="Walencja"/>
    <x v="0"/>
    <x v="0"/>
    <x v="24"/>
    <n v="79"/>
  </r>
  <r>
    <x v="40"/>
    <s v="Algier"/>
    <x v="1"/>
    <x v="0"/>
    <x v="40"/>
    <n v="42"/>
  </r>
  <r>
    <x v="40"/>
    <s v="Algier"/>
    <x v="3"/>
    <x v="1"/>
    <x v="56"/>
    <n v="35"/>
  </r>
  <r>
    <x v="40"/>
    <s v="Algier"/>
    <x v="2"/>
    <x v="0"/>
    <x v="13"/>
    <n v="8"/>
  </r>
  <r>
    <x v="40"/>
    <s v="Algier"/>
    <x v="4"/>
    <x v="0"/>
    <x v="26"/>
    <n v="21"/>
  </r>
  <r>
    <x v="40"/>
    <s v="Algier"/>
    <x v="0"/>
    <x v="0"/>
    <x v="24"/>
    <n v="66"/>
  </r>
  <r>
    <x v="41"/>
    <s v="Tunis"/>
    <x v="1"/>
    <x v="1"/>
    <x v="40"/>
    <n v="58"/>
  </r>
  <r>
    <x v="41"/>
    <s v="Tunis"/>
    <x v="2"/>
    <x v="0"/>
    <x v="16"/>
    <n v="9"/>
  </r>
  <r>
    <x v="42"/>
    <s v="Benghazi"/>
    <x v="4"/>
    <x v="1"/>
    <x v="57"/>
    <n v="30"/>
  </r>
  <r>
    <x v="42"/>
    <s v="Benghazi"/>
    <x v="0"/>
    <x v="0"/>
    <x v="56"/>
    <n v="65"/>
  </r>
  <r>
    <x v="42"/>
    <s v="Benghazi"/>
    <x v="2"/>
    <x v="0"/>
    <x v="58"/>
    <n v="8"/>
  </r>
  <r>
    <x v="43"/>
    <s v="Aleksandria"/>
    <x v="1"/>
    <x v="0"/>
    <x v="16"/>
    <n v="37"/>
  </r>
  <r>
    <x v="43"/>
    <s v="Aleksandria"/>
    <x v="4"/>
    <x v="1"/>
    <x v="7"/>
    <n v="32"/>
  </r>
  <r>
    <x v="43"/>
    <s v="Aleksandria"/>
    <x v="2"/>
    <x v="0"/>
    <x v="40"/>
    <n v="7"/>
  </r>
  <r>
    <x v="43"/>
    <s v="Aleksandria"/>
    <x v="0"/>
    <x v="0"/>
    <x v="50"/>
    <n v="59"/>
  </r>
  <r>
    <x v="44"/>
    <s v="Bejrut"/>
    <x v="3"/>
    <x v="0"/>
    <x v="40"/>
    <n v="24"/>
  </r>
  <r>
    <x v="44"/>
    <s v="Bejrut"/>
    <x v="4"/>
    <x v="0"/>
    <x v="59"/>
    <n v="20"/>
  </r>
  <r>
    <x v="44"/>
    <s v="Bejrut"/>
    <x v="2"/>
    <x v="0"/>
    <x v="29"/>
    <n v="8"/>
  </r>
  <r>
    <x v="45"/>
    <s v="Palermo"/>
    <x v="0"/>
    <x v="1"/>
    <x v="60"/>
    <n v="99"/>
  </r>
  <r>
    <x v="45"/>
    <s v="Palermo"/>
    <x v="1"/>
    <x v="0"/>
    <x v="24"/>
    <n v="38"/>
  </r>
  <r>
    <x v="45"/>
    <s v="Palermo"/>
    <x v="3"/>
    <x v="0"/>
    <x v="8"/>
    <n v="23"/>
  </r>
  <r>
    <x v="46"/>
    <s v="Neapol"/>
    <x v="0"/>
    <x v="0"/>
    <x v="26"/>
    <n v="66"/>
  </r>
  <r>
    <x v="46"/>
    <s v="Neapol"/>
    <x v="3"/>
    <x v="0"/>
    <x v="53"/>
    <n v="25"/>
  </r>
  <r>
    <x v="46"/>
    <s v="Neapol"/>
    <x v="1"/>
    <x v="0"/>
    <x v="26"/>
    <n v="41"/>
  </r>
  <r>
    <x v="47"/>
    <s v="Monako"/>
    <x v="2"/>
    <x v="1"/>
    <x v="61"/>
    <n v="12"/>
  </r>
  <r>
    <x v="47"/>
    <s v="Monako"/>
    <x v="3"/>
    <x v="1"/>
    <x v="24"/>
    <n v="37"/>
  </r>
  <r>
    <x v="47"/>
    <s v="Monako"/>
    <x v="0"/>
    <x v="0"/>
    <x v="62"/>
    <n v="62"/>
  </r>
  <r>
    <x v="47"/>
    <s v="Monako"/>
    <x v="1"/>
    <x v="0"/>
    <x v="14"/>
    <n v="39"/>
  </r>
  <r>
    <x v="47"/>
    <s v="Monako"/>
    <x v="4"/>
    <x v="0"/>
    <x v="31"/>
    <n v="20"/>
  </r>
  <r>
    <x v="48"/>
    <s v="Barcelona"/>
    <x v="3"/>
    <x v="1"/>
    <x v="46"/>
    <n v="38"/>
  </r>
  <r>
    <x v="48"/>
    <s v="Barcelona"/>
    <x v="1"/>
    <x v="1"/>
    <x v="63"/>
    <n v="63"/>
  </r>
  <r>
    <x v="48"/>
    <s v="Barcelona"/>
    <x v="4"/>
    <x v="0"/>
    <x v="34"/>
    <n v="19"/>
  </r>
  <r>
    <x v="48"/>
    <s v="Barcelona"/>
    <x v="2"/>
    <x v="0"/>
    <x v="57"/>
    <n v="8"/>
  </r>
  <r>
    <x v="49"/>
    <s v="Walencja"/>
    <x v="2"/>
    <x v="1"/>
    <x v="56"/>
    <n v="11"/>
  </r>
  <r>
    <x v="49"/>
    <s v="Walencja"/>
    <x v="0"/>
    <x v="1"/>
    <x v="64"/>
    <n v="90"/>
  </r>
  <r>
    <x v="49"/>
    <s v="Walencja"/>
    <x v="4"/>
    <x v="0"/>
    <x v="21"/>
    <n v="22"/>
  </r>
  <r>
    <x v="49"/>
    <s v="Walencja"/>
    <x v="1"/>
    <x v="0"/>
    <x v="48"/>
    <n v="44"/>
  </r>
  <r>
    <x v="50"/>
    <s v="Algier"/>
    <x v="3"/>
    <x v="0"/>
    <x v="9"/>
    <n v="25"/>
  </r>
  <r>
    <x v="50"/>
    <s v="Algier"/>
    <x v="0"/>
    <x v="1"/>
    <x v="18"/>
    <n v="94"/>
  </r>
  <r>
    <x v="50"/>
    <s v="Algier"/>
    <x v="4"/>
    <x v="0"/>
    <x v="10"/>
    <n v="21"/>
  </r>
  <r>
    <x v="50"/>
    <s v="Algier"/>
    <x v="2"/>
    <x v="0"/>
    <x v="26"/>
    <n v="8"/>
  </r>
  <r>
    <x v="51"/>
    <s v="Tunis"/>
    <x v="4"/>
    <x v="1"/>
    <x v="65"/>
    <n v="29"/>
  </r>
  <r>
    <x v="51"/>
    <s v="Tunis"/>
    <x v="1"/>
    <x v="1"/>
    <x v="37"/>
    <n v="58"/>
  </r>
  <r>
    <x v="51"/>
    <s v="Tunis"/>
    <x v="2"/>
    <x v="0"/>
    <x v="52"/>
    <n v="9"/>
  </r>
  <r>
    <x v="51"/>
    <s v="Tunis"/>
    <x v="3"/>
    <x v="0"/>
    <x v="15"/>
    <n v="26"/>
  </r>
  <r>
    <x v="51"/>
    <s v="Tunis"/>
    <x v="0"/>
    <x v="0"/>
    <x v="53"/>
    <n v="68"/>
  </r>
  <r>
    <x v="52"/>
    <s v="Benghazi"/>
    <x v="3"/>
    <x v="1"/>
    <x v="28"/>
    <n v="36"/>
  </r>
  <r>
    <x v="52"/>
    <s v="Benghazi"/>
    <x v="2"/>
    <x v="0"/>
    <x v="62"/>
    <n v="8"/>
  </r>
  <r>
    <x v="52"/>
    <s v="Benghazi"/>
    <x v="1"/>
    <x v="0"/>
    <x v="51"/>
    <n v="41"/>
  </r>
  <r>
    <x v="53"/>
    <s v="Aleksandria"/>
    <x v="4"/>
    <x v="1"/>
    <x v="18"/>
    <n v="32"/>
  </r>
  <r>
    <x v="53"/>
    <s v="Aleksandria"/>
    <x v="1"/>
    <x v="0"/>
    <x v="24"/>
    <n v="37"/>
  </r>
  <r>
    <x v="54"/>
    <s v="Bejrut"/>
    <x v="1"/>
    <x v="1"/>
    <x v="66"/>
    <n v="61"/>
  </r>
  <r>
    <x v="54"/>
    <s v="Bejrut"/>
    <x v="0"/>
    <x v="0"/>
    <x v="4"/>
    <n v="63"/>
  </r>
  <r>
    <x v="54"/>
    <s v="Bejrut"/>
    <x v="3"/>
    <x v="0"/>
    <x v="52"/>
    <n v="24"/>
  </r>
  <r>
    <x v="55"/>
    <s v="Palermo"/>
    <x v="1"/>
    <x v="1"/>
    <x v="18"/>
    <n v="62"/>
  </r>
  <r>
    <x v="55"/>
    <s v="Palermo"/>
    <x v="4"/>
    <x v="0"/>
    <x v="17"/>
    <n v="19"/>
  </r>
  <r>
    <x v="55"/>
    <s v="Palermo"/>
    <x v="2"/>
    <x v="0"/>
    <x v="27"/>
    <n v="8"/>
  </r>
  <r>
    <x v="55"/>
    <s v="Palermo"/>
    <x v="0"/>
    <x v="0"/>
    <x v="32"/>
    <n v="61"/>
  </r>
  <r>
    <x v="55"/>
    <s v="Palermo"/>
    <x v="3"/>
    <x v="0"/>
    <x v="57"/>
    <n v="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16-01-01T00:00:00"/>
    <s v="Algier"/>
    <x v="0"/>
    <s v="Z"/>
    <n v="3"/>
    <n v="3"/>
    <n v="80"/>
  </r>
  <r>
    <d v="2016-01-01T00:00:00"/>
    <s v="Algier"/>
    <x v="1"/>
    <s v="Z"/>
    <n v="32"/>
    <n v="32"/>
    <n v="50"/>
  </r>
  <r>
    <d v="2016-01-01T00:00:00"/>
    <s v="Algier"/>
    <x v="2"/>
    <s v="Z"/>
    <n v="38"/>
    <n v="38"/>
    <n v="10"/>
  </r>
  <r>
    <d v="2016-01-01T00:00:00"/>
    <s v="Algier"/>
    <x v="3"/>
    <s v="Z"/>
    <n v="33"/>
    <n v="33"/>
    <n v="30"/>
  </r>
  <r>
    <d v="2016-01-01T00:00:00"/>
    <s v="Algier"/>
    <x v="4"/>
    <s v="Z"/>
    <n v="43"/>
    <n v="43"/>
    <n v="25"/>
  </r>
  <r>
    <d v="2016-01-16T00:00:00"/>
    <s v="Tunis"/>
    <x v="1"/>
    <s v="W"/>
    <n v="32"/>
    <n v="-32"/>
    <n v="58"/>
  </r>
  <r>
    <d v="2016-01-16T00:00:00"/>
    <s v="Tunis"/>
    <x v="3"/>
    <s v="Z"/>
    <n v="14"/>
    <n v="14"/>
    <n v="26"/>
  </r>
  <r>
    <d v="2016-01-24T00:00:00"/>
    <s v="Benghazi"/>
    <x v="1"/>
    <s v="Z"/>
    <n v="44"/>
    <n v="44"/>
    <n v="46"/>
  </r>
  <r>
    <d v="2016-01-24T00:00:00"/>
    <s v="Benghazi"/>
    <x v="3"/>
    <s v="Z"/>
    <n v="1"/>
    <n v="1"/>
    <n v="28"/>
  </r>
  <r>
    <d v="2016-01-24T00:00:00"/>
    <s v="Benghazi"/>
    <x v="0"/>
    <s v="Z"/>
    <n v="21"/>
    <n v="21"/>
    <n v="7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d v="2016-01-01T00:00:00"/>
    <s v="Algier"/>
    <x v="0"/>
    <s v="Z"/>
    <n v="3"/>
    <n v="3"/>
    <n v="80"/>
  </r>
  <r>
    <d v="2016-01-01T00:00:00"/>
    <s v="Algier"/>
    <x v="1"/>
    <s v="Z"/>
    <n v="32"/>
    <n v="32"/>
    <n v="50"/>
  </r>
  <r>
    <d v="2016-01-01T00:00:00"/>
    <s v="Algier"/>
    <x v="2"/>
    <s v="Z"/>
    <n v="38"/>
    <n v="38"/>
    <n v="10"/>
  </r>
  <r>
    <d v="2016-01-01T00:00:00"/>
    <s v="Algier"/>
    <x v="3"/>
    <s v="Z"/>
    <n v="33"/>
    <n v="33"/>
    <n v="30"/>
  </r>
  <r>
    <d v="2016-01-01T00:00:00"/>
    <s v="Algier"/>
    <x v="4"/>
    <s v="Z"/>
    <n v="43"/>
    <n v="43"/>
    <n v="25"/>
  </r>
  <r>
    <d v="2016-01-16T00:00:00"/>
    <s v="Tunis"/>
    <x v="1"/>
    <s v="W"/>
    <n v="32"/>
    <n v="-32"/>
    <n v="58"/>
  </r>
  <r>
    <d v="2016-01-16T00:00:00"/>
    <s v="Tunis"/>
    <x v="3"/>
    <s v="Z"/>
    <n v="14"/>
    <n v="14"/>
    <n v="26"/>
  </r>
  <r>
    <d v="2016-01-24T00:00:00"/>
    <s v="Benghazi"/>
    <x v="1"/>
    <s v="Z"/>
    <n v="44"/>
    <n v="44"/>
    <n v="46"/>
  </r>
  <r>
    <d v="2016-01-24T00:00:00"/>
    <s v="Benghazi"/>
    <x v="3"/>
    <s v="Z"/>
    <n v="1"/>
    <n v="1"/>
    <n v="28"/>
  </r>
  <r>
    <d v="2016-01-24T00:00:00"/>
    <s v="Benghazi"/>
    <x v="0"/>
    <s v="Z"/>
    <n v="21"/>
    <n v="21"/>
    <n v="74"/>
  </r>
  <r>
    <d v="2016-02-19T00:00:00"/>
    <s v="Aleksandria"/>
    <x v="4"/>
    <s v="W"/>
    <n v="43"/>
    <n v="-43"/>
    <n v="32"/>
  </r>
  <r>
    <d v="2016-02-19T00:00:00"/>
    <s v="Aleksandria"/>
    <x v="2"/>
    <s v="W"/>
    <n v="38"/>
    <n v="-38"/>
    <n v="13"/>
  </r>
  <r>
    <d v="2016-02-19T00:00:00"/>
    <s v="Aleksandria"/>
    <x v="0"/>
    <s v="Z"/>
    <n v="9"/>
    <n v="9"/>
    <n v="59"/>
  </r>
  <r>
    <d v="2016-02-19T00:00:00"/>
    <s v="Aleksandria"/>
    <x v="1"/>
    <s v="Z"/>
    <n v="8"/>
    <n v="8"/>
    <n v="37"/>
  </r>
  <r>
    <d v="2016-03-11T00:00:00"/>
    <s v="Bejrut"/>
    <x v="1"/>
    <s v="W"/>
    <n v="50"/>
    <n v="-50"/>
    <n v="61"/>
  </r>
  <r>
    <d v="2016-03-11T00:00:00"/>
    <s v="Bejrut"/>
    <x v="4"/>
    <s v="Z"/>
    <n v="32"/>
    <n v="32"/>
    <n v="20"/>
  </r>
  <r>
    <d v="2016-03-11T00:00:00"/>
    <s v="Bejrut"/>
    <x v="2"/>
    <s v="Z"/>
    <n v="7"/>
    <n v="7"/>
    <n v="8"/>
  </r>
  <r>
    <d v="2016-03-11T00:00:00"/>
    <s v="Bejrut"/>
    <x v="3"/>
    <s v="Z"/>
    <n v="10"/>
    <n v="10"/>
    <n v="24"/>
  </r>
  <r>
    <d v="2016-04-04T00:00:00"/>
    <s v="Palermo"/>
    <x v="2"/>
    <s v="W"/>
    <n v="7"/>
    <n v="-7"/>
    <n v="12"/>
  </r>
  <r>
    <d v="2016-04-04T00:00:00"/>
    <s v="Palermo"/>
    <x v="4"/>
    <s v="Z"/>
    <n v="25"/>
    <n v="25"/>
    <n v="19"/>
  </r>
  <r>
    <d v="2016-04-04T00:00:00"/>
    <s v="Palermo"/>
    <x v="1"/>
    <s v="Z"/>
    <n v="33"/>
    <n v="33"/>
    <n v="38"/>
  </r>
  <r>
    <d v="2016-04-22T00:00:00"/>
    <s v="Neapol"/>
    <x v="3"/>
    <s v="W"/>
    <n v="36"/>
    <n v="-36"/>
    <n v="35"/>
  </r>
  <r>
    <d v="2016-04-22T00:00:00"/>
    <s v="Neapol"/>
    <x v="0"/>
    <s v="Z"/>
    <n v="5"/>
    <n v="5"/>
    <n v="66"/>
  </r>
  <r>
    <d v="2016-04-22T00:00:00"/>
    <s v="Neapol"/>
    <x v="1"/>
    <s v="Z"/>
    <n v="35"/>
    <n v="35"/>
    <n v="41"/>
  </r>
  <r>
    <d v="2016-05-14T00:00:00"/>
    <s v="Monako"/>
    <x v="0"/>
    <s v="W"/>
    <n v="38"/>
    <n v="-38"/>
    <n v="98"/>
  </r>
  <r>
    <d v="2016-05-14T00:00:00"/>
    <s v="Monako"/>
    <x v="3"/>
    <s v="Z"/>
    <n v="10"/>
    <n v="10"/>
    <n v="23"/>
  </r>
  <r>
    <d v="2016-06-08T00:00:00"/>
    <s v="Barcelona"/>
    <x v="3"/>
    <s v="W"/>
    <n v="4"/>
    <n v="-4"/>
    <n v="38"/>
  </r>
  <r>
    <d v="2016-06-08T00:00:00"/>
    <s v="Barcelona"/>
    <x v="0"/>
    <s v="Z"/>
    <n v="42"/>
    <n v="42"/>
    <n v="60"/>
  </r>
  <r>
    <d v="2016-06-08T00:00:00"/>
    <s v="Barcelona"/>
    <x v="2"/>
    <s v="Z"/>
    <n v="28"/>
    <n v="28"/>
    <n v="8"/>
  </r>
  <r>
    <d v="2016-06-08T00:00:00"/>
    <s v="Barcelona"/>
    <x v="4"/>
    <s v="Z"/>
    <n v="19"/>
    <n v="19"/>
    <n v="19"/>
  </r>
  <r>
    <d v="2016-06-21T00:00:00"/>
    <s v="Walencja"/>
    <x v="4"/>
    <s v="W"/>
    <n v="72"/>
    <n v="-72"/>
    <n v="28"/>
  </r>
  <r>
    <d v="2016-06-21T00:00:00"/>
    <s v="Walencja"/>
    <x v="0"/>
    <s v="W"/>
    <n v="42"/>
    <n v="-42"/>
    <n v="90"/>
  </r>
  <r>
    <d v="2016-06-21T00:00:00"/>
    <s v="Walencja"/>
    <x v="1"/>
    <s v="Z"/>
    <n v="42"/>
    <n v="42"/>
    <n v="44"/>
  </r>
  <r>
    <d v="2016-06-21T00:00:00"/>
    <s v="Walencja"/>
    <x v="3"/>
    <s v="Z"/>
    <n v="33"/>
    <n v="33"/>
    <n v="26"/>
  </r>
  <r>
    <d v="2016-06-21T00:00:00"/>
    <s v="Walencja"/>
    <x v="2"/>
    <s v="Z"/>
    <n v="9"/>
    <n v="9"/>
    <n v="9"/>
  </r>
  <r>
    <d v="2016-07-08T00:00:00"/>
    <s v="Algier"/>
    <x v="4"/>
    <s v="W"/>
    <n v="4"/>
    <n v="-4"/>
    <n v="29"/>
  </r>
  <r>
    <d v="2016-07-08T00:00:00"/>
    <s v="Algier"/>
    <x v="2"/>
    <s v="W"/>
    <n v="37"/>
    <n v="-37"/>
    <n v="12"/>
  </r>
  <r>
    <d v="2016-07-08T00:00:00"/>
    <s v="Algier"/>
    <x v="1"/>
    <s v="Z"/>
    <n v="35"/>
    <n v="35"/>
    <n v="42"/>
  </r>
  <r>
    <d v="2016-07-08T00:00:00"/>
    <s v="Algier"/>
    <x v="0"/>
    <s v="Z"/>
    <n v="32"/>
    <n v="32"/>
    <n v="66"/>
  </r>
  <r>
    <d v="2016-07-23T00:00:00"/>
    <s v="Tunis"/>
    <x v="0"/>
    <s v="W"/>
    <n v="32"/>
    <n v="-32"/>
    <n v="92"/>
  </r>
  <r>
    <d v="2016-07-23T00:00:00"/>
    <s v="Tunis"/>
    <x v="1"/>
    <s v="Z"/>
    <n v="48"/>
    <n v="48"/>
    <n v="43"/>
  </r>
  <r>
    <d v="2016-08-11T00:00:00"/>
    <s v="Benghazi"/>
    <x v="1"/>
    <s v="W"/>
    <n v="191"/>
    <n v="-191"/>
    <n v="60"/>
  </r>
  <r>
    <d v="2016-08-11T00:00:00"/>
    <s v="Benghazi"/>
    <x v="3"/>
    <s v="Z"/>
    <n v="9"/>
    <n v="9"/>
    <n v="24"/>
  </r>
  <r>
    <d v="2016-08-11T00:00:00"/>
    <s v="Benghazi"/>
    <x v="0"/>
    <s v="Z"/>
    <n v="36"/>
    <n v="36"/>
    <n v="65"/>
  </r>
  <r>
    <d v="2016-09-06T00:00:00"/>
    <s v="Aleksandria"/>
    <x v="2"/>
    <s v="Z"/>
    <n v="47"/>
    <n v="47"/>
    <n v="7"/>
  </r>
  <r>
    <d v="2016-09-06T00:00:00"/>
    <s v="Aleksandria"/>
    <x v="1"/>
    <s v="W"/>
    <n v="4"/>
    <n v="-4"/>
    <n v="63"/>
  </r>
  <r>
    <d v="2016-09-06T00:00:00"/>
    <s v="Aleksandria"/>
    <x v="4"/>
    <s v="Z"/>
    <n v="8"/>
    <n v="8"/>
    <n v="19"/>
  </r>
  <r>
    <d v="2016-09-06T00:00:00"/>
    <s v="Aleksandria"/>
    <x v="3"/>
    <s v="Z"/>
    <n v="3"/>
    <n v="3"/>
    <n v="22"/>
  </r>
  <r>
    <d v="2016-09-06T00:00:00"/>
    <s v="Aleksandria"/>
    <x v="0"/>
    <s v="Z"/>
    <n v="41"/>
    <n v="41"/>
    <n v="59"/>
  </r>
  <r>
    <d v="2016-09-27T00:00:00"/>
    <s v="Bejrut"/>
    <x v="1"/>
    <s v="Z"/>
    <n v="44"/>
    <n v="44"/>
    <n v="40"/>
  </r>
  <r>
    <d v="2016-09-27T00:00:00"/>
    <s v="Bejrut"/>
    <x v="2"/>
    <s v="W"/>
    <n v="45"/>
    <n v="-45"/>
    <n v="12"/>
  </r>
  <r>
    <d v="2016-09-27T00:00:00"/>
    <s v="Bejrut"/>
    <x v="4"/>
    <s v="Z"/>
    <n v="40"/>
    <n v="40"/>
    <n v="20"/>
  </r>
  <r>
    <d v="2016-09-27T00:00:00"/>
    <s v="Bejrut"/>
    <x v="0"/>
    <s v="Z"/>
    <n v="3"/>
    <n v="3"/>
    <n v="63"/>
  </r>
  <r>
    <d v="2016-09-27T00:00:00"/>
    <s v="Bejrut"/>
    <x v="3"/>
    <s v="Z"/>
    <n v="17"/>
    <n v="17"/>
    <n v="24"/>
  </r>
  <r>
    <d v="2016-10-21T00:00:00"/>
    <s v="Palermo"/>
    <x v="2"/>
    <s v="W"/>
    <n v="2"/>
    <n v="-2"/>
    <n v="12"/>
  </r>
  <r>
    <d v="2016-10-21T00:00:00"/>
    <s v="Palermo"/>
    <x v="4"/>
    <s v="Z"/>
    <n v="14"/>
    <n v="14"/>
    <n v="19"/>
  </r>
  <r>
    <d v="2016-10-21T00:00:00"/>
    <s v="Palermo"/>
    <x v="3"/>
    <s v="Z"/>
    <n v="23"/>
    <n v="23"/>
    <n v="23"/>
  </r>
  <r>
    <d v="2016-11-08T00:00:00"/>
    <s v="Neapol"/>
    <x v="2"/>
    <s v="Z"/>
    <n v="11"/>
    <n v="11"/>
    <n v="8"/>
  </r>
  <r>
    <d v="2016-11-08T00:00:00"/>
    <s v="Neapol"/>
    <x v="0"/>
    <s v="Z"/>
    <n v="17"/>
    <n v="17"/>
    <n v="66"/>
  </r>
  <r>
    <d v="2016-11-08T00:00:00"/>
    <s v="Neapol"/>
    <x v="1"/>
    <s v="Z"/>
    <n v="30"/>
    <n v="30"/>
    <n v="41"/>
  </r>
  <r>
    <d v="2016-11-30T00:00:00"/>
    <s v="Monako"/>
    <x v="0"/>
    <s v="W"/>
    <n v="97"/>
    <n v="-97"/>
    <n v="98"/>
  </r>
  <r>
    <d v="2016-11-30T00:00:00"/>
    <s v="Monako"/>
    <x v="2"/>
    <s v="W"/>
    <n v="11"/>
    <n v="-11"/>
    <n v="12"/>
  </r>
  <r>
    <d v="2016-11-30T00:00:00"/>
    <s v="Monako"/>
    <x v="4"/>
    <s v="Z"/>
    <n v="17"/>
    <n v="17"/>
    <n v="20"/>
  </r>
  <r>
    <d v="2016-11-30T00:00:00"/>
    <s v="Monako"/>
    <x v="3"/>
    <s v="Z"/>
    <n v="4"/>
    <n v="4"/>
    <n v="23"/>
  </r>
  <r>
    <d v="2016-12-25T00:00:00"/>
    <s v="Barcelona"/>
    <x v="4"/>
    <s v="W"/>
    <n v="79"/>
    <n v="-79"/>
    <n v="31"/>
  </r>
  <r>
    <d v="2016-12-25T00:00:00"/>
    <s v="Barcelona"/>
    <x v="0"/>
    <s v="Z"/>
    <n v="33"/>
    <n v="33"/>
    <n v="60"/>
  </r>
  <r>
    <d v="2016-12-25T00:00:00"/>
    <s v="Barcelona"/>
    <x v="3"/>
    <s v="Z"/>
    <n v="26"/>
    <n v="26"/>
    <n v="23"/>
  </r>
  <r>
    <d v="2017-01-07T00:00:00"/>
    <s v="Walencja"/>
    <x v="4"/>
    <s v="Z"/>
    <n v="40"/>
    <n v="40"/>
    <n v="22"/>
  </r>
  <r>
    <d v="2017-01-07T00:00:00"/>
    <s v="Walencja"/>
    <x v="2"/>
    <s v="Z"/>
    <n v="42"/>
    <n v="42"/>
    <n v="9"/>
  </r>
  <r>
    <d v="2017-01-07T00:00:00"/>
    <s v="Walencja"/>
    <x v="3"/>
    <s v="Z"/>
    <n v="42"/>
    <n v="42"/>
    <n v="26"/>
  </r>
  <r>
    <d v="2017-01-07T00:00:00"/>
    <s v="Walencja"/>
    <x v="0"/>
    <s v="Z"/>
    <n v="9"/>
    <n v="9"/>
    <n v="70"/>
  </r>
  <r>
    <d v="2017-01-07T00:00:00"/>
    <s v="Walencja"/>
    <x v="1"/>
    <s v="Z"/>
    <n v="39"/>
    <n v="39"/>
    <n v="44"/>
  </r>
  <r>
    <d v="2017-01-24T00:00:00"/>
    <s v="Algier"/>
    <x v="1"/>
    <s v="W"/>
    <n v="112"/>
    <n v="-112"/>
    <n v="59"/>
  </r>
  <r>
    <d v="2017-01-24T00:00:00"/>
    <s v="Algier"/>
    <x v="0"/>
    <s v="Z"/>
    <n v="34"/>
    <n v="34"/>
    <n v="66"/>
  </r>
  <r>
    <d v="2017-01-24T00:00:00"/>
    <s v="Algier"/>
    <x v="4"/>
    <s v="Z"/>
    <n v="5"/>
    <n v="5"/>
    <n v="21"/>
  </r>
  <r>
    <d v="2017-02-08T00:00:00"/>
    <s v="Tunis"/>
    <x v="0"/>
    <s v="W"/>
    <n v="74"/>
    <n v="-74"/>
    <n v="92"/>
  </r>
  <r>
    <d v="2017-02-08T00:00:00"/>
    <s v="Tunis"/>
    <x v="3"/>
    <s v="Z"/>
    <n v="14"/>
    <n v="14"/>
    <n v="26"/>
  </r>
  <r>
    <d v="2017-02-27T00:00:00"/>
    <s v="Benghazi"/>
    <x v="1"/>
    <s v="W"/>
    <n v="1"/>
    <n v="-1"/>
    <n v="60"/>
  </r>
  <r>
    <d v="2017-02-27T00:00:00"/>
    <s v="Benghazi"/>
    <x v="3"/>
    <s v="W"/>
    <n v="43"/>
    <n v="-43"/>
    <n v="36"/>
  </r>
  <r>
    <d v="2017-02-27T00:00:00"/>
    <s v="Benghazi"/>
    <x v="2"/>
    <s v="Z"/>
    <n v="30"/>
    <n v="30"/>
    <n v="8"/>
  </r>
  <r>
    <d v="2017-02-27T00:00:00"/>
    <s v="Benghazi"/>
    <x v="4"/>
    <s v="Z"/>
    <n v="14"/>
    <n v="14"/>
    <n v="20"/>
  </r>
  <r>
    <d v="2017-03-25T00:00:00"/>
    <s v="Aleksandria"/>
    <x v="3"/>
    <s v="W"/>
    <n v="33"/>
    <n v="-33"/>
    <n v="38"/>
  </r>
  <r>
    <d v="2017-03-25T00:00:00"/>
    <s v="Aleksandria"/>
    <x v="1"/>
    <s v="Z"/>
    <n v="35"/>
    <n v="35"/>
    <n v="37"/>
  </r>
  <r>
    <d v="2017-03-25T00:00:00"/>
    <s v="Aleksandria"/>
    <x v="4"/>
    <s v="Z"/>
    <n v="40"/>
    <n v="40"/>
    <n v="19"/>
  </r>
  <r>
    <d v="2017-04-15T00:00:00"/>
    <s v="Bejrut"/>
    <x v="3"/>
    <s v="W"/>
    <n v="21"/>
    <n v="-21"/>
    <n v="36"/>
  </r>
  <r>
    <d v="2017-04-15T00:00:00"/>
    <s v="Bejrut"/>
    <x v="0"/>
    <s v="W"/>
    <n v="2"/>
    <n v="-2"/>
    <n v="97"/>
  </r>
  <r>
    <d v="2017-04-15T00:00:00"/>
    <s v="Bejrut"/>
    <x v="4"/>
    <s v="Z"/>
    <n v="12"/>
    <n v="12"/>
    <n v="20"/>
  </r>
  <r>
    <d v="2017-04-15T00:00:00"/>
    <s v="Bejrut"/>
    <x v="2"/>
    <s v="Z"/>
    <n v="15"/>
    <n v="15"/>
    <n v="8"/>
  </r>
  <r>
    <d v="2017-04-15T00:00:00"/>
    <s v="Bejrut"/>
    <x v="1"/>
    <s v="Z"/>
    <n v="1"/>
    <n v="1"/>
    <n v="40"/>
  </r>
  <r>
    <d v="2017-05-09T00:00:00"/>
    <s v="Palermo"/>
    <x v="2"/>
    <s v="W"/>
    <n v="86"/>
    <n v="-86"/>
    <n v="12"/>
  </r>
  <r>
    <d v="2017-05-09T00:00:00"/>
    <s v="Palermo"/>
    <x v="4"/>
    <s v="W"/>
    <n v="110"/>
    <n v="-110"/>
    <n v="31"/>
  </r>
  <r>
    <d v="2017-05-09T00:00:00"/>
    <s v="Palermo"/>
    <x v="1"/>
    <s v="Z"/>
    <n v="33"/>
    <n v="33"/>
    <n v="38"/>
  </r>
  <r>
    <d v="2017-05-09T00:00:00"/>
    <s v="Palermo"/>
    <x v="3"/>
    <s v="Z"/>
    <n v="13"/>
    <n v="13"/>
    <n v="23"/>
  </r>
  <r>
    <d v="2017-05-09T00:00:00"/>
    <s v="Palermo"/>
    <x v="0"/>
    <s v="Z"/>
    <n v="37"/>
    <n v="37"/>
    <n v="61"/>
  </r>
  <r>
    <d v="2017-05-27T00:00:00"/>
    <s v="Neapol"/>
    <x v="2"/>
    <s v="W"/>
    <n v="1"/>
    <n v="-1"/>
    <n v="12"/>
  </r>
  <r>
    <d v="2017-05-27T00:00:00"/>
    <s v="Neapol"/>
    <x v="1"/>
    <s v="W"/>
    <n v="68"/>
    <n v="-68"/>
    <n v="59"/>
  </r>
  <r>
    <d v="2017-05-27T00:00:00"/>
    <s v="Neapol"/>
    <x v="0"/>
    <s v="Z"/>
    <n v="35"/>
    <n v="35"/>
    <n v="66"/>
  </r>
  <r>
    <d v="2017-05-27T00:00:00"/>
    <s v="Neapol"/>
    <x v="4"/>
    <s v="Z"/>
    <n v="25"/>
    <n v="25"/>
    <n v="21"/>
  </r>
  <r>
    <d v="2017-05-27T00:00:00"/>
    <s v="Neapol"/>
    <x v="3"/>
    <s v="Z"/>
    <n v="10"/>
    <n v="10"/>
    <n v="25"/>
  </r>
  <r>
    <d v="2017-06-18T00:00:00"/>
    <s v="Monako"/>
    <x v="3"/>
    <s v="W"/>
    <n v="38"/>
    <n v="-38"/>
    <n v="37"/>
  </r>
  <r>
    <d v="2017-06-18T00:00:00"/>
    <s v="Monako"/>
    <x v="2"/>
    <s v="Z"/>
    <n v="22"/>
    <n v="22"/>
    <n v="8"/>
  </r>
  <r>
    <d v="2017-06-18T00:00:00"/>
    <s v="Monako"/>
    <x v="4"/>
    <s v="Z"/>
    <n v="25"/>
    <n v="25"/>
    <n v="20"/>
  </r>
  <r>
    <d v="2017-06-18T00:00:00"/>
    <s v="Monako"/>
    <x v="1"/>
    <s v="Z"/>
    <n v="8"/>
    <n v="8"/>
    <n v="39"/>
  </r>
  <r>
    <d v="2017-06-18T00:00:00"/>
    <s v="Monako"/>
    <x v="0"/>
    <s v="Z"/>
    <n v="45"/>
    <n v="45"/>
    <n v="62"/>
  </r>
  <r>
    <d v="2017-07-13T00:00:00"/>
    <s v="Barcelona"/>
    <x v="0"/>
    <s v="W"/>
    <n v="116"/>
    <n v="-116"/>
    <n v="100"/>
  </r>
  <r>
    <d v="2017-07-13T00:00:00"/>
    <s v="Barcelona"/>
    <x v="4"/>
    <s v="Z"/>
    <n v="29"/>
    <n v="29"/>
    <n v="19"/>
  </r>
  <r>
    <d v="2017-07-26T00:00:00"/>
    <s v="Walencja"/>
    <x v="3"/>
    <s v="W"/>
    <n v="5"/>
    <n v="-5"/>
    <n v="34"/>
  </r>
  <r>
    <d v="2017-07-26T00:00:00"/>
    <s v="Walencja"/>
    <x v="2"/>
    <s v="W"/>
    <n v="22"/>
    <n v="-22"/>
    <n v="11"/>
  </r>
  <r>
    <d v="2017-07-26T00:00:00"/>
    <s v="Walencja"/>
    <x v="4"/>
    <s v="Z"/>
    <n v="37"/>
    <n v="37"/>
    <n v="22"/>
  </r>
  <r>
    <d v="2017-07-26T00:00:00"/>
    <s v="Walencja"/>
    <x v="0"/>
    <s v="Z"/>
    <n v="10"/>
    <n v="10"/>
    <n v="70"/>
  </r>
  <r>
    <d v="2017-07-26T00:00:00"/>
    <s v="Walencja"/>
    <x v="1"/>
    <s v="Z"/>
    <n v="42"/>
    <n v="42"/>
    <n v="44"/>
  </r>
  <r>
    <d v="2017-08-12T00:00:00"/>
    <s v="Algier"/>
    <x v="0"/>
    <s v="W"/>
    <n v="11"/>
    <n v="-11"/>
    <n v="94"/>
  </r>
  <r>
    <d v="2017-08-12T00:00:00"/>
    <s v="Algier"/>
    <x v="1"/>
    <s v="W"/>
    <n v="48"/>
    <n v="-48"/>
    <n v="59"/>
  </r>
  <r>
    <d v="2017-08-12T00:00:00"/>
    <s v="Algier"/>
    <x v="4"/>
    <s v="Z"/>
    <n v="20"/>
    <n v="20"/>
    <n v="21"/>
  </r>
  <r>
    <d v="2017-08-12T00:00:00"/>
    <s v="Algier"/>
    <x v="3"/>
    <s v="Z"/>
    <n v="26"/>
    <n v="26"/>
    <n v="25"/>
  </r>
  <r>
    <d v="2017-08-27T00:00:00"/>
    <s v="Tunis"/>
    <x v="2"/>
    <s v="Z"/>
    <n v="24"/>
    <n v="24"/>
    <n v="9"/>
  </r>
  <r>
    <d v="2017-08-27T00:00:00"/>
    <s v="Tunis"/>
    <x v="0"/>
    <s v="Z"/>
    <n v="38"/>
    <n v="38"/>
    <n v="68"/>
  </r>
  <r>
    <d v="2017-08-27T00:00:00"/>
    <s v="Tunis"/>
    <x v="4"/>
    <s v="Z"/>
    <n v="14"/>
    <n v="14"/>
    <n v="21"/>
  </r>
  <r>
    <d v="2017-08-27T00:00:00"/>
    <s v="Tunis"/>
    <x v="1"/>
    <s v="Z"/>
    <n v="4"/>
    <n v="4"/>
    <n v="43"/>
  </r>
  <r>
    <d v="2017-09-15T00:00:00"/>
    <s v="Benghazi"/>
    <x v="3"/>
    <s v="W"/>
    <n v="19"/>
    <n v="-19"/>
    <n v="36"/>
  </r>
  <r>
    <d v="2017-09-15T00:00:00"/>
    <s v="Benghazi"/>
    <x v="0"/>
    <s v="Z"/>
    <n v="30"/>
    <n v="30"/>
    <n v="65"/>
  </r>
  <r>
    <d v="2017-10-11T00:00:00"/>
    <s v="Aleksandria"/>
    <x v="1"/>
    <s v="W"/>
    <n v="6"/>
    <n v="-6"/>
    <n v="63"/>
  </r>
  <r>
    <d v="2017-10-11T00:00:00"/>
    <s v="Aleksandria"/>
    <x v="0"/>
    <s v="Z"/>
    <n v="43"/>
    <n v="43"/>
    <n v="59"/>
  </r>
  <r>
    <d v="2017-11-01T00:00:00"/>
    <s v="Bejrut"/>
    <x v="1"/>
    <s v="W"/>
    <n v="1"/>
    <n v="-1"/>
    <n v="61"/>
  </r>
  <r>
    <d v="2017-11-01T00:00:00"/>
    <s v="Bejrut"/>
    <x v="4"/>
    <s v="W"/>
    <n v="147"/>
    <n v="-147"/>
    <n v="30"/>
  </r>
  <r>
    <d v="2017-11-01T00:00:00"/>
    <s v="Bejrut"/>
    <x v="2"/>
    <s v="Z"/>
    <n v="15"/>
    <n v="15"/>
    <n v="8"/>
  </r>
  <r>
    <d v="2017-11-01T00:00:00"/>
    <s v="Bejrut"/>
    <x v="0"/>
    <s v="Z"/>
    <n v="24"/>
    <n v="24"/>
    <n v="63"/>
  </r>
  <r>
    <d v="2017-11-01T00:00:00"/>
    <s v="Bejrut"/>
    <x v="3"/>
    <s v="Z"/>
    <n v="19"/>
    <n v="19"/>
    <n v="24"/>
  </r>
  <r>
    <d v="2017-11-25T00:00:00"/>
    <s v="Palermo"/>
    <x v="0"/>
    <s v="W"/>
    <n v="134"/>
    <n v="-134"/>
    <n v="99"/>
  </r>
  <r>
    <d v="2017-11-25T00:00:00"/>
    <s v="Palermo"/>
    <x v="1"/>
    <s v="Z"/>
    <n v="12"/>
    <n v="12"/>
    <n v="38"/>
  </r>
  <r>
    <d v="2017-12-13T00:00:00"/>
    <s v="Neapol"/>
    <x v="4"/>
    <s v="W"/>
    <n v="4"/>
    <n v="-4"/>
    <n v="30"/>
  </r>
  <r>
    <d v="2017-12-13T00:00:00"/>
    <s v="Neapol"/>
    <x v="2"/>
    <s v="Z"/>
    <n v="26"/>
    <n v="26"/>
    <n v="8"/>
  </r>
  <r>
    <d v="2017-12-13T00:00:00"/>
    <s v="Neapol"/>
    <x v="0"/>
    <s v="Z"/>
    <n v="38"/>
    <n v="38"/>
    <n v="66"/>
  </r>
  <r>
    <d v="2018-01-04T00:00:00"/>
    <s v="Monako"/>
    <x v="0"/>
    <s v="W"/>
    <n v="38"/>
    <n v="-38"/>
    <n v="98"/>
  </r>
  <r>
    <d v="2018-01-04T00:00:00"/>
    <s v="Monako"/>
    <x v="3"/>
    <s v="W"/>
    <n v="44"/>
    <n v="-44"/>
    <n v="37"/>
  </r>
  <r>
    <d v="2018-01-04T00:00:00"/>
    <s v="Monako"/>
    <x v="2"/>
    <s v="Z"/>
    <n v="21"/>
    <n v="21"/>
    <n v="8"/>
  </r>
  <r>
    <d v="2018-01-04T00:00:00"/>
    <s v="Monako"/>
    <x v="1"/>
    <s v="Z"/>
    <n v="10"/>
    <n v="10"/>
    <n v="39"/>
  </r>
  <r>
    <d v="2018-01-29T00:00:00"/>
    <s v="Barcelona"/>
    <x v="3"/>
    <s v="W"/>
    <n v="15"/>
    <n v="-15"/>
    <n v="38"/>
  </r>
  <r>
    <d v="2018-01-29T00:00:00"/>
    <s v="Barcelona"/>
    <x v="1"/>
    <s v="W"/>
    <n v="22"/>
    <n v="-22"/>
    <n v="63"/>
  </r>
  <r>
    <d v="2018-01-29T00:00:00"/>
    <s v="Barcelona"/>
    <x v="0"/>
    <s v="Z"/>
    <n v="9"/>
    <n v="9"/>
    <n v="60"/>
  </r>
  <r>
    <d v="2018-01-29T00:00:00"/>
    <s v="Barcelona"/>
    <x v="4"/>
    <s v="Z"/>
    <n v="6"/>
    <n v="6"/>
    <n v="19"/>
  </r>
  <r>
    <d v="2018-01-29T00:00:00"/>
    <s v="Barcelona"/>
    <x v="2"/>
    <s v="Z"/>
    <n v="4"/>
    <n v="4"/>
    <n v="8"/>
  </r>
  <r>
    <d v="2018-01-30T00:00:00"/>
    <s v="Walencja"/>
    <x v="4"/>
    <s v="W"/>
    <n v="6"/>
    <n v="-6"/>
    <n v="25"/>
  </r>
  <r>
    <d v="2018-01-30T00:00:00"/>
    <s v="Walencja"/>
    <x v="0"/>
    <s v="Z"/>
    <n v="48"/>
    <n v="48"/>
    <n v="79"/>
  </r>
  <r>
    <d v="2018-02-16T00:00:00"/>
    <s v="Algier"/>
    <x v="1"/>
    <s v="Z"/>
    <n v="34"/>
    <n v="34"/>
    <n v="42"/>
  </r>
  <r>
    <d v="2018-02-16T00:00:00"/>
    <s v="Algier"/>
    <x v="3"/>
    <s v="W"/>
    <n v="49"/>
    <n v="-49"/>
    <n v="35"/>
  </r>
  <r>
    <d v="2018-02-16T00:00:00"/>
    <s v="Algier"/>
    <x v="2"/>
    <s v="Z"/>
    <n v="10"/>
    <n v="10"/>
    <n v="8"/>
  </r>
  <r>
    <d v="2018-02-16T00:00:00"/>
    <s v="Algier"/>
    <x v="4"/>
    <s v="Z"/>
    <n v="47"/>
    <n v="47"/>
    <n v="21"/>
  </r>
  <r>
    <d v="2018-02-16T00:00:00"/>
    <s v="Algier"/>
    <x v="0"/>
    <s v="Z"/>
    <n v="48"/>
    <n v="48"/>
    <n v="66"/>
  </r>
  <r>
    <d v="2018-03-03T00:00:00"/>
    <s v="Tunis"/>
    <x v="1"/>
    <s v="W"/>
    <n v="34"/>
    <n v="-34"/>
    <n v="58"/>
  </r>
  <r>
    <d v="2018-03-03T00:00:00"/>
    <s v="Tunis"/>
    <x v="2"/>
    <s v="Z"/>
    <n v="5"/>
    <n v="5"/>
    <n v="9"/>
  </r>
  <r>
    <d v="2018-03-22T00:00:00"/>
    <s v="Benghazi"/>
    <x v="4"/>
    <s v="W"/>
    <n v="46"/>
    <n v="-46"/>
    <n v="30"/>
  </r>
  <r>
    <d v="2018-03-22T00:00:00"/>
    <s v="Benghazi"/>
    <x v="0"/>
    <s v="Z"/>
    <n v="49"/>
    <n v="49"/>
    <n v="65"/>
  </r>
  <r>
    <d v="2018-03-22T00:00:00"/>
    <s v="Benghazi"/>
    <x v="2"/>
    <s v="Z"/>
    <n v="16"/>
    <n v="16"/>
    <n v="8"/>
  </r>
  <r>
    <d v="2018-04-17T00:00:00"/>
    <s v="Aleksandria"/>
    <x v="1"/>
    <s v="Z"/>
    <n v="5"/>
    <n v="5"/>
    <n v="37"/>
  </r>
  <r>
    <d v="2018-04-17T00:00:00"/>
    <s v="Aleksandria"/>
    <x v="4"/>
    <s v="W"/>
    <n v="1"/>
    <n v="-1"/>
    <n v="32"/>
  </r>
  <r>
    <d v="2018-04-17T00:00:00"/>
    <s v="Aleksandria"/>
    <x v="2"/>
    <s v="Z"/>
    <n v="34"/>
    <n v="34"/>
    <n v="7"/>
  </r>
  <r>
    <d v="2018-04-17T00:00:00"/>
    <s v="Aleksandria"/>
    <x v="0"/>
    <s v="Z"/>
    <n v="29"/>
    <n v="29"/>
    <n v="59"/>
  </r>
  <r>
    <d v="2018-05-08T00:00:00"/>
    <s v="Bejrut"/>
    <x v="3"/>
    <s v="Z"/>
    <n v="34"/>
    <n v="34"/>
    <n v="24"/>
  </r>
  <r>
    <d v="2018-05-08T00:00:00"/>
    <s v="Bejrut"/>
    <x v="4"/>
    <s v="Z"/>
    <n v="27"/>
    <n v="27"/>
    <n v="20"/>
  </r>
  <r>
    <d v="2018-05-08T00:00:00"/>
    <s v="Bejrut"/>
    <x v="2"/>
    <s v="Z"/>
    <n v="40"/>
    <n v="40"/>
    <n v="8"/>
  </r>
  <r>
    <d v="2018-06-01T00:00:00"/>
    <s v="Palermo"/>
    <x v="0"/>
    <s v="W"/>
    <n v="184"/>
    <n v="-184"/>
    <n v="99"/>
  </r>
  <r>
    <d v="2018-06-01T00:00:00"/>
    <s v="Palermo"/>
    <x v="1"/>
    <s v="Z"/>
    <n v="48"/>
    <n v="48"/>
    <n v="38"/>
  </r>
  <r>
    <d v="2018-06-01T00:00:00"/>
    <s v="Palermo"/>
    <x v="3"/>
    <s v="Z"/>
    <n v="21"/>
    <n v="21"/>
    <n v="23"/>
  </r>
  <r>
    <d v="2018-06-19T00:00:00"/>
    <s v="Neapol"/>
    <x v="0"/>
    <s v="Z"/>
    <n v="47"/>
    <n v="47"/>
    <n v="66"/>
  </r>
  <r>
    <d v="2018-06-19T00:00:00"/>
    <s v="Neapol"/>
    <x v="3"/>
    <s v="Z"/>
    <n v="6"/>
    <n v="6"/>
    <n v="25"/>
  </r>
  <r>
    <d v="2018-06-19T00:00:00"/>
    <s v="Neapol"/>
    <x v="1"/>
    <s v="Z"/>
    <n v="47"/>
    <n v="47"/>
    <n v="41"/>
  </r>
  <r>
    <d v="2018-07-11T00:00:00"/>
    <s v="Monako"/>
    <x v="2"/>
    <s v="W"/>
    <n v="192"/>
    <n v="-192"/>
    <n v="12"/>
  </r>
  <r>
    <d v="2018-07-11T00:00:00"/>
    <s v="Monako"/>
    <x v="3"/>
    <s v="W"/>
    <n v="48"/>
    <n v="-48"/>
    <n v="37"/>
  </r>
  <r>
    <d v="2018-07-11T00:00:00"/>
    <s v="Monako"/>
    <x v="0"/>
    <s v="Z"/>
    <n v="18"/>
    <n v="18"/>
    <n v="62"/>
  </r>
  <r>
    <d v="2018-07-11T00:00:00"/>
    <s v="Monako"/>
    <x v="1"/>
    <s v="Z"/>
    <n v="25"/>
    <n v="25"/>
    <n v="39"/>
  </r>
  <r>
    <d v="2018-07-11T00:00:00"/>
    <s v="Monako"/>
    <x v="4"/>
    <s v="Z"/>
    <n v="2"/>
    <n v="2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d v="2016-01-01T00:00:00"/>
    <s v="Algier"/>
    <s v="T4"/>
    <s v="Z"/>
    <n v="3"/>
    <n v="80"/>
    <n v="1"/>
    <x v="0"/>
    <n v="0"/>
    <n v="0"/>
  </r>
  <r>
    <d v="2016-01-01T00:00:00"/>
    <s v="Algier"/>
    <s v="T5"/>
    <s v="Z"/>
    <n v="32"/>
    <n v="50"/>
    <n v="1"/>
    <x v="0"/>
    <n v="32"/>
    <n v="0"/>
  </r>
  <r>
    <d v="2016-01-01T00:00:00"/>
    <s v="Algier"/>
    <s v="T1"/>
    <s v="Z"/>
    <n v="38"/>
    <n v="10"/>
    <n v="1"/>
    <x v="0"/>
    <n v="0"/>
    <n v="0"/>
  </r>
  <r>
    <d v="2016-01-01T00:00:00"/>
    <s v="Algier"/>
    <s v="T2"/>
    <s v="Z"/>
    <n v="33"/>
    <n v="30"/>
    <n v="1"/>
    <x v="0"/>
    <n v="0"/>
    <n v="0"/>
  </r>
  <r>
    <d v="2016-01-01T00:00:00"/>
    <s v="Algier"/>
    <s v="T3"/>
    <s v="Z"/>
    <n v="43"/>
    <n v="25"/>
    <n v="1"/>
    <x v="0"/>
    <n v="0"/>
    <n v="0"/>
  </r>
  <r>
    <d v="2016-01-16T00:00:00"/>
    <s v="Tunis"/>
    <s v="T5"/>
    <s v="W"/>
    <n v="32"/>
    <n v="58"/>
    <n v="1"/>
    <x v="0"/>
    <n v="0"/>
    <n v="32"/>
  </r>
  <r>
    <d v="2016-01-16T00:00:00"/>
    <s v="Tunis"/>
    <s v="T2"/>
    <s v="Z"/>
    <n v="14"/>
    <n v="26"/>
    <n v="1"/>
    <x v="0"/>
    <n v="0"/>
    <n v="0"/>
  </r>
  <r>
    <d v="2016-01-24T00:00:00"/>
    <s v="Benghazi"/>
    <s v="T5"/>
    <s v="Z"/>
    <n v="44"/>
    <n v="46"/>
    <n v="1"/>
    <x v="0"/>
    <n v="44"/>
    <n v="0"/>
  </r>
  <r>
    <d v="2016-01-24T00:00:00"/>
    <s v="Benghazi"/>
    <s v="T2"/>
    <s v="Z"/>
    <n v="1"/>
    <n v="28"/>
    <n v="1"/>
    <x v="0"/>
    <n v="0"/>
    <n v="0"/>
  </r>
  <r>
    <d v="2016-01-24T00:00:00"/>
    <s v="Benghazi"/>
    <s v="T4"/>
    <s v="Z"/>
    <n v="21"/>
    <n v="74"/>
    <n v="1"/>
    <x v="0"/>
    <n v="0"/>
    <n v="0"/>
  </r>
  <r>
    <d v="2016-02-19T00:00:00"/>
    <s v="Aleksandria"/>
    <s v="T3"/>
    <s v="W"/>
    <n v="43"/>
    <n v="32"/>
    <n v="2"/>
    <x v="1"/>
    <n v="0"/>
    <n v="0"/>
  </r>
  <r>
    <d v="2016-02-19T00:00:00"/>
    <s v="Aleksandria"/>
    <s v="T1"/>
    <s v="W"/>
    <n v="38"/>
    <n v="13"/>
    <n v="2"/>
    <x v="1"/>
    <n v="0"/>
    <n v="0"/>
  </r>
  <r>
    <d v="2016-02-19T00:00:00"/>
    <s v="Aleksandria"/>
    <s v="T4"/>
    <s v="Z"/>
    <n v="9"/>
    <n v="59"/>
    <n v="2"/>
    <x v="1"/>
    <n v="0"/>
    <n v="0"/>
  </r>
  <r>
    <d v="2016-02-19T00:00:00"/>
    <s v="Aleksandria"/>
    <s v="T5"/>
    <s v="Z"/>
    <n v="8"/>
    <n v="37"/>
    <n v="2"/>
    <x v="1"/>
    <n v="8"/>
    <n v="0"/>
  </r>
  <r>
    <d v="2016-03-11T00:00:00"/>
    <s v="Bejrut"/>
    <s v="T5"/>
    <s v="W"/>
    <n v="50"/>
    <n v="61"/>
    <n v="3"/>
    <x v="2"/>
    <n v="0"/>
    <n v="50"/>
  </r>
  <r>
    <d v="2016-03-11T00:00:00"/>
    <s v="Bejrut"/>
    <s v="T3"/>
    <s v="Z"/>
    <n v="32"/>
    <n v="20"/>
    <n v="3"/>
    <x v="2"/>
    <n v="0"/>
    <n v="0"/>
  </r>
  <r>
    <d v="2016-03-11T00:00:00"/>
    <s v="Bejrut"/>
    <s v="T1"/>
    <s v="Z"/>
    <n v="7"/>
    <n v="8"/>
    <n v="3"/>
    <x v="2"/>
    <n v="0"/>
    <n v="0"/>
  </r>
  <r>
    <d v="2016-03-11T00:00:00"/>
    <s v="Bejrut"/>
    <s v="T2"/>
    <s v="Z"/>
    <n v="10"/>
    <n v="24"/>
    <n v="3"/>
    <x v="2"/>
    <n v="0"/>
    <n v="0"/>
  </r>
  <r>
    <d v="2016-04-04T00:00:00"/>
    <s v="Palermo"/>
    <s v="T1"/>
    <s v="W"/>
    <n v="7"/>
    <n v="12"/>
    <n v="4"/>
    <x v="3"/>
    <n v="0"/>
    <n v="0"/>
  </r>
  <r>
    <d v="2016-04-04T00:00:00"/>
    <s v="Palermo"/>
    <s v="T3"/>
    <s v="Z"/>
    <n v="25"/>
    <n v="19"/>
    <n v="4"/>
    <x v="3"/>
    <n v="0"/>
    <n v="0"/>
  </r>
  <r>
    <d v="2016-04-04T00:00:00"/>
    <s v="Palermo"/>
    <s v="T5"/>
    <s v="Z"/>
    <n v="33"/>
    <n v="38"/>
    <n v="4"/>
    <x v="3"/>
    <n v="33"/>
    <n v="0"/>
  </r>
  <r>
    <d v="2016-04-22T00:00:00"/>
    <s v="Neapol"/>
    <s v="T2"/>
    <s v="W"/>
    <n v="36"/>
    <n v="35"/>
    <n v="4"/>
    <x v="3"/>
    <n v="0"/>
    <n v="0"/>
  </r>
  <r>
    <d v="2016-04-22T00:00:00"/>
    <s v="Neapol"/>
    <s v="T4"/>
    <s v="Z"/>
    <n v="5"/>
    <n v="66"/>
    <n v="4"/>
    <x v="3"/>
    <n v="0"/>
    <n v="0"/>
  </r>
  <r>
    <d v="2016-04-22T00:00:00"/>
    <s v="Neapol"/>
    <s v="T5"/>
    <s v="Z"/>
    <n v="35"/>
    <n v="41"/>
    <n v="4"/>
    <x v="3"/>
    <n v="35"/>
    <n v="0"/>
  </r>
  <r>
    <d v="2016-05-14T00:00:00"/>
    <s v="Monako"/>
    <s v="T4"/>
    <s v="W"/>
    <n v="38"/>
    <n v="98"/>
    <n v="5"/>
    <x v="4"/>
    <n v="0"/>
    <n v="0"/>
  </r>
  <r>
    <d v="2016-05-14T00:00:00"/>
    <s v="Monako"/>
    <s v="T2"/>
    <s v="Z"/>
    <n v="10"/>
    <n v="23"/>
    <n v="5"/>
    <x v="4"/>
    <n v="0"/>
    <n v="0"/>
  </r>
  <r>
    <d v="2016-06-08T00:00:00"/>
    <s v="Barcelona"/>
    <s v="T2"/>
    <s v="W"/>
    <n v="4"/>
    <n v="38"/>
    <n v="6"/>
    <x v="5"/>
    <n v="0"/>
    <n v="0"/>
  </r>
  <r>
    <d v="2016-06-08T00:00:00"/>
    <s v="Barcelona"/>
    <s v="T4"/>
    <s v="Z"/>
    <n v="42"/>
    <n v="60"/>
    <n v="6"/>
    <x v="5"/>
    <n v="0"/>
    <n v="0"/>
  </r>
  <r>
    <d v="2016-06-08T00:00:00"/>
    <s v="Barcelona"/>
    <s v="T1"/>
    <s v="Z"/>
    <n v="28"/>
    <n v="8"/>
    <n v="6"/>
    <x v="5"/>
    <n v="0"/>
    <n v="0"/>
  </r>
  <r>
    <d v="2016-06-08T00:00:00"/>
    <s v="Barcelona"/>
    <s v="T3"/>
    <s v="Z"/>
    <n v="19"/>
    <n v="19"/>
    <n v="6"/>
    <x v="5"/>
    <n v="0"/>
    <n v="0"/>
  </r>
  <r>
    <d v="2016-06-21T00:00:00"/>
    <s v="Walencja"/>
    <s v="T3"/>
    <s v="W"/>
    <n v="72"/>
    <n v="28"/>
    <n v="6"/>
    <x v="5"/>
    <n v="0"/>
    <n v="0"/>
  </r>
  <r>
    <d v="2016-06-21T00:00:00"/>
    <s v="Walencja"/>
    <s v="T4"/>
    <s v="W"/>
    <n v="42"/>
    <n v="90"/>
    <n v="6"/>
    <x v="5"/>
    <n v="0"/>
    <n v="0"/>
  </r>
  <r>
    <d v="2016-06-21T00:00:00"/>
    <s v="Walencja"/>
    <s v="T5"/>
    <s v="Z"/>
    <n v="42"/>
    <n v="44"/>
    <n v="6"/>
    <x v="5"/>
    <n v="42"/>
    <n v="0"/>
  </r>
  <r>
    <d v="2016-06-21T00:00:00"/>
    <s v="Walencja"/>
    <s v="T2"/>
    <s v="Z"/>
    <n v="33"/>
    <n v="26"/>
    <n v="6"/>
    <x v="5"/>
    <n v="0"/>
    <n v="0"/>
  </r>
  <r>
    <d v="2016-06-21T00:00:00"/>
    <s v="Walencja"/>
    <s v="T1"/>
    <s v="Z"/>
    <n v="9"/>
    <n v="9"/>
    <n v="6"/>
    <x v="5"/>
    <n v="0"/>
    <n v="0"/>
  </r>
  <r>
    <d v="2016-07-08T00:00:00"/>
    <s v="Algier"/>
    <s v="T3"/>
    <s v="W"/>
    <n v="4"/>
    <n v="29"/>
    <n v="7"/>
    <x v="6"/>
    <n v="0"/>
    <n v="0"/>
  </r>
  <r>
    <d v="2016-07-08T00:00:00"/>
    <s v="Algier"/>
    <s v="T1"/>
    <s v="W"/>
    <n v="37"/>
    <n v="12"/>
    <n v="7"/>
    <x v="6"/>
    <n v="0"/>
    <n v="0"/>
  </r>
  <r>
    <d v="2016-07-08T00:00:00"/>
    <s v="Algier"/>
    <s v="T5"/>
    <s v="Z"/>
    <n v="35"/>
    <n v="42"/>
    <n v="7"/>
    <x v="6"/>
    <n v="35"/>
    <n v="0"/>
  </r>
  <r>
    <d v="2016-07-08T00:00:00"/>
    <s v="Algier"/>
    <s v="T4"/>
    <s v="Z"/>
    <n v="32"/>
    <n v="66"/>
    <n v="7"/>
    <x v="6"/>
    <n v="0"/>
    <n v="0"/>
  </r>
  <r>
    <d v="2016-07-23T00:00:00"/>
    <s v="Tunis"/>
    <s v="T4"/>
    <s v="W"/>
    <n v="32"/>
    <n v="92"/>
    <n v="7"/>
    <x v="6"/>
    <n v="0"/>
    <n v="0"/>
  </r>
  <r>
    <d v="2016-07-23T00:00:00"/>
    <s v="Tunis"/>
    <s v="T5"/>
    <s v="Z"/>
    <n v="48"/>
    <n v="43"/>
    <n v="7"/>
    <x v="6"/>
    <n v="48"/>
    <n v="0"/>
  </r>
  <r>
    <d v="2016-08-11T00:00:00"/>
    <s v="Benghazi"/>
    <s v="T5"/>
    <s v="W"/>
    <n v="191"/>
    <n v="60"/>
    <n v="8"/>
    <x v="7"/>
    <n v="0"/>
    <n v="191"/>
  </r>
  <r>
    <d v="2016-08-11T00:00:00"/>
    <s v="Benghazi"/>
    <s v="T2"/>
    <s v="Z"/>
    <n v="9"/>
    <n v="24"/>
    <n v="8"/>
    <x v="7"/>
    <n v="0"/>
    <n v="0"/>
  </r>
  <r>
    <d v="2016-08-11T00:00:00"/>
    <s v="Benghazi"/>
    <s v="T4"/>
    <s v="Z"/>
    <n v="36"/>
    <n v="65"/>
    <n v="8"/>
    <x v="7"/>
    <n v="0"/>
    <n v="0"/>
  </r>
  <r>
    <d v="2016-09-06T00:00:00"/>
    <s v="Aleksandria"/>
    <s v="T1"/>
    <s v="Z"/>
    <n v="47"/>
    <n v="7"/>
    <n v="9"/>
    <x v="8"/>
    <n v="0"/>
    <n v="0"/>
  </r>
  <r>
    <d v="2016-09-06T00:00:00"/>
    <s v="Aleksandria"/>
    <s v="T5"/>
    <s v="W"/>
    <n v="4"/>
    <n v="63"/>
    <n v="9"/>
    <x v="8"/>
    <n v="0"/>
    <n v="4"/>
  </r>
  <r>
    <d v="2016-09-06T00:00:00"/>
    <s v="Aleksandria"/>
    <s v="T3"/>
    <s v="Z"/>
    <n v="8"/>
    <n v="19"/>
    <n v="9"/>
    <x v="8"/>
    <n v="0"/>
    <n v="0"/>
  </r>
  <r>
    <d v="2016-09-06T00:00:00"/>
    <s v="Aleksandria"/>
    <s v="T2"/>
    <s v="Z"/>
    <n v="3"/>
    <n v="22"/>
    <n v="9"/>
    <x v="8"/>
    <n v="0"/>
    <n v="0"/>
  </r>
  <r>
    <d v="2016-09-06T00:00:00"/>
    <s v="Aleksandria"/>
    <s v="T4"/>
    <s v="Z"/>
    <n v="41"/>
    <n v="59"/>
    <n v="9"/>
    <x v="8"/>
    <n v="0"/>
    <n v="0"/>
  </r>
  <r>
    <d v="2016-09-27T00:00:00"/>
    <s v="Bejrut"/>
    <s v="T5"/>
    <s v="Z"/>
    <n v="44"/>
    <n v="40"/>
    <n v="9"/>
    <x v="8"/>
    <n v="44"/>
    <n v="0"/>
  </r>
  <r>
    <d v="2016-09-27T00:00:00"/>
    <s v="Bejrut"/>
    <s v="T1"/>
    <s v="W"/>
    <n v="45"/>
    <n v="12"/>
    <n v="9"/>
    <x v="8"/>
    <n v="0"/>
    <n v="0"/>
  </r>
  <r>
    <d v="2016-09-27T00:00:00"/>
    <s v="Bejrut"/>
    <s v="T3"/>
    <s v="Z"/>
    <n v="40"/>
    <n v="20"/>
    <n v="9"/>
    <x v="8"/>
    <n v="0"/>
    <n v="0"/>
  </r>
  <r>
    <d v="2016-09-27T00:00:00"/>
    <s v="Bejrut"/>
    <s v="T4"/>
    <s v="Z"/>
    <n v="3"/>
    <n v="63"/>
    <n v="9"/>
    <x v="8"/>
    <n v="0"/>
    <n v="0"/>
  </r>
  <r>
    <d v="2016-09-27T00:00:00"/>
    <s v="Bejrut"/>
    <s v="T2"/>
    <s v="Z"/>
    <n v="17"/>
    <n v="24"/>
    <n v="9"/>
    <x v="8"/>
    <n v="0"/>
    <n v="0"/>
  </r>
  <r>
    <d v="2016-10-21T00:00:00"/>
    <s v="Palermo"/>
    <s v="T1"/>
    <s v="W"/>
    <n v="2"/>
    <n v="12"/>
    <n v="10"/>
    <x v="9"/>
    <n v="0"/>
    <n v="0"/>
  </r>
  <r>
    <d v="2016-10-21T00:00:00"/>
    <s v="Palermo"/>
    <s v="T3"/>
    <s v="Z"/>
    <n v="14"/>
    <n v="19"/>
    <n v="10"/>
    <x v="9"/>
    <n v="0"/>
    <n v="0"/>
  </r>
  <r>
    <d v="2016-10-21T00:00:00"/>
    <s v="Palermo"/>
    <s v="T2"/>
    <s v="Z"/>
    <n v="23"/>
    <n v="23"/>
    <n v="10"/>
    <x v="9"/>
    <n v="0"/>
    <n v="0"/>
  </r>
  <r>
    <d v="2016-11-08T00:00:00"/>
    <s v="Neapol"/>
    <s v="T1"/>
    <s v="Z"/>
    <n v="11"/>
    <n v="8"/>
    <n v="11"/>
    <x v="10"/>
    <n v="0"/>
    <n v="0"/>
  </r>
  <r>
    <d v="2016-11-08T00:00:00"/>
    <s v="Neapol"/>
    <s v="T4"/>
    <s v="Z"/>
    <n v="17"/>
    <n v="66"/>
    <n v="11"/>
    <x v="10"/>
    <n v="0"/>
    <n v="0"/>
  </r>
  <r>
    <d v="2016-11-08T00:00:00"/>
    <s v="Neapol"/>
    <s v="T5"/>
    <s v="Z"/>
    <n v="30"/>
    <n v="41"/>
    <n v="11"/>
    <x v="10"/>
    <n v="30"/>
    <n v="0"/>
  </r>
  <r>
    <d v="2016-11-30T00:00:00"/>
    <s v="Monako"/>
    <s v="T4"/>
    <s v="W"/>
    <n v="97"/>
    <n v="98"/>
    <n v="11"/>
    <x v="10"/>
    <n v="0"/>
    <n v="0"/>
  </r>
  <r>
    <d v="2016-11-30T00:00:00"/>
    <s v="Monako"/>
    <s v="T1"/>
    <s v="W"/>
    <n v="11"/>
    <n v="12"/>
    <n v="11"/>
    <x v="10"/>
    <n v="0"/>
    <n v="0"/>
  </r>
  <r>
    <d v="2016-11-30T00:00:00"/>
    <s v="Monako"/>
    <s v="T3"/>
    <s v="Z"/>
    <n v="17"/>
    <n v="20"/>
    <n v="11"/>
    <x v="10"/>
    <n v="0"/>
    <n v="0"/>
  </r>
  <r>
    <d v="2016-11-30T00:00:00"/>
    <s v="Monako"/>
    <s v="T2"/>
    <s v="Z"/>
    <n v="4"/>
    <n v="23"/>
    <n v="11"/>
    <x v="10"/>
    <n v="0"/>
    <n v="0"/>
  </r>
  <r>
    <d v="2016-12-25T00:00:00"/>
    <s v="Barcelona"/>
    <s v="T3"/>
    <s v="W"/>
    <n v="79"/>
    <n v="31"/>
    <n v="12"/>
    <x v="11"/>
    <n v="0"/>
    <n v="0"/>
  </r>
  <r>
    <d v="2016-12-25T00:00:00"/>
    <s v="Barcelona"/>
    <s v="T4"/>
    <s v="Z"/>
    <n v="33"/>
    <n v="60"/>
    <n v="12"/>
    <x v="11"/>
    <n v="0"/>
    <n v="0"/>
  </r>
  <r>
    <d v="2016-12-25T00:00:00"/>
    <s v="Barcelona"/>
    <s v="T2"/>
    <s v="Z"/>
    <n v="26"/>
    <n v="23"/>
    <n v="12"/>
    <x v="11"/>
    <n v="0"/>
    <n v="0"/>
  </r>
  <r>
    <d v="2017-01-07T00:00:00"/>
    <s v="Walencja"/>
    <s v="T3"/>
    <s v="Z"/>
    <n v="40"/>
    <n v="22"/>
    <n v="1"/>
    <x v="12"/>
    <n v="0"/>
    <n v="0"/>
  </r>
  <r>
    <d v="2017-01-07T00:00:00"/>
    <s v="Walencja"/>
    <s v="T1"/>
    <s v="Z"/>
    <n v="42"/>
    <n v="9"/>
    <n v="1"/>
    <x v="12"/>
    <n v="0"/>
    <n v="0"/>
  </r>
  <r>
    <d v="2017-01-07T00:00:00"/>
    <s v="Walencja"/>
    <s v="T2"/>
    <s v="Z"/>
    <n v="42"/>
    <n v="26"/>
    <n v="1"/>
    <x v="12"/>
    <n v="0"/>
    <n v="0"/>
  </r>
  <r>
    <d v="2017-01-07T00:00:00"/>
    <s v="Walencja"/>
    <s v="T4"/>
    <s v="Z"/>
    <n v="9"/>
    <n v="70"/>
    <n v="1"/>
    <x v="12"/>
    <n v="0"/>
    <n v="0"/>
  </r>
  <r>
    <d v="2017-01-07T00:00:00"/>
    <s v="Walencja"/>
    <s v="T5"/>
    <s v="Z"/>
    <n v="39"/>
    <n v="44"/>
    <n v="1"/>
    <x v="12"/>
    <n v="39"/>
    <n v="0"/>
  </r>
  <r>
    <d v="2017-01-24T00:00:00"/>
    <s v="Algier"/>
    <s v="T5"/>
    <s v="W"/>
    <n v="112"/>
    <n v="59"/>
    <n v="1"/>
    <x v="12"/>
    <n v="0"/>
    <n v="112"/>
  </r>
  <r>
    <d v="2017-01-24T00:00:00"/>
    <s v="Algier"/>
    <s v="T4"/>
    <s v="Z"/>
    <n v="34"/>
    <n v="66"/>
    <n v="1"/>
    <x v="12"/>
    <n v="0"/>
    <n v="0"/>
  </r>
  <r>
    <d v="2017-01-24T00:00:00"/>
    <s v="Algier"/>
    <s v="T3"/>
    <s v="Z"/>
    <n v="5"/>
    <n v="21"/>
    <n v="1"/>
    <x v="12"/>
    <n v="0"/>
    <n v="0"/>
  </r>
  <r>
    <d v="2017-02-08T00:00:00"/>
    <s v="Tunis"/>
    <s v="T4"/>
    <s v="W"/>
    <n v="74"/>
    <n v="92"/>
    <n v="2"/>
    <x v="13"/>
    <n v="0"/>
    <n v="0"/>
  </r>
  <r>
    <d v="2017-02-08T00:00:00"/>
    <s v="Tunis"/>
    <s v="T2"/>
    <s v="Z"/>
    <n v="14"/>
    <n v="26"/>
    <n v="2"/>
    <x v="13"/>
    <n v="0"/>
    <n v="0"/>
  </r>
  <r>
    <d v="2017-02-27T00:00:00"/>
    <s v="Benghazi"/>
    <s v="T5"/>
    <s v="W"/>
    <n v="1"/>
    <n v="60"/>
    <n v="2"/>
    <x v="13"/>
    <n v="0"/>
    <n v="1"/>
  </r>
  <r>
    <d v="2017-02-27T00:00:00"/>
    <s v="Benghazi"/>
    <s v="T2"/>
    <s v="W"/>
    <n v="43"/>
    <n v="36"/>
    <n v="2"/>
    <x v="13"/>
    <n v="0"/>
    <n v="0"/>
  </r>
  <r>
    <d v="2017-02-27T00:00:00"/>
    <s v="Benghazi"/>
    <s v="T1"/>
    <s v="Z"/>
    <n v="30"/>
    <n v="8"/>
    <n v="2"/>
    <x v="13"/>
    <n v="0"/>
    <n v="0"/>
  </r>
  <r>
    <d v="2017-02-27T00:00:00"/>
    <s v="Benghazi"/>
    <s v="T3"/>
    <s v="Z"/>
    <n v="14"/>
    <n v="20"/>
    <n v="2"/>
    <x v="13"/>
    <n v="0"/>
    <n v="0"/>
  </r>
  <r>
    <d v="2017-03-25T00:00:00"/>
    <s v="Aleksandria"/>
    <s v="T2"/>
    <s v="W"/>
    <n v="33"/>
    <n v="38"/>
    <n v="3"/>
    <x v="14"/>
    <n v="0"/>
    <n v="0"/>
  </r>
  <r>
    <d v="2017-03-25T00:00:00"/>
    <s v="Aleksandria"/>
    <s v="T5"/>
    <s v="Z"/>
    <n v="35"/>
    <n v="37"/>
    <n v="3"/>
    <x v="14"/>
    <n v="35"/>
    <n v="0"/>
  </r>
  <r>
    <d v="2017-03-25T00:00:00"/>
    <s v="Aleksandria"/>
    <s v="T3"/>
    <s v="Z"/>
    <n v="40"/>
    <n v="19"/>
    <n v="3"/>
    <x v="14"/>
    <n v="0"/>
    <n v="0"/>
  </r>
  <r>
    <d v="2017-04-15T00:00:00"/>
    <s v="Bejrut"/>
    <s v="T2"/>
    <s v="W"/>
    <n v="21"/>
    <n v="36"/>
    <n v="4"/>
    <x v="15"/>
    <n v="0"/>
    <n v="0"/>
  </r>
  <r>
    <d v="2017-04-15T00:00:00"/>
    <s v="Bejrut"/>
    <s v="T4"/>
    <s v="W"/>
    <n v="2"/>
    <n v="97"/>
    <n v="4"/>
    <x v="15"/>
    <n v="0"/>
    <n v="0"/>
  </r>
  <r>
    <d v="2017-04-15T00:00:00"/>
    <s v="Bejrut"/>
    <s v="T3"/>
    <s v="Z"/>
    <n v="12"/>
    <n v="20"/>
    <n v="4"/>
    <x v="15"/>
    <n v="0"/>
    <n v="0"/>
  </r>
  <r>
    <d v="2017-04-15T00:00:00"/>
    <s v="Bejrut"/>
    <s v="T1"/>
    <s v="Z"/>
    <n v="15"/>
    <n v="8"/>
    <n v="4"/>
    <x v="15"/>
    <n v="0"/>
    <n v="0"/>
  </r>
  <r>
    <d v="2017-04-15T00:00:00"/>
    <s v="Bejrut"/>
    <s v="T5"/>
    <s v="Z"/>
    <n v="1"/>
    <n v="40"/>
    <n v="4"/>
    <x v="15"/>
    <n v="1"/>
    <n v="0"/>
  </r>
  <r>
    <d v="2017-05-09T00:00:00"/>
    <s v="Palermo"/>
    <s v="T1"/>
    <s v="W"/>
    <n v="86"/>
    <n v="12"/>
    <n v="5"/>
    <x v="16"/>
    <n v="0"/>
    <n v="0"/>
  </r>
  <r>
    <d v="2017-05-09T00:00:00"/>
    <s v="Palermo"/>
    <s v="T3"/>
    <s v="W"/>
    <n v="110"/>
    <n v="31"/>
    <n v="5"/>
    <x v="16"/>
    <n v="0"/>
    <n v="0"/>
  </r>
  <r>
    <d v="2017-05-09T00:00:00"/>
    <s v="Palermo"/>
    <s v="T5"/>
    <s v="Z"/>
    <n v="33"/>
    <n v="38"/>
    <n v="5"/>
    <x v="16"/>
    <n v="33"/>
    <n v="0"/>
  </r>
  <r>
    <d v="2017-05-09T00:00:00"/>
    <s v="Palermo"/>
    <s v="T2"/>
    <s v="Z"/>
    <n v="13"/>
    <n v="23"/>
    <n v="5"/>
    <x v="16"/>
    <n v="0"/>
    <n v="0"/>
  </r>
  <r>
    <d v="2017-05-09T00:00:00"/>
    <s v="Palermo"/>
    <s v="T4"/>
    <s v="Z"/>
    <n v="37"/>
    <n v="61"/>
    <n v="5"/>
    <x v="16"/>
    <n v="0"/>
    <n v="0"/>
  </r>
  <r>
    <d v="2017-05-27T00:00:00"/>
    <s v="Neapol"/>
    <s v="T1"/>
    <s v="W"/>
    <n v="1"/>
    <n v="12"/>
    <n v="5"/>
    <x v="16"/>
    <n v="0"/>
    <n v="0"/>
  </r>
  <r>
    <d v="2017-05-27T00:00:00"/>
    <s v="Neapol"/>
    <s v="T5"/>
    <s v="W"/>
    <n v="68"/>
    <n v="59"/>
    <n v="5"/>
    <x v="16"/>
    <n v="0"/>
    <n v="68"/>
  </r>
  <r>
    <d v="2017-05-27T00:00:00"/>
    <s v="Neapol"/>
    <s v="T4"/>
    <s v="Z"/>
    <n v="35"/>
    <n v="66"/>
    <n v="5"/>
    <x v="16"/>
    <n v="0"/>
    <n v="0"/>
  </r>
  <r>
    <d v="2017-05-27T00:00:00"/>
    <s v="Neapol"/>
    <s v="T3"/>
    <s v="Z"/>
    <n v="25"/>
    <n v="21"/>
    <n v="5"/>
    <x v="16"/>
    <n v="0"/>
    <n v="0"/>
  </r>
  <r>
    <d v="2017-05-27T00:00:00"/>
    <s v="Neapol"/>
    <s v="T2"/>
    <s v="Z"/>
    <n v="10"/>
    <n v="25"/>
    <n v="5"/>
    <x v="16"/>
    <n v="0"/>
    <n v="0"/>
  </r>
  <r>
    <d v="2017-06-18T00:00:00"/>
    <s v="Monako"/>
    <s v="T2"/>
    <s v="W"/>
    <n v="38"/>
    <n v="37"/>
    <n v="6"/>
    <x v="17"/>
    <n v="0"/>
    <n v="0"/>
  </r>
  <r>
    <d v="2017-06-18T00:00:00"/>
    <s v="Monako"/>
    <s v="T1"/>
    <s v="Z"/>
    <n v="22"/>
    <n v="8"/>
    <n v="6"/>
    <x v="17"/>
    <n v="0"/>
    <n v="0"/>
  </r>
  <r>
    <d v="2017-06-18T00:00:00"/>
    <s v="Monako"/>
    <s v="T3"/>
    <s v="Z"/>
    <n v="25"/>
    <n v="20"/>
    <n v="6"/>
    <x v="17"/>
    <n v="0"/>
    <n v="0"/>
  </r>
  <r>
    <d v="2017-06-18T00:00:00"/>
    <s v="Monako"/>
    <s v="T5"/>
    <s v="Z"/>
    <n v="8"/>
    <n v="39"/>
    <n v="6"/>
    <x v="17"/>
    <n v="8"/>
    <n v="0"/>
  </r>
  <r>
    <d v="2017-06-18T00:00:00"/>
    <s v="Monako"/>
    <s v="T4"/>
    <s v="Z"/>
    <n v="45"/>
    <n v="62"/>
    <n v="6"/>
    <x v="17"/>
    <n v="0"/>
    <n v="0"/>
  </r>
  <r>
    <d v="2017-07-13T00:00:00"/>
    <s v="Barcelona"/>
    <s v="T4"/>
    <s v="W"/>
    <n v="116"/>
    <n v="100"/>
    <n v="7"/>
    <x v="18"/>
    <n v="0"/>
    <n v="0"/>
  </r>
  <r>
    <d v="2017-07-13T00:00:00"/>
    <s v="Barcelona"/>
    <s v="T3"/>
    <s v="Z"/>
    <n v="29"/>
    <n v="19"/>
    <n v="7"/>
    <x v="18"/>
    <n v="0"/>
    <n v="0"/>
  </r>
  <r>
    <d v="2017-07-26T00:00:00"/>
    <s v="Walencja"/>
    <s v="T2"/>
    <s v="W"/>
    <n v="5"/>
    <n v="34"/>
    <n v="7"/>
    <x v="18"/>
    <n v="0"/>
    <n v="0"/>
  </r>
  <r>
    <d v="2017-07-26T00:00:00"/>
    <s v="Walencja"/>
    <s v="T1"/>
    <s v="W"/>
    <n v="22"/>
    <n v="11"/>
    <n v="7"/>
    <x v="18"/>
    <n v="0"/>
    <n v="0"/>
  </r>
  <r>
    <d v="2017-07-26T00:00:00"/>
    <s v="Walencja"/>
    <s v="T3"/>
    <s v="Z"/>
    <n v="37"/>
    <n v="22"/>
    <n v="7"/>
    <x v="18"/>
    <n v="0"/>
    <n v="0"/>
  </r>
  <r>
    <d v="2017-07-26T00:00:00"/>
    <s v="Walencja"/>
    <s v="T4"/>
    <s v="Z"/>
    <n v="10"/>
    <n v="70"/>
    <n v="7"/>
    <x v="18"/>
    <n v="0"/>
    <n v="0"/>
  </r>
  <r>
    <d v="2017-07-26T00:00:00"/>
    <s v="Walencja"/>
    <s v="T5"/>
    <s v="Z"/>
    <n v="42"/>
    <n v="44"/>
    <n v="7"/>
    <x v="18"/>
    <n v="42"/>
    <n v="0"/>
  </r>
  <r>
    <d v="2017-08-12T00:00:00"/>
    <s v="Algier"/>
    <s v="T4"/>
    <s v="W"/>
    <n v="11"/>
    <n v="94"/>
    <n v="8"/>
    <x v="19"/>
    <n v="0"/>
    <n v="0"/>
  </r>
  <r>
    <d v="2017-08-12T00:00:00"/>
    <s v="Algier"/>
    <s v="T5"/>
    <s v="W"/>
    <n v="48"/>
    <n v="59"/>
    <n v="8"/>
    <x v="19"/>
    <n v="0"/>
    <n v="48"/>
  </r>
  <r>
    <d v="2017-08-12T00:00:00"/>
    <s v="Algier"/>
    <s v="T3"/>
    <s v="Z"/>
    <n v="20"/>
    <n v="21"/>
    <n v="8"/>
    <x v="19"/>
    <n v="0"/>
    <n v="0"/>
  </r>
  <r>
    <d v="2017-08-12T00:00:00"/>
    <s v="Algier"/>
    <s v="T2"/>
    <s v="Z"/>
    <n v="26"/>
    <n v="25"/>
    <n v="8"/>
    <x v="19"/>
    <n v="0"/>
    <n v="0"/>
  </r>
  <r>
    <d v="2017-08-27T00:00:00"/>
    <s v="Tunis"/>
    <s v="T1"/>
    <s v="Z"/>
    <n v="24"/>
    <n v="9"/>
    <n v="8"/>
    <x v="19"/>
    <n v="0"/>
    <n v="0"/>
  </r>
  <r>
    <d v="2017-08-27T00:00:00"/>
    <s v="Tunis"/>
    <s v="T4"/>
    <s v="Z"/>
    <n v="38"/>
    <n v="68"/>
    <n v="8"/>
    <x v="19"/>
    <n v="0"/>
    <n v="0"/>
  </r>
  <r>
    <d v="2017-08-27T00:00:00"/>
    <s v="Tunis"/>
    <s v="T3"/>
    <s v="Z"/>
    <n v="14"/>
    <n v="21"/>
    <n v="8"/>
    <x v="19"/>
    <n v="0"/>
    <n v="0"/>
  </r>
  <r>
    <d v="2017-08-27T00:00:00"/>
    <s v="Tunis"/>
    <s v="T5"/>
    <s v="Z"/>
    <n v="4"/>
    <n v="43"/>
    <n v="8"/>
    <x v="19"/>
    <n v="4"/>
    <n v="0"/>
  </r>
  <r>
    <d v="2017-09-15T00:00:00"/>
    <s v="Benghazi"/>
    <s v="T2"/>
    <s v="W"/>
    <n v="19"/>
    <n v="36"/>
    <n v="9"/>
    <x v="20"/>
    <n v="0"/>
    <n v="0"/>
  </r>
  <r>
    <d v="2017-09-15T00:00:00"/>
    <s v="Benghazi"/>
    <s v="T4"/>
    <s v="Z"/>
    <n v="30"/>
    <n v="65"/>
    <n v="9"/>
    <x v="20"/>
    <n v="0"/>
    <n v="0"/>
  </r>
  <r>
    <d v="2017-10-11T00:00:00"/>
    <s v="Aleksandria"/>
    <s v="T5"/>
    <s v="W"/>
    <n v="6"/>
    <n v="63"/>
    <n v="10"/>
    <x v="21"/>
    <n v="0"/>
    <n v="6"/>
  </r>
  <r>
    <d v="2017-10-11T00:00:00"/>
    <s v="Aleksandria"/>
    <s v="T4"/>
    <s v="Z"/>
    <n v="43"/>
    <n v="59"/>
    <n v="10"/>
    <x v="21"/>
    <n v="0"/>
    <n v="0"/>
  </r>
  <r>
    <d v="2017-11-01T00:00:00"/>
    <s v="Bejrut"/>
    <s v="T5"/>
    <s v="W"/>
    <n v="1"/>
    <n v="61"/>
    <n v="11"/>
    <x v="22"/>
    <n v="0"/>
    <n v="1"/>
  </r>
  <r>
    <d v="2017-11-01T00:00:00"/>
    <s v="Bejrut"/>
    <s v="T3"/>
    <s v="W"/>
    <n v="147"/>
    <n v="30"/>
    <n v="11"/>
    <x v="22"/>
    <n v="0"/>
    <n v="0"/>
  </r>
  <r>
    <d v="2017-11-01T00:00:00"/>
    <s v="Bejrut"/>
    <s v="T1"/>
    <s v="Z"/>
    <n v="15"/>
    <n v="8"/>
    <n v="11"/>
    <x v="22"/>
    <n v="0"/>
    <n v="0"/>
  </r>
  <r>
    <d v="2017-11-01T00:00:00"/>
    <s v="Bejrut"/>
    <s v="T4"/>
    <s v="Z"/>
    <n v="24"/>
    <n v="63"/>
    <n v="11"/>
    <x v="22"/>
    <n v="0"/>
    <n v="0"/>
  </r>
  <r>
    <d v="2017-11-01T00:00:00"/>
    <s v="Bejrut"/>
    <s v="T2"/>
    <s v="Z"/>
    <n v="19"/>
    <n v="24"/>
    <n v="11"/>
    <x v="22"/>
    <n v="0"/>
    <n v="0"/>
  </r>
  <r>
    <d v="2017-11-25T00:00:00"/>
    <s v="Palermo"/>
    <s v="T4"/>
    <s v="W"/>
    <n v="134"/>
    <n v="99"/>
    <n v="11"/>
    <x v="22"/>
    <n v="0"/>
    <n v="0"/>
  </r>
  <r>
    <d v="2017-11-25T00:00:00"/>
    <s v="Palermo"/>
    <s v="T5"/>
    <s v="Z"/>
    <n v="12"/>
    <n v="38"/>
    <n v="11"/>
    <x v="22"/>
    <n v="12"/>
    <n v="0"/>
  </r>
  <r>
    <d v="2017-12-13T00:00:00"/>
    <s v="Neapol"/>
    <s v="T3"/>
    <s v="W"/>
    <n v="4"/>
    <n v="30"/>
    <n v="12"/>
    <x v="23"/>
    <n v="0"/>
    <n v="0"/>
  </r>
  <r>
    <d v="2017-12-13T00:00:00"/>
    <s v="Neapol"/>
    <s v="T1"/>
    <s v="Z"/>
    <n v="26"/>
    <n v="8"/>
    <n v="12"/>
    <x v="23"/>
    <n v="0"/>
    <n v="0"/>
  </r>
  <r>
    <d v="2017-12-13T00:00:00"/>
    <s v="Neapol"/>
    <s v="T4"/>
    <s v="Z"/>
    <n v="38"/>
    <n v="66"/>
    <n v="12"/>
    <x v="23"/>
    <n v="0"/>
    <n v="0"/>
  </r>
  <r>
    <d v="2018-01-04T00:00:00"/>
    <s v="Monako"/>
    <s v="T4"/>
    <s v="W"/>
    <n v="38"/>
    <n v="98"/>
    <n v="1"/>
    <x v="24"/>
    <n v="0"/>
    <n v="0"/>
  </r>
  <r>
    <d v="2018-01-04T00:00:00"/>
    <s v="Monako"/>
    <s v="T2"/>
    <s v="W"/>
    <n v="44"/>
    <n v="37"/>
    <n v="1"/>
    <x v="24"/>
    <n v="0"/>
    <n v="0"/>
  </r>
  <r>
    <d v="2018-01-04T00:00:00"/>
    <s v="Monako"/>
    <s v="T1"/>
    <s v="Z"/>
    <n v="21"/>
    <n v="8"/>
    <n v="1"/>
    <x v="24"/>
    <n v="0"/>
    <n v="0"/>
  </r>
  <r>
    <d v="2018-01-04T00:00:00"/>
    <s v="Monako"/>
    <s v="T5"/>
    <s v="Z"/>
    <n v="10"/>
    <n v="39"/>
    <n v="1"/>
    <x v="24"/>
    <n v="10"/>
    <n v="0"/>
  </r>
  <r>
    <d v="2018-01-29T00:00:00"/>
    <s v="Barcelona"/>
    <s v="T2"/>
    <s v="W"/>
    <n v="15"/>
    <n v="38"/>
    <n v="1"/>
    <x v="24"/>
    <n v="0"/>
    <n v="0"/>
  </r>
  <r>
    <d v="2018-01-29T00:00:00"/>
    <s v="Barcelona"/>
    <s v="T5"/>
    <s v="W"/>
    <n v="22"/>
    <n v="63"/>
    <n v="1"/>
    <x v="24"/>
    <n v="0"/>
    <n v="22"/>
  </r>
  <r>
    <d v="2018-01-29T00:00:00"/>
    <s v="Barcelona"/>
    <s v="T4"/>
    <s v="Z"/>
    <n v="9"/>
    <n v="60"/>
    <n v="1"/>
    <x v="24"/>
    <n v="0"/>
    <n v="0"/>
  </r>
  <r>
    <d v="2018-01-29T00:00:00"/>
    <s v="Barcelona"/>
    <s v="T3"/>
    <s v="Z"/>
    <n v="6"/>
    <n v="19"/>
    <n v="1"/>
    <x v="24"/>
    <n v="0"/>
    <n v="0"/>
  </r>
  <r>
    <d v="2018-01-29T00:00:00"/>
    <s v="Barcelona"/>
    <s v="T1"/>
    <s v="Z"/>
    <n v="4"/>
    <n v="8"/>
    <n v="1"/>
    <x v="24"/>
    <n v="0"/>
    <n v="0"/>
  </r>
  <r>
    <d v="2018-01-30T00:00:00"/>
    <s v="Walencja"/>
    <s v="T3"/>
    <s v="W"/>
    <n v="6"/>
    <n v="25"/>
    <n v="1"/>
    <x v="24"/>
    <n v="0"/>
    <n v="0"/>
  </r>
  <r>
    <d v="2018-01-30T00:00:00"/>
    <s v="Walencja"/>
    <s v="T4"/>
    <s v="Z"/>
    <n v="48"/>
    <n v="79"/>
    <n v="1"/>
    <x v="24"/>
    <n v="0"/>
    <n v="0"/>
  </r>
  <r>
    <d v="2018-02-16T00:00:00"/>
    <s v="Algier"/>
    <s v="T5"/>
    <s v="Z"/>
    <n v="34"/>
    <n v="42"/>
    <n v="2"/>
    <x v="25"/>
    <n v="34"/>
    <n v="0"/>
  </r>
  <r>
    <d v="2018-02-16T00:00:00"/>
    <s v="Algier"/>
    <s v="T2"/>
    <s v="W"/>
    <n v="49"/>
    <n v="35"/>
    <n v="2"/>
    <x v="25"/>
    <n v="0"/>
    <n v="0"/>
  </r>
  <r>
    <d v="2018-02-16T00:00:00"/>
    <s v="Algier"/>
    <s v="T1"/>
    <s v="Z"/>
    <n v="10"/>
    <n v="8"/>
    <n v="2"/>
    <x v="25"/>
    <n v="0"/>
    <n v="0"/>
  </r>
  <r>
    <d v="2018-02-16T00:00:00"/>
    <s v="Algier"/>
    <s v="T3"/>
    <s v="Z"/>
    <n v="47"/>
    <n v="21"/>
    <n v="2"/>
    <x v="25"/>
    <n v="0"/>
    <n v="0"/>
  </r>
  <r>
    <d v="2018-02-16T00:00:00"/>
    <s v="Algier"/>
    <s v="T4"/>
    <s v="Z"/>
    <n v="48"/>
    <n v="66"/>
    <n v="2"/>
    <x v="25"/>
    <n v="0"/>
    <n v="0"/>
  </r>
  <r>
    <d v="2018-03-03T00:00:00"/>
    <s v="Tunis"/>
    <s v="T5"/>
    <s v="W"/>
    <n v="34"/>
    <n v="58"/>
    <n v="3"/>
    <x v="26"/>
    <n v="0"/>
    <n v="34"/>
  </r>
  <r>
    <d v="2018-03-03T00:00:00"/>
    <s v="Tunis"/>
    <s v="T1"/>
    <s v="Z"/>
    <n v="5"/>
    <n v="9"/>
    <n v="3"/>
    <x v="26"/>
    <n v="0"/>
    <n v="0"/>
  </r>
  <r>
    <d v="2018-03-22T00:00:00"/>
    <s v="Benghazi"/>
    <s v="T3"/>
    <s v="W"/>
    <n v="46"/>
    <n v="30"/>
    <n v="3"/>
    <x v="26"/>
    <n v="0"/>
    <n v="0"/>
  </r>
  <r>
    <d v="2018-03-22T00:00:00"/>
    <s v="Benghazi"/>
    <s v="T4"/>
    <s v="Z"/>
    <n v="49"/>
    <n v="65"/>
    <n v="3"/>
    <x v="26"/>
    <n v="0"/>
    <n v="0"/>
  </r>
  <r>
    <d v="2018-03-22T00:00:00"/>
    <s v="Benghazi"/>
    <s v="T1"/>
    <s v="Z"/>
    <n v="16"/>
    <n v="8"/>
    <n v="3"/>
    <x v="26"/>
    <n v="0"/>
    <n v="0"/>
  </r>
  <r>
    <d v="2018-04-17T00:00:00"/>
    <s v="Aleksandria"/>
    <s v="T5"/>
    <s v="Z"/>
    <n v="5"/>
    <n v="37"/>
    <n v="4"/>
    <x v="27"/>
    <n v="5"/>
    <n v="0"/>
  </r>
  <r>
    <d v="2018-04-17T00:00:00"/>
    <s v="Aleksandria"/>
    <s v="T3"/>
    <s v="W"/>
    <n v="1"/>
    <n v="32"/>
    <n v="4"/>
    <x v="27"/>
    <n v="0"/>
    <n v="0"/>
  </r>
  <r>
    <d v="2018-04-17T00:00:00"/>
    <s v="Aleksandria"/>
    <s v="T1"/>
    <s v="Z"/>
    <n v="34"/>
    <n v="7"/>
    <n v="4"/>
    <x v="27"/>
    <n v="0"/>
    <n v="0"/>
  </r>
  <r>
    <d v="2018-04-17T00:00:00"/>
    <s v="Aleksandria"/>
    <s v="T4"/>
    <s v="Z"/>
    <n v="29"/>
    <n v="59"/>
    <n v="4"/>
    <x v="27"/>
    <n v="0"/>
    <n v="0"/>
  </r>
  <r>
    <d v="2018-05-08T00:00:00"/>
    <s v="Bejrut"/>
    <s v="T2"/>
    <s v="Z"/>
    <n v="34"/>
    <n v="24"/>
    <n v="5"/>
    <x v="28"/>
    <n v="0"/>
    <n v="0"/>
  </r>
  <r>
    <d v="2018-05-08T00:00:00"/>
    <s v="Bejrut"/>
    <s v="T3"/>
    <s v="Z"/>
    <n v="27"/>
    <n v="20"/>
    <n v="5"/>
    <x v="28"/>
    <n v="0"/>
    <n v="0"/>
  </r>
  <r>
    <d v="2018-05-08T00:00:00"/>
    <s v="Bejrut"/>
    <s v="T1"/>
    <s v="Z"/>
    <n v="40"/>
    <n v="8"/>
    <n v="5"/>
    <x v="28"/>
    <n v="0"/>
    <n v="0"/>
  </r>
  <r>
    <d v="2018-06-01T00:00:00"/>
    <s v="Palermo"/>
    <s v="T4"/>
    <s v="W"/>
    <n v="184"/>
    <n v="99"/>
    <n v="6"/>
    <x v="29"/>
    <n v="0"/>
    <n v="0"/>
  </r>
  <r>
    <d v="2018-06-01T00:00:00"/>
    <s v="Palermo"/>
    <s v="T5"/>
    <s v="Z"/>
    <n v="48"/>
    <n v="38"/>
    <n v="6"/>
    <x v="29"/>
    <n v="48"/>
    <n v="0"/>
  </r>
  <r>
    <d v="2018-06-01T00:00:00"/>
    <s v="Palermo"/>
    <s v="T2"/>
    <s v="Z"/>
    <n v="21"/>
    <n v="23"/>
    <n v="6"/>
    <x v="29"/>
    <n v="0"/>
    <n v="0"/>
  </r>
  <r>
    <d v="2018-06-19T00:00:00"/>
    <s v="Neapol"/>
    <s v="T4"/>
    <s v="Z"/>
    <n v="47"/>
    <n v="66"/>
    <n v="6"/>
    <x v="29"/>
    <n v="0"/>
    <n v="0"/>
  </r>
  <r>
    <d v="2018-06-19T00:00:00"/>
    <s v="Neapol"/>
    <s v="T2"/>
    <s v="Z"/>
    <n v="6"/>
    <n v="25"/>
    <n v="6"/>
    <x v="29"/>
    <n v="0"/>
    <n v="0"/>
  </r>
  <r>
    <d v="2018-06-19T00:00:00"/>
    <s v="Neapol"/>
    <s v="T5"/>
    <s v="Z"/>
    <n v="47"/>
    <n v="41"/>
    <n v="6"/>
    <x v="29"/>
    <n v="47"/>
    <n v="0"/>
  </r>
  <r>
    <d v="2018-07-11T00:00:00"/>
    <s v="Monako"/>
    <s v="T1"/>
    <s v="W"/>
    <n v="192"/>
    <n v="12"/>
    <n v="7"/>
    <x v="30"/>
    <n v="0"/>
    <n v="0"/>
  </r>
  <r>
    <d v="2018-07-11T00:00:00"/>
    <s v="Monako"/>
    <s v="T2"/>
    <s v="W"/>
    <n v="48"/>
    <n v="37"/>
    <n v="7"/>
    <x v="30"/>
    <n v="0"/>
    <n v="0"/>
  </r>
  <r>
    <d v="2018-07-11T00:00:00"/>
    <s v="Monako"/>
    <s v="T4"/>
    <s v="Z"/>
    <n v="18"/>
    <n v="62"/>
    <n v="7"/>
    <x v="30"/>
    <n v="0"/>
    <n v="0"/>
  </r>
  <r>
    <d v="2018-07-11T00:00:00"/>
    <s v="Monako"/>
    <s v="T5"/>
    <s v="Z"/>
    <n v="25"/>
    <n v="39"/>
    <n v="7"/>
    <x v="30"/>
    <n v="25"/>
    <n v="0"/>
  </r>
  <r>
    <d v="2018-07-11T00:00:00"/>
    <s v="Monako"/>
    <s v="T3"/>
    <s v="Z"/>
    <n v="2"/>
    <n v="20"/>
    <n v="7"/>
    <x v="30"/>
    <n v="0"/>
    <n v="0"/>
  </r>
  <r>
    <d v="2018-08-05T00:00:00"/>
    <s v="Barcelona"/>
    <s v="T2"/>
    <s v="W"/>
    <n v="13"/>
    <n v="38"/>
    <n v="8"/>
    <x v="31"/>
    <n v="0"/>
    <n v="0"/>
  </r>
  <r>
    <d v="2018-08-05T00:00:00"/>
    <s v="Barcelona"/>
    <s v="T5"/>
    <s v="W"/>
    <n v="121"/>
    <n v="63"/>
    <n v="8"/>
    <x v="31"/>
    <n v="0"/>
    <n v="121"/>
  </r>
  <r>
    <d v="2018-08-05T00:00:00"/>
    <s v="Barcelona"/>
    <s v="T3"/>
    <s v="Z"/>
    <n v="30"/>
    <n v="19"/>
    <n v="8"/>
    <x v="31"/>
    <n v="0"/>
    <n v="0"/>
  </r>
  <r>
    <d v="2018-08-05T00:00:00"/>
    <s v="Barcelona"/>
    <s v="T1"/>
    <s v="Z"/>
    <n v="46"/>
    <n v="8"/>
    <n v="8"/>
    <x v="31"/>
    <n v="0"/>
    <n v="0"/>
  </r>
  <r>
    <d v="2018-08-18T00:00:00"/>
    <s v="Walencja"/>
    <s v="T1"/>
    <s v="W"/>
    <n v="49"/>
    <n v="11"/>
    <n v="8"/>
    <x v="31"/>
    <n v="0"/>
    <n v="0"/>
  </r>
  <r>
    <d v="2018-08-18T00:00:00"/>
    <s v="Walencja"/>
    <s v="T4"/>
    <s v="W"/>
    <n v="61"/>
    <n v="90"/>
    <n v="8"/>
    <x v="31"/>
    <n v="0"/>
    <n v="0"/>
  </r>
  <r>
    <d v="2018-08-18T00:00:00"/>
    <s v="Walencja"/>
    <s v="T3"/>
    <s v="Z"/>
    <n v="19"/>
    <n v="22"/>
    <n v="8"/>
    <x v="31"/>
    <n v="0"/>
    <n v="0"/>
  </r>
  <r>
    <d v="2018-08-18T00:00:00"/>
    <s v="Walencja"/>
    <s v="T5"/>
    <s v="Z"/>
    <n v="22"/>
    <n v="44"/>
    <n v="8"/>
    <x v="31"/>
    <n v="22"/>
    <n v="0"/>
  </r>
  <r>
    <d v="2018-09-04T00:00:00"/>
    <s v="Algier"/>
    <s v="T2"/>
    <s v="Z"/>
    <n v="9"/>
    <n v="25"/>
    <n v="9"/>
    <x v="32"/>
    <n v="0"/>
    <n v="0"/>
  </r>
  <r>
    <d v="2018-09-04T00:00:00"/>
    <s v="Algier"/>
    <s v="T4"/>
    <s v="W"/>
    <n v="4"/>
    <n v="94"/>
    <n v="9"/>
    <x v="32"/>
    <n v="0"/>
    <n v="0"/>
  </r>
  <r>
    <d v="2018-09-04T00:00:00"/>
    <s v="Algier"/>
    <s v="T3"/>
    <s v="Z"/>
    <n v="8"/>
    <n v="21"/>
    <n v="9"/>
    <x v="32"/>
    <n v="0"/>
    <n v="0"/>
  </r>
  <r>
    <d v="2018-09-04T00:00:00"/>
    <s v="Algier"/>
    <s v="T1"/>
    <s v="Z"/>
    <n v="47"/>
    <n v="8"/>
    <n v="9"/>
    <x v="32"/>
    <n v="0"/>
    <n v="0"/>
  </r>
  <r>
    <d v="2018-09-19T00:00:00"/>
    <s v="Tunis"/>
    <s v="T3"/>
    <s v="W"/>
    <n v="82"/>
    <n v="29"/>
    <n v="9"/>
    <x v="32"/>
    <n v="0"/>
    <n v="0"/>
  </r>
  <r>
    <d v="2018-09-19T00:00:00"/>
    <s v="Tunis"/>
    <s v="T5"/>
    <s v="W"/>
    <n v="26"/>
    <n v="58"/>
    <n v="9"/>
    <x v="32"/>
    <n v="0"/>
    <n v="26"/>
  </r>
  <r>
    <d v="2018-09-19T00:00:00"/>
    <s v="Tunis"/>
    <s v="T1"/>
    <s v="Z"/>
    <n v="24"/>
    <n v="9"/>
    <n v="9"/>
    <x v="32"/>
    <n v="0"/>
    <n v="0"/>
  </r>
  <r>
    <d v="2018-09-19T00:00:00"/>
    <s v="Tunis"/>
    <s v="T2"/>
    <s v="Z"/>
    <n v="36"/>
    <n v="26"/>
    <n v="9"/>
    <x v="32"/>
    <n v="0"/>
    <n v="0"/>
  </r>
  <r>
    <d v="2018-09-19T00:00:00"/>
    <s v="Tunis"/>
    <s v="T4"/>
    <s v="Z"/>
    <n v="6"/>
    <n v="68"/>
    <n v="9"/>
    <x v="32"/>
    <n v="0"/>
    <n v="0"/>
  </r>
  <r>
    <d v="2018-10-08T00:00:00"/>
    <s v="Benghazi"/>
    <s v="T2"/>
    <s v="W"/>
    <n v="45"/>
    <n v="36"/>
    <n v="10"/>
    <x v="33"/>
    <n v="0"/>
    <n v="0"/>
  </r>
  <r>
    <d v="2018-10-08T00:00:00"/>
    <s v="Benghazi"/>
    <s v="T1"/>
    <s v="Z"/>
    <n v="18"/>
    <n v="8"/>
    <n v="10"/>
    <x v="33"/>
    <n v="0"/>
    <n v="0"/>
  </r>
  <r>
    <d v="2018-10-08T00:00:00"/>
    <s v="Benghazi"/>
    <s v="T5"/>
    <s v="Z"/>
    <n v="20"/>
    <n v="41"/>
    <n v="10"/>
    <x v="33"/>
    <n v="20"/>
    <n v="0"/>
  </r>
  <r>
    <d v="2018-11-03T00:00:00"/>
    <s v="Aleksandria"/>
    <s v="T3"/>
    <s v="W"/>
    <n v="4"/>
    <n v="32"/>
    <n v="11"/>
    <x v="34"/>
    <n v="0"/>
    <n v="0"/>
  </r>
  <r>
    <d v="2018-11-03T00:00:00"/>
    <s v="Aleksandria"/>
    <s v="T5"/>
    <s v="Z"/>
    <n v="48"/>
    <n v="37"/>
    <n v="11"/>
    <x v="34"/>
    <n v="48"/>
    <n v="0"/>
  </r>
  <r>
    <d v="2018-11-24T00:00:00"/>
    <s v="Bejrut"/>
    <s v="T5"/>
    <s v="W"/>
    <n v="64"/>
    <n v="61"/>
    <n v="11"/>
    <x v="34"/>
    <n v="0"/>
    <n v="64"/>
  </r>
  <r>
    <d v="2018-11-24T00:00:00"/>
    <s v="Bejrut"/>
    <s v="T4"/>
    <s v="Z"/>
    <n v="43"/>
    <n v="63"/>
    <n v="11"/>
    <x v="34"/>
    <n v="0"/>
    <n v="0"/>
  </r>
  <r>
    <d v="2018-11-24T00:00:00"/>
    <s v="Bejrut"/>
    <s v="T2"/>
    <s v="Z"/>
    <n v="24"/>
    <n v="24"/>
    <n v="11"/>
    <x v="34"/>
    <n v="0"/>
    <n v="0"/>
  </r>
  <r>
    <d v="2018-12-18T00:00:00"/>
    <s v="Palermo"/>
    <s v="T5"/>
    <s v="W"/>
    <n v="4"/>
    <n v="62"/>
    <n v="12"/>
    <x v="35"/>
    <n v="0"/>
    <n v="4"/>
  </r>
  <r>
    <d v="2018-12-18T00:00:00"/>
    <s v="Palermo"/>
    <s v="T3"/>
    <s v="Z"/>
    <n v="35"/>
    <n v="19"/>
    <n v="12"/>
    <x v="35"/>
    <n v="0"/>
    <n v="0"/>
  </r>
  <r>
    <d v="2018-12-18T00:00:00"/>
    <s v="Palermo"/>
    <s v="T1"/>
    <s v="Z"/>
    <n v="41"/>
    <n v="8"/>
    <n v="12"/>
    <x v="35"/>
    <n v="0"/>
    <n v="0"/>
  </r>
  <r>
    <d v="2018-12-18T00:00:00"/>
    <s v="Palermo"/>
    <s v="T4"/>
    <s v="Z"/>
    <n v="23"/>
    <n v="61"/>
    <n v="12"/>
    <x v="35"/>
    <n v="0"/>
    <n v="0"/>
  </r>
  <r>
    <d v="2018-12-18T00:00:00"/>
    <s v="Palermo"/>
    <s v="T2"/>
    <s v="Z"/>
    <n v="46"/>
    <n v="23"/>
    <n v="12"/>
    <x v="35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24C54-787D-44EC-84E2-50B1395C8EAF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3:J9" firstHeaderRow="0" firstDataRow="1" firstDataCol="1" rowPageCount="1" colPageCount="1"/>
  <pivotFields count="9">
    <pivotField dataField="1" numFmtId="14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>
      <items count="68">
        <item x="7"/>
        <item x="31"/>
        <item x="0"/>
        <item x="18"/>
        <item x="16"/>
        <item x="53"/>
        <item x="12"/>
        <item x="10"/>
        <item x="9"/>
        <item x="13"/>
        <item x="33"/>
        <item x="42"/>
        <item x="46"/>
        <item x="5"/>
        <item x="43"/>
        <item x="58"/>
        <item x="30"/>
        <item x="62"/>
        <item x="21"/>
        <item x="51"/>
        <item x="8"/>
        <item x="48"/>
        <item x="32"/>
        <item x="52"/>
        <item x="14"/>
        <item x="37"/>
        <item x="59"/>
        <item x="20"/>
        <item x="50"/>
        <item x="34"/>
        <item x="1"/>
        <item x="3"/>
        <item x="40"/>
        <item x="17"/>
        <item x="15"/>
        <item x="23"/>
        <item x="2"/>
        <item x="38"/>
        <item x="29"/>
        <item x="27"/>
        <item x="19"/>
        <item x="4"/>
        <item x="6"/>
        <item x="28"/>
        <item x="57"/>
        <item x="26"/>
        <item x="24"/>
        <item x="56"/>
        <item x="11"/>
        <item x="64"/>
        <item x="66"/>
        <item x="47"/>
        <item x="22"/>
        <item x="41"/>
        <item x="36"/>
        <item x="65"/>
        <item x="44"/>
        <item x="35"/>
        <item x="45"/>
        <item x="39"/>
        <item x="49"/>
        <item x="63"/>
        <item x="55"/>
        <item x="54"/>
        <item x="60"/>
        <item x="25"/>
        <item x="6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1" hier="-1"/>
  </pageFields>
  <dataFields count="2">
    <dataField name="Suma z ile ton" fld="4" baseField="0" baseItem="0"/>
    <dataField name="Liczba z data" fld="0" subtotal="count" baseField="0" baseItem="0"/>
  </dataFields>
  <formats count="5">
    <format dxfId="40">
      <pivotArea collapsedLevelsAreSubtotals="1" fieldPosition="0">
        <references count="1">
          <reference field="2" count="1">
            <x v="3"/>
          </reference>
        </references>
      </pivotArea>
    </format>
    <format dxfId="39">
      <pivotArea dataOnly="0" labelOnly="1" fieldPosition="0">
        <references count="1">
          <reference field="2" count="1">
            <x v="3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1"/>
          </reference>
          <reference field="2" count="1">
            <x v="3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0"/>
          </reference>
          <reference field="2" count="1">
            <x v="3"/>
          </reference>
        </references>
      </pivotArea>
    </format>
    <format dxfId="36">
      <pivotArea dataOnly="0" labelOnly="1" fieldPosition="0">
        <references count="1">
          <reference field="2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2FE50-35B8-4E8E-A10E-6113C83EBBAC}" name="Tabela przestawna4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1:J7" firstHeaderRow="1" firstDataRow="1" firstDataCol="1"/>
  <pivotFields count="7">
    <pivotField numFmtId="14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bilans_towaru" fld="5" baseField="0" baseItem="0"/>
  </dataFields>
  <formats count="4">
    <format dxfId="25">
      <pivotArea collapsedLevelsAreSubtotals="1" fieldPosition="0">
        <references count="1">
          <reference field="2" count="1">
            <x v="1"/>
          </reference>
        </references>
      </pivotArea>
    </format>
    <format dxfId="24">
      <pivotArea dataOnly="0" labelOnly="1" fieldPosition="0">
        <references count="1">
          <reference field="2" count="1">
            <x v="1"/>
          </reference>
        </references>
      </pivotArea>
    </format>
    <format dxfId="23">
      <pivotArea collapsedLevelsAreSubtotals="1" fieldPosition="0">
        <references count="1">
          <reference field="2" count="1">
            <x v="1"/>
          </reference>
        </references>
      </pivotArea>
    </format>
    <format dxfId="22">
      <pivotArea dataOnly="0" labelOnly="1" fieldPosition="0">
        <references count="1">
          <reference field="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0C40D-8751-4139-8389-38B008947CAC}" name="Tabela przestawna5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O1:P7" firstHeaderRow="1" firstDataRow="1" firstDataCol="1"/>
  <pivotFields count="7">
    <pivotField numFmtId="14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bilans_towaru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6B520-55EB-45F2-B608-023014A607DA}" name="Tabela przestawna6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L1:N38" firstHeaderRow="0" firstDataRow="1" firstDataCol="1"/>
  <pivotFields count="10"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9"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showAll="0"/>
    <pivotField dataField="1" showAll="0"/>
  </pivotFields>
  <rowFields count="1">
    <field x="7"/>
  </rowFields>
  <rowItems count="37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ile_zaladowano" fld="8" baseField="0" baseItem="0"/>
    <dataField name="Suma z ile_wyładowano" fld="9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4D51005-5D0F-4B6C-8DE0-6413771CC247}" autoFormatId="16" applyNumberFormats="0" applyBorderFormats="0" applyFontFormats="0" applyPatternFormats="0" applyAlignmentFormats="0" applyWidthHeightFormats="0">
  <queryTableRefresh nextId="7">
    <queryTableFields count="6">
      <queryTableField id="1" name="data" tableColumnId="1"/>
      <queryTableField id="2" name="port" tableColumnId="2"/>
      <queryTableField id="3" name="towar" tableColumnId="3"/>
      <queryTableField id="4" name="Z/W" tableColumnId="4"/>
      <queryTableField id="5" name="ile ton" tableColumnId="5"/>
      <queryTableField id="6" name="cena za tone w talarach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F651230-7976-41D5-86BA-5BFD452DD868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data" tableColumnId="1"/>
      <queryTableField id="2" name="port" tableColumnId="2"/>
      <queryTableField id="3" name="towar" tableColumnId="3"/>
      <queryTableField id="4" name="Z/W" tableColumnId="4"/>
      <queryTableField id="5" name="ile ton" tableColumnId="5"/>
      <queryTableField id="6" name="cena za tone w talarach" tableColumnId="6"/>
      <queryTableField id="7" dataBound="0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F0CE867-048C-4AAD-B916-1B45461E2788}" autoFormatId="16" applyNumberFormats="0" applyBorderFormats="0" applyFontFormats="0" applyPatternFormats="0" applyAlignmentFormats="0" applyWidthHeightFormats="0">
  <queryTableRefresh nextId="8">
    <queryTableFields count="7">
      <queryTableField id="1" name="data" tableColumnId="1"/>
      <queryTableField id="2" name="port" tableColumnId="2"/>
      <queryTableField id="3" name="towar" tableColumnId="3"/>
      <queryTableField id="4" name="Z/W" tableColumnId="4"/>
      <queryTableField id="5" name="ile ton" tableColumnId="5"/>
      <queryTableField id="7" dataBound="0" tableColumnId="7"/>
      <queryTableField id="6" name="cena za tone w talarach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B7C65E3-8F31-4C9D-B2B6-AEC2C5305528}" autoFormatId="16" applyNumberFormats="0" applyBorderFormats="0" applyFontFormats="0" applyPatternFormats="0" applyAlignmentFormats="0" applyWidthHeightFormats="0">
  <queryTableRefresh nextId="15" unboundColumnsRight="6">
    <queryTableFields count="13">
      <queryTableField id="1" name="data" tableColumnId="1"/>
      <queryTableField id="7" dataBound="0" tableColumnId="7"/>
      <queryTableField id="2" name="port" tableColumnId="2"/>
      <queryTableField id="3" name="towar" tableColumnId="3"/>
      <queryTableField id="4" name="Z/W" tableColumnId="4"/>
      <queryTableField id="5" name="ile ton" tableColumnId="5"/>
      <queryTableField id="6" name="cena za tone w talarach" tableColumnId="6"/>
      <queryTableField id="8" dataBound="0" tableColumnId="8"/>
      <queryTableField id="10" dataBound="0" tableColumnId="10"/>
      <queryTableField id="9" dataBound="0" tableColumnId="9"/>
      <queryTableField id="11" dataBound="0" tableColumnId="11"/>
      <queryTableField id="13" dataBound="0" tableColumnId="12"/>
      <queryTableField id="14" dataBound="0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9753370-1042-4C13-8B65-E5814BC3DDC8}" autoFormatId="16" applyNumberFormats="0" applyBorderFormats="0" applyFontFormats="0" applyPatternFormats="0" applyAlignmentFormats="0" applyWidthHeightFormats="0">
  <queryTableRefresh nextId="13" unboundColumnsRight="4">
    <queryTableFields count="10">
      <queryTableField id="1" name="data" tableColumnId="1"/>
      <queryTableField id="2" name="port" tableColumnId="2"/>
      <queryTableField id="3" name="towar" tableColumnId="3"/>
      <queryTableField id="4" name="Z/W" tableColumnId="4"/>
      <queryTableField id="5" name="ile ton" tableColumnId="5"/>
      <queryTableField id="6" name="cena za tone w talarach" tableColumnId="6"/>
      <queryTableField id="12" dataBound="0" tableColumnId="12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9ACC0B-8273-43D2-B9E0-501F5172F109}" autoFormatId="16" applyNumberFormats="0" applyBorderFormats="0" applyFontFormats="0" applyPatternFormats="0" applyAlignmentFormats="0" applyWidthHeightFormats="0">
  <queryTableRefresh nextId="7">
    <queryTableFields count="6">
      <queryTableField id="1" name="data" tableColumnId="1"/>
      <queryTableField id="2" name="port" tableColumnId="2"/>
      <queryTableField id="3" name="towar" tableColumnId="3"/>
      <queryTableField id="4" name="Z/W" tableColumnId="4"/>
      <queryTableField id="5" name="ile ton" tableColumnId="5"/>
      <queryTableField id="6" name="cena za tone w talarac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A40BE1-9F36-4262-90FC-1A8C1BE13254}" name="statek3" displayName="statek3" ref="A1:F203" tableType="queryTable" totalsRowShown="0">
  <autoFilter ref="A1:F203" xr:uid="{61EA8DD9-450D-4095-A3E6-F77BA24AE421}"/>
  <tableColumns count="6">
    <tableColumn id="1" xr3:uid="{2D7527E3-54C7-468D-98EF-D5399C1DBFE8}" uniqueName="1" name="data" queryTableFieldId="1" dataDxfId="35"/>
    <tableColumn id="2" xr3:uid="{6DC5382D-73FD-4439-BB58-1BC10E8DE25A}" uniqueName="2" name="port" queryTableFieldId="2" dataDxfId="34"/>
    <tableColumn id="3" xr3:uid="{0EB0504B-5FDC-4797-B669-F7F64B92F407}" uniqueName="3" name="towar" queryTableFieldId="3" dataDxfId="33"/>
    <tableColumn id="4" xr3:uid="{6DDDEBBD-2595-4B2D-A6F6-526DFE330588}" uniqueName="4" name="Z/W" queryTableFieldId="4" dataDxfId="32"/>
    <tableColumn id="5" xr3:uid="{6ABC7C86-E7DB-4925-8C38-2E65FD046838}" uniqueName="5" name="ile ton" queryTableFieldId="5"/>
    <tableColumn id="6" xr3:uid="{0594A9D7-018E-4865-8AD9-183FFB7589B2}" uniqueName="6" name="cena za tone w talarach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D5AAD1-676B-43FC-BC53-99B477A73014}" name="statek4" displayName="statek4" ref="A1:H203" tableType="queryTable" totalsRowShown="0">
  <autoFilter ref="A1:H203" xr:uid="{61EA8DD9-450D-4095-A3E6-F77BA24AE421}"/>
  <tableColumns count="8">
    <tableColumn id="1" xr3:uid="{23F126EB-6022-4F31-A9DC-0BAC25BBF14B}" uniqueName="1" name="data" queryTableFieldId="1" dataDxfId="31"/>
    <tableColumn id="2" xr3:uid="{527EBAB5-C03B-4DD0-A06F-A43466C79247}" uniqueName="2" name="port" queryTableFieldId="2" dataDxfId="30"/>
    <tableColumn id="3" xr3:uid="{5F31E462-4212-4EC0-A08B-FF47F854FB14}" uniqueName="3" name="towar" queryTableFieldId="3" dataDxfId="29"/>
    <tableColumn id="4" xr3:uid="{27CCCBA7-EC8A-4FE4-9B7E-2C252F15E228}" uniqueName="4" name="Z/W" queryTableFieldId="4" dataDxfId="28"/>
    <tableColumn id="5" xr3:uid="{DCB23132-D348-4223-8784-DE536ED5E36D}" uniqueName="5" name="ile ton" queryTableFieldId="5"/>
    <tableColumn id="6" xr3:uid="{C9C2E326-D1DA-472A-8C44-C6AE722A76DB}" uniqueName="6" name="cena za tone w talarach" queryTableFieldId="6"/>
    <tableColumn id="7" xr3:uid="{C308D545-6AEF-4AA8-A3A3-B659C9EA55DD}" uniqueName="7" name="czy_zmiana_zaladunku_na_wyladunek" queryTableFieldId="7" dataDxfId="27"/>
    <tableColumn id="8" xr3:uid="{B5B91C54-0111-4EC7-92B5-F6A09C709C64}" uniqueName="8" name="ile_dni" queryTableFieldId="8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356A70-D0BD-4575-8FF9-4263CAA8571C}" name="statek5" displayName="statek5" ref="A1:G204" tableType="queryTable" totalsRowShown="0">
  <autoFilter ref="A1:G204" xr:uid="{61EA8DD9-450D-4095-A3E6-F77BA24AE421}"/>
  <tableColumns count="7">
    <tableColumn id="1" xr3:uid="{E64528A3-1552-481A-B06B-7B1404EB62B1}" uniqueName="1" name="data" queryTableFieldId="1" dataDxfId="21"/>
    <tableColumn id="2" xr3:uid="{EA705E47-5E7A-46F0-B173-71C29F4CFB39}" uniqueName="2" name="port" queryTableFieldId="2" dataDxfId="20"/>
    <tableColumn id="3" xr3:uid="{E4E2DCAA-95AF-4E14-AD9E-375BD3A6BA2C}" uniqueName="3" name="towar" queryTableFieldId="3" dataDxfId="19"/>
    <tableColumn id="4" xr3:uid="{5E34D01F-5D3F-4B73-9540-73B399067F33}" uniqueName="4" name="Z/W" queryTableFieldId="4" dataDxfId="18"/>
    <tableColumn id="5" xr3:uid="{C256DBED-1090-4F3D-AA58-75AFF9D253B5}" uniqueName="5" name="ile ton" queryTableFieldId="5"/>
    <tableColumn id="7" xr3:uid="{A79D157A-9738-4EFA-8CAE-BCD66E5A9740}" uniqueName="7" name="bilans_towaru" queryTableFieldId="7" dataDxfId="17">
      <calculatedColumnFormula>IF(statek5[[#This Row],[Z/W]]="W",-statek5[[#This Row],[ile ton]],statek5[[#This Row],[ile ton]])</calculatedColumnFormula>
    </tableColumn>
    <tableColumn id="6" xr3:uid="{06210A01-ECA2-464A-B200-12BB33514210}" uniqueName="6" name="cena za tone w talarach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99EEE0-9975-4713-8500-9629E14D3269}" name="statek7" displayName="statek7" ref="A1:M203" tableType="queryTable" totalsRowShown="0">
  <autoFilter ref="A1:M203" xr:uid="{61EA8DD9-450D-4095-A3E6-F77BA24AE421}"/>
  <tableColumns count="13">
    <tableColumn id="1" xr3:uid="{FDE358FC-9D09-4676-8552-7D1B6BD34A9F}" uniqueName="1" name="data" queryTableFieldId="1" dataDxfId="49"/>
    <tableColumn id="7" xr3:uid="{DB536CE9-605D-4365-9C78-32E466381342}" uniqueName="7" name="ile_talarow" queryTableFieldId="7" dataDxfId="48"/>
    <tableColumn id="2" xr3:uid="{B0F7EAF5-4B69-452B-9E1F-C7B3AA4E9F23}" uniqueName="2" name="port" queryTableFieldId="2" dataDxfId="47"/>
    <tableColumn id="3" xr3:uid="{7DCA720E-97F0-4B65-A526-62FEA38074AC}" uniqueName="3" name="towar" queryTableFieldId="3" dataDxfId="46"/>
    <tableColumn id="4" xr3:uid="{71EE5415-FCF4-4F6D-B1F8-25A58B8695AB}" uniqueName="4" name="Z/W" queryTableFieldId="4" dataDxfId="45"/>
    <tableColumn id="5" xr3:uid="{972B38BC-FFBE-41FA-9D93-54EF8616B608}" uniqueName="5" name="ile ton" queryTableFieldId="5"/>
    <tableColumn id="6" xr3:uid="{BDBD42ED-B686-4228-A13B-D66226492366}" uniqueName="6" name="cena za tone w talarach" queryTableFieldId="6"/>
    <tableColumn id="8" xr3:uid="{20353BA2-7C97-4E64-ABE1-E9EEB4E92281}" uniqueName="8" name="ile_za_zaladunek" queryTableFieldId="8" dataDxfId="44">
      <calculatedColumnFormula>IF(statek7[[#This Row],[Z/W]]="Z",statek7[[#This Row],[ile ton]]*statek7[[#This Row],[cena za tone w talarach]],0)</calculatedColumnFormula>
    </tableColumn>
    <tableColumn id="10" xr3:uid="{4EB37921-C43D-4887-BF20-B6062C7C220A}" uniqueName="10" name="ile_talarow_po_zaladowaniu" queryTableFieldId="10" dataDxfId="43">
      <calculatedColumnFormula>statek7[[#This Row],[ile_talarow]]-statek7[[#This Row],[ile_za_zaladunek]]</calculatedColumnFormula>
    </tableColumn>
    <tableColumn id="9" xr3:uid="{D9626A97-F930-4989-B76F-D556E3A3D466}" uniqueName="9" name="ile_za_wyładunek" queryTableFieldId="9" dataDxfId="42">
      <calculatedColumnFormula>IF(statek7[[#This Row],[Z/W]]="W",statek7[[#This Row],[ile ton]]*statek7[[#This Row],[cena za tone w talarach]],0)</calculatedColumnFormula>
    </tableColumn>
    <tableColumn id="11" xr3:uid="{BDF4E72F-A588-432E-8BBA-D9817C826318}" uniqueName="11" name="ile_po_wyladunku" queryTableFieldId="11" dataDxfId="41">
      <calculatedColumnFormula>statek7[[#This Row],[ile_talarow_po_zaladowaniu]]+statek7[[#This Row],[ile_za_wyładunek]]</calculatedColumnFormula>
    </tableColumn>
    <tableColumn id="12" xr3:uid="{B457278B-1323-427A-8D68-E54FD848AB9F}" uniqueName="12" name="czy_wyplynal" queryTableFieldId="13" dataDxfId="4"/>
    <tableColumn id="13" xr3:uid="{5DD33F67-77CB-433B-80C7-1345E28608DA}" uniqueName="13" name="kwota_dzien_przed_wyplynieciem" queryTableFieldId="14" dataDxfId="3">
      <calculatedColumnFormula>IF(statek7[[#This Row],[czy_wyplynal]]=1,statek7[[#This Row],[ile_talarow]],0)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FFD811-7831-473B-B3C2-485F458AB70D}" name="statek6" displayName="statek6" ref="A1:J203" tableType="queryTable" totalsRowShown="0">
  <autoFilter ref="A1:J203" xr:uid="{61EA8DD9-450D-4095-A3E6-F77BA24AE421}"/>
  <tableColumns count="10">
    <tableColumn id="1" xr3:uid="{263DDA26-ACE4-4F99-8228-917A5DB601F0}" uniqueName="1" name="data" queryTableFieldId="1" dataDxfId="16"/>
    <tableColumn id="2" xr3:uid="{F7F515E2-3637-4BD2-8516-25C4F6F13179}" uniqueName="2" name="port" queryTableFieldId="2" dataDxfId="15"/>
    <tableColumn id="3" xr3:uid="{340261F6-FE44-4D96-B6FF-8287933A2C27}" uniqueName="3" name="towar" queryTableFieldId="3" dataDxfId="14"/>
    <tableColumn id="4" xr3:uid="{30AE419F-8E41-493E-A55E-9CAB00BE344F}" uniqueName="4" name="Z/W" queryTableFieldId="4" dataDxfId="13"/>
    <tableColumn id="5" xr3:uid="{26FD09DC-9AB1-434F-B45B-54C74EA403E2}" uniqueName="5" name="ile ton" queryTableFieldId="5"/>
    <tableColumn id="6" xr3:uid="{EDC1837D-BC4B-40DB-B4AC-699277ED10DE}" uniqueName="6" name="cena za tone w talarach" queryTableFieldId="6"/>
    <tableColumn id="12" xr3:uid="{FC691F4D-79D7-43B4-B1ED-8C07A5187A97}" uniqueName="12" name="Kolumna1" queryTableFieldId="12" dataDxfId="12">
      <calculatedColumnFormula>MONTH(statek6[[#This Row],[data]])</calculatedColumnFormula>
    </tableColumn>
    <tableColumn id="7" xr3:uid="{47042374-495B-40D5-A923-556F36729E90}" uniqueName="7" name="miesiac" queryTableFieldId="7" dataDxfId="11">
      <calculatedColumnFormula>_xlfn.CONCAT(YEAR(statek6[[#This Row],[data]]),"-",IF(statek6[[#This Row],[Kolumna1]]&lt;10,_xlfn.CONCAT("0",statek6[[#This Row],[Kolumna1]]),statek6[[#This Row],[Kolumna1]]))</calculatedColumnFormula>
    </tableColumn>
    <tableColumn id="8" xr3:uid="{D1BDE515-EFD8-4117-A306-17A267087B3D}" uniqueName="8" name="ile_zaladowano" queryTableFieldId="8" dataDxfId="10">
      <calculatedColumnFormula>IF(AND(statek6[[#This Row],[Z/W]]="Z",statek6[[#This Row],[towar]]="T5"),statek6[[#This Row],[ile ton]],0)</calculatedColumnFormula>
    </tableColumn>
    <tableColumn id="9" xr3:uid="{3DE16FCE-AA80-45E5-A1C6-65497394046E}" uniqueName="9" name="ile_wyładowano" queryTableFieldId="9" dataDxfId="9">
      <calculatedColumnFormula>IF(AND(statek6[[#This Row],[Z/W]]="W",statek6[[#This Row],[towar]]="T5"),statek6[[#This Row],[ile ton]],0)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EA8DD9-450D-4095-A3E6-F77BA24AE421}" name="statek" displayName="statek" ref="A1:F203" tableType="queryTable" totalsRowShown="0">
  <autoFilter ref="A1:F203" xr:uid="{61EA8DD9-450D-4095-A3E6-F77BA24AE421}"/>
  <tableColumns count="6">
    <tableColumn id="1" xr3:uid="{6886C6F0-6E8A-4D43-811A-21BB7C3AA904}" uniqueName="1" name="data" queryTableFieldId="1" dataDxfId="8"/>
    <tableColumn id="2" xr3:uid="{F09FABF0-36D3-430B-B9C3-0E20CCD019AE}" uniqueName="2" name="port" queryTableFieldId="2" dataDxfId="7"/>
    <tableColumn id="3" xr3:uid="{5AF8B27A-6A3D-49BD-BFEF-342576123E1F}" uniqueName="3" name="towar" queryTableFieldId="3" dataDxfId="6"/>
    <tableColumn id="4" xr3:uid="{F2CCE6E6-FCF0-4361-9F8A-7CE22F2321FC}" uniqueName="4" name="Z/W" queryTableFieldId="4" dataDxfId="5"/>
    <tableColumn id="5" xr3:uid="{94FAF02F-7026-4170-9EBC-26F1ED4B7B21}" uniqueName="5" name="ile ton" queryTableFieldId="5"/>
    <tableColumn id="6" xr3:uid="{3B865F72-DA07-4945-9412-CD5C40A7C92E}" uniqueName="6" name="cena za tone w talarach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989F-DC68-4776-B426-148D73E52878}">
  <dimension ref="A1:J203"/>
  <sheetViews>
    <sheetView zoomScale="115" zoomScaleNormal="115" workbookViewId="0">
      <selection activeCell="H12" sqref="H12:I12"/>
    </sheetView>
  </sheetViews>
  <sheetFormatPr defaultColWidth="11.5703125" defaultRowHeight="15" x14ac:dyDescent="0.25"/>
  <cols>
    <col min="1" max="1" width="11.140625" bestFit="1" customWidth="1"/>
    <col min="2" max="2" width="11.42578125" bestFit="1" customWidth="1"/>
    <col min="3" max="3" width="8.42578125" bestFit="1" customWidth="1"/>
    <col min="4" max="4" width="7.140625" bestFit="1" customWidth="1"/>
    <col min="5" max="5" width="9" bestFit="1" customWidth="1"/>
    <col min="6" max="6" width="24.140625" bestFit="1" customWidth="1"/>
    <col min="8" max="8" width="17.7109375" bestFit="1" customWidth="1"/>
    <col min="9" max="9" width="13.42578125" bestFit="1" customWidth="1"/>
    <col min="10" max="10" width="11.85546875" bestFit="1" customWidth="1"/>
    <col min="11" max="17" width="2" bestFit="1" customWidth="1"/>
    <col min="18" max="56" width="3" bestFit="1" customWidth="1"/>
    <col min="57" max="57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2" t="s">
        <v>3</v>
      </c>
      <c r="I1" t="s">
        <v>8</v>
      </c>
    </row>
    <row r="2" spans="1:10" x14ac:dyDescent="0.2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</row>
    <row r="3" spans="1:10" x14ac:dyDescent="0.2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H3" s="2" t="s">
        <v>23</v>
      </c>
      <c r="I3" t="s">
        <v>25</v>
      </c>
      <c r="J3" t="s">
        <v>26</v>
      </c>
    </row>
    <row r="4" spans="1:10" x14ac:dyDescent="0.2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H4" s="3" t="s">
        <v>10</v>
      </c>
      <c r="I4">
        <v>620</v>
      </c>
      <c r="J4">
        <v>25</v>
      </c>
    </row>
    <row r="5" spans="1:10" x14ac:dyDescent="0.2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H5" s="3" t="s">
        <v>11</v>
      </c>
      <c r="I5">
        <v>483</v>
      </c>
      <c r="J5">
        <v>25</v>
      </c>
    </row>
    <row r="6" spans="1:10" x14ac:dyDescent="0.2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H6" s="3" t="s">
        <v>12</v>
      </c>
      <c r="I6">
        <v>633</v>
      </c>
      <c r="J6">
        <v>27</v>
      </c>
    </row>
    <row r="7" spans="1:10" x14ac:dyDescent="0.2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H7" s="7" t="s">
        <v>7</v>
      </c>
      <c r="I7" s="6">
        <v>905</v>
      </c>
      <c r="J7" s="6">
        <v>32</v>
      </c>
    </row>
    <row r="8" spans="1:10" x14ac:dyDescent="0.2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H8" s="3" t="s">
        <v>9</v>
      </c>
      <c r="I8">
        <v>784</v>
      </c>
      <c r="J8">
        <v>27</v>
      </c>
    </row>
    <row r="9" spans="1:10" x14ac:dyDescent="0.2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H9" s="3" t="s">
        <v>24</v>
      </c>
      <c r="I9">
        <v>3425</v>
      </c>
      <c r="J9">
        <v>136</v>
      </c>
    </row>
    <row r="10" spans="1:10" x14ac:dyDescent="0.2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</row>
    <row r="11" spans="1:10" x14ac:dyDescent="0.2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H11" s="3" t="s">
        <v>2</v>
      </c>
      <c r="I11" t="s">
        <v>27</v>
      </c>
    </row>
    <row r="12" spans="1:10" x14ac:dyDescent="0.2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H12" s="4" t="s">
        <v>7</v>
      </c>
      <c r="I12" s="5">
        <v>905</v>
      </c>
    </row>
    <row r="13" spans="1:10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</row>
    <row r="14" spans="1:10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</row>
    <row r="15" spans="1:10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</row>
    <row r="16" spans="1:10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</row>
    <row r="17" spans="1:6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</row>
    <row r="18" spans="1:6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</row>
    <row r="19" spans="1:6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</row>
    <row r="20" spans="1:6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</row>
    <row r="21" spans="1:6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</row>
    <row r="22" spans="1:6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</row>
    <row r="23" spans="1:6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</row>
    <row r="24" spans="1:6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</row>
    <row r="25" spans="1:6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</row>
    <row r="26" spans="1:6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</row>
    <row r="27" spans="1:6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</row>
    <row r="28" spans="1:6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</row>
    <row r="29" spans="1:6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</row>
    <row r="30" spans="1:6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</row>
    <row r="31" spans="1:6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</row>
    <row r="32" spans="1:6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</row>
    <row r="33" spans="1:6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</row>
    <row r="34" spans="1:6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</row>
    <row r="35" spans="1:6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</row>
    <row r="36" spans="1:6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</row>
    <row r="37" spans="1:6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</row>
    <row r="38" spans="1:6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</row>
    <row r="39" spans="1:6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</row>
    <row r="40" spans="1:6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</row>
    <row r="41" spans="1:6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</row>
    <row r="42" spans="1:6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</row>
    <row r="43" spans="1:6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</row>
    <row r="44" spans="1:6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</row>
    <row r="45" spans="1:6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</row>
    <row r="46" spans="1:6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</row>
    <row r="47" spans="1:6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</row>
    <row r="48" spans="1:6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</row>
    <row r="49" spans="1:6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</row>
    <row r="50" spans="1:6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</row>
    <row r="51" spans="1:6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</row>
    <row r="52" spans="1:6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</row>
    <row r="53" spans="1:6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</row>
    <row r="54" spans="1:6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</row>
    <row r="55" spans="1:6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</row>
    <row r="56" spans="1:6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</row>
    <row r="57" spans="1:6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</row>
    <row r="58" spans="1:6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</row>
    <row r="59" spans="1:6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</row>
    <row r="60" spans="1:6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</row>
    <row r="61" spans="1:6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</row>
    <row r="62" spans="1:6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</row>
    <row r="63" spans="1:6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</row>
    <row r="64" spans="1:6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</row>
    <row r="65" spans="1:6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</row>
    <row r="66" spans="1:6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</row>
    <row r="67" spans="1:6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</row>
    <row r="68" spans="1:6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</row>
    <row r="69" spans="1:6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</row>
    <row r="70" spans="1:6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</row>
    <row r="71" spans="1:6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</row>
    <row r="72" spans="1:6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</row>
    <row r="73" spans="1:6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</row>
    <row r="74" spans="1:6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</row>
    <row r="75" spans="1:6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</row>
    <row r="76" spans="1:6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</row>
    <row r="77" spans="1:6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</row>
    <row r="78" spans="1:6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</row>
    <row r="79" spans="1:6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</row>
    <row r="80" spans="1:6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</row>
    <row r="81" spans="1:6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</row>
    <row r="82" spans="1:6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</row>
    <row r="83" spans="1:6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</row>
    <row r="84" spans="1:6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</row>
    <row r="85" spans="1:6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</row>
    <row r="86" spans="1:6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</row>
    <row r="87" spans="1:6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</row>
    <row r="88" spans="1:6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</row>
    <row r="89" spans="1:6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</row>
    <row r="90" spans="1:6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</row>
    <row r="91" spans="1:6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</row>
    <row r="92" spans="1:6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</row>
    <row r="93" spans="1:6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</row>
    <row r="94" spans="1:6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</row>
    <row r="95" spans="1:6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</row>
    <row r="96" spans="1:6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</row>
    <row r="97" spans="1:6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</row>
    <row r="98" spans="1:6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</row>
    <row r="99" spans="1:6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</row>
    <row r="100" spans="1:6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</row>
    <row r="101" spans="1:6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</row>
    <row r="102" spans="1:6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</row>
    <row r="103" spans="1:6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</row>
    <row r="104" spans="1:6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</row>
    <row r="105" spans="1:6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</row>
    <row r="106" spans="1:6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</row>
    <row r="107" spans="1:6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</row>
    <row r="108" spans="1:6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</row>
    <row r="109" spans="1:6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</row>
    <row r="110" spans="1:6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</row>
    <row r="111" spans="1:6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</row>
    <row r="112" spans="1:6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</row>
    <row r="113" spans="1:6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</row>
    <row r="114" spans="1:6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</row>
    <row r="115" spans="1:6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</row>
    <row r="116" spans="1:6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</row>
    <row r="117" spans="1:6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</row>
    <row r="118" spans="1:6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</row>
    <row r="119" spans="1:6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</row>
    <row r="120" spans="1:6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</row>
    <row r="121" spans="1:6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</row>
    <row r="122" spans="1:6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</row>
    <row r="123" spans="1:6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</row>
    <row r="124" spans="1:6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</row>
    <row r="125" spans="1:6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</row>
    <row r="126" spans="1:6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</row>
    <row r="127" spans="1:6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</row>
    <row r="128" spans="1:6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</row>
    <row r="129" spans="1:6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</row>
    <row r="130" spans="1:6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</row>
    <row r="131" spans="1:6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</row>
    <row r="132" spans="1:6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</row>
    <row r="133" spans="1:6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</row>
    <row r="134" spans="1:6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</row>
    <row r="135" spans="1:6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</row>
    <row r="136" spans="1:6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</row>
    <row r="137" spans="1:6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</row>
    <row r="138" spans="1:6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</row>
    <row r="139" spans="1:6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</row>
    <row r="140" spans="1:6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</row>
    <row r="141" spans="1:6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</row>
    <row r="142" spans="1:6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</row>
    <row r="143" spans="1:6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</row>
    <row r="144" spans="1:6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</row>
    <row r="145" spans="1:6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</row>
    <row r="146" spans="1:6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</row>
    <row r="147" spans="1:6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</row>
    <row r="148" spans="1:6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</row>
    <row r="149" spans="1:6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</row>
    <row r="150" spans="1:6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</row>
    <row r="151" spans="1:6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</row>
    <row r="152" spans="1:6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</row>
    <row r="153" spans="1:6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</row>
    <row r="154" spans="1:6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</row>
    <row r="155" spans="1:6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</row>
    <row r="156" spans="1:6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</row>
    <row r="157" spans="1:6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</row>
    <row r="158" spans="1:6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</row>
    <row r="159" spans="1:6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</row>
    <row r="160" spans="1:6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</row>
    <row r="161" spans="1:6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</row>
    <row r="162" spans="1:6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</row>
    <row r="163" spans="1:6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</row>
    <row r="164" spans="1:6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</row>
    <row r="165" spans="1:6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</row>
    <row r="166" spans="1:6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</row>
    <row r="167" spans="1:6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</row>
    <row r="168" spans="1:6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</row>
    <row r="169" spans="1:6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</row>
    <row r="170" spans="1:6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</row>
    <row r="171" spans="1:6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</row>
    <row r="172" spans="1:6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</row>
    <row r="173" spans="1:6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</row>
    <row r="174" spans="1:6" x14ac:dyDescent="0.2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</row>
    <row r="175" spans="1:6" x14ac:dyDescent="0.2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</row>
    <row r="176" spans="1:6" x14ac:dyDescent="0.2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</row>
    <row r="177" spans="1:6" x14ac:dyDescent="0.2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</row>
    <row r="178" spans="1:6" x14ac:dyDescent="0.2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</row>
    <row r="179" spans="1:6" x14ac:dyDescent="0.2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</row>
    <row r="180" spans="1:6" x14ac:dyDescent="0.2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</row>
    <row r="181" spans="1:6" x14ac:dyDescent="0.2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</row>
    <row r="182" spans="1:6" x14ac:dyDescent="0.2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</row>
    <row r="183" spans="1:6" x14ac:dyDescent="0.2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</row>
    <row r="184" spans="1:6" x14ac:dyDescent="0.2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</row>
    <row r="185" spans="1:6" x14ac:dyDescent="0.2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</row>
    <row r="186" spans="1:6" x14ac:dyDescent="0.2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</row>
    <row r="187" spans="1:6" x14ac:dyDescent="0.2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</row>
    <row r="188" spans="1:6" x14ac:dyDescent="0.2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</row>
    <row r="189" spans="1:6" x14ac:dyDescent="0.2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</row>
    <row r="190" spans="1:6" x14ac:dyDescent="0.2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</row>
    <row r="191" spans="1:6" x14ac:dyDescent="0.2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</row>
    <row r="192" spans="1:6" x14ac:dyDescent="0.2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</row>
    <row r="193" spans="1:6" x14ac:dyDescent="0.2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</row>
    <row r="194" spans="1:6" x14ac:dyDescent="0.2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</row>
    <row r="195" spans="1:6" x14ac:dyDescent="0.2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</row>
    <row r="196" spans="1:6" x14ac:dyDescent="0.2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</row>
    <row r="197" spans="1:6" x14ac:dyDescent="0.2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</row>
    <row r="198" spans="1:6" x14ac:dyDescent="0.2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</row>
    <row r="199" spans="1:6" x14ac:dyDescent="0.2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</row>
    <row r="200" spans="1:6" x14ac:dyDescent="0.2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</row>
    <row r="201" spans="1:6" x14ac:dyDescent="0.2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</row>
    <row r="202" spans="1:6" x14ac:dyDescent="0.2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</row>
    <row r="203" spans="1:6" x14ac:dyDescent="0.2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D130-8F74-4296-BEB9-199148F4264B}">
  <dimension ref="A1:K203"/>
  <sheetViews>
    <sheetView zoomScaleNormal="100" workbookViewId="0">
      <selection activeCell="K6" sqref="K6"/>
    </sheetView>
  </sheetViews>
  <sheetFormatPr defaultColWidth="11.5703125" defaultRowHeight="15" x14ac:dyDescent="0.25"/>
  <cols>
    <col min="1" max="1" width="10.140625" bestFit="1" customWidth="1"/>
    <col min="2" max="2" width="11.42578125" bestFit="1" customWidth="1"/>
    <col min="3" max="3" width="8.42578125" bestFit="1" customWidth="1"/>
    <col min="4" max="4" width="7.140625" bestFit="1" customWidth="1"/>
    <col min="5" max="5" width="9" bestFit="1" customWidth="1"/>
    <col min="6" max="6" width="24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  <c r="H1" t="s">
        <v>29</v>
      </c>
      <c r="J1" s="5">
        <f>COUNTIF(statek4[ile_dni],"&gt;20")</f>
        <v>22</v>
      </c>
      <c r="K1" s="1"/>
    </row>
    <row r="2" spans="1:11" x14ac:dyDescent="0.2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G2">
        <v>0</v>
      </c>
      <c r="H2">
        <v>0</v>
      </c>
    </row>
    <row r="3" spans="1:11" x14ac:dyDescent="0.2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G3">
        <f>IF(AND(B2&lt;&gt;statek4[[#This Row],[port]],statek4[[#This Row],[data]]&lt;&gt;A2),1,0)</f>
        <v>0</v>
      </c>
      <c r="H3">
        <f>IF(statek4[[#This Row],[czy_zmiana_zaladunku_na_wyladunek]]=1,statek4[[#This Row],[data]]-A2-1,0)</f>
        <v>0</v>
      </c>
    </row>
    <row r="4" spans="1:11" x14ac:dyDescent="0.2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G4">
        <f>IF(AND(B3&lt;&gt;statek4[[#This Row],[port]],statek4[[#This Row],[data]]&lt;&gt;A3),1,0)</f>
        <v>0</v>
      </c>
      <c r="H4">
        <f>IF(statek4[[#This Row],[czy_zmiana_zaladunku_na_wyladunek]]=1,statek4[[#This Row],[data]]-A3-1,0)</f>
        <v>0</v>
      </c>
    </row>
    <row r="5" spans="1:11" x14ac:dyDescent="0.2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G5">
        <f>IF(AND(B4&lt;&gt;statek4[[#This Row],[port]],statek4[[#This Row],[data]]&lt;&gt;A4),1,0)</f>
        <v>0</v>
      </c>
      <c r="H5">
        <f>IF(statek4[[#This Row],[czy_zmiana_zaladunku_na_wyladunek]]=1,statek4[[#This Row],[data]]-A4-1,0)</f>
        <v>0</v>
      </c>
    </row>
    <row r="6" spans="1:11" x14ac:dyDescent="0.2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G6">
        <f>IF(AND(B5&lt;&gt;statek4[[#This Row],[port]],statek4[[#This Row],[data]]&lt;&gt;A5),1,0)</f>
        <v>0</v>
      </c>
      <c r="H6">
        <f>IF(statek4[[#This Row],[czy_zmiana_zaladunku_na_wyladunek]]=1,statek4[[#This Row],[data]]-A5-1,0)</f>
        <v>0</v>
      </c>
    </row>
    <row r="7" spans="1:11" x14ac:dyDescent="0.2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G7">
        <f>IF(AND(B6&lt;&gt;statek4[[#This Row],[port]],statek4[[#This Row],[data]]&lt;&gt;A6),1,0)</f>
        <v>1</v>
      </c>
      <c r="H7">
        <f>IF(statek4[[#This Row],[czy_zmiana_zaladunku_na_wyladunek]]=1,statek4[[#This Row],[data]]-A6-1,0)</f>
        <v>14</v>
      </c>
    </row>
    <row r="8" spans="1:11" x14ac:dyDescent="0.2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G8">
        <f>IF(AND(B7&lt;&gt;statek4[[#This Row],[port]],statek4[[#This Row],[data]]&lt;&gt;A7),1,0)</f>
        <v>0</v>
      </c>
      <c r="H8">
        <f>IF(statek4[[#This Row],[czy_zmiana_zaladunku_na_wyladunek]]=1,statek4[[#This Row],[data]]-A7-1,0)</f>
        <v>0</v>
      </c>
    </row>
    <row r="9" spans="1:11" x14ac:dyDescent="0.2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G9">
        <f>IF(AND(B8&lt;&gt;statek4[[#This Row],[port]],statek4[[#This Row],[data]]&lt;&gt;A8),1,0)</f>
        <v>1</v>
      </c>
      <c r="H9">
        <f>IF(statek4[[#This Row],[czy_zmiana_zaladunku_na_wyladunek]]=1,statek4[[#This Row],[data]]-A8-1,0)</f>
        <v>7</v>
      </c>
    </row>
    <row r="10" spans="1:11" x14ac:dyDescent="0.2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G10">
        <f>IF(AND(B9&lt;&gt;statek4[[#This Row],[port]],statek4[[#This Row],[data]]&lt;&gt;A9),1,0)</f>
        <v>0</v>
      </c>
      <c r="H10">
        <f>IF(statek4[[#This Row],[czy_zmiana_zaladunku_na_wyladunek]]=1,statek4[[#This Row],[data]]-A9-1,0)</f>
        <v>0</v>
      </c>
    </row>
    <row r="11" spans="1:11" x14ac:dyDescent="0.2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G11">
        <f>IF(AND(B10&lt;&gt;statek4[[#This Row],[port]],statek4[[#This Row],[data]]&lt;&gt;A10),1,0)</f>
        <v>0</v>
      </c>
      <c r="H11">
        <f>IF(statek4[[#This Row],[czy_zmiana_zaladunku_na_wyladunek]]=1,statek4[[#This Row],[data]]-A10-1,0)</f>
        <v>0</v>
      </c>
    </row>
    <row r="12" spans="1:11" x14ac:dyDescent="0.2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>
        <f>IF(AND(B11&lt;&gt;statek4[[#This Row],[port]],statek4[[#This Row],[data]]&lt;&gt;A11),1,0)</f>
        <v>1</v>
      </c>
      <c r="H12">
        <f>IF(statek4[[#This Row],[czy_zmiana_zaladunku_na_wyladunek]]=1,statek4[[#This Row],[data]]-A11-1,0)</f>
        <v>25</v>
      </c>
    </row>
    <row r="13" spans="1:11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G13">
        <f>IF(AND(B12&lt;&gt;statek4[[#This Row],[port]],statek4[[#This Row],[data]]&lt;&gt;A12),1,0)</f>
        <v>0</v>
      </c>
      <c r="H13">
        <f>IF(statek4[[#This Row],[czy_zmiana_zaladunku_na_wyladunek]]=1,statek4[[#This Row],[data]]-A12-1,0)</f>
        <v>0</v>
      </c>
    </row>
    <row r="14" spans="1:11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G14">
        <f>IF(AND(B13&lt;&gt;statek4[[#This Row],[port]],statek4[[#This Row],[data]]&lt;&gt;A13),1,0)</f>
        <v>0</v>
      </c>
      <c r="H14">
        <f>IF(statek4[[#This Row],[czy_zmiana_zaladunku_na_wyladunek]]=1,statek4[[#This Row],[data]]-A13-1,0)</f>
        <v>0</v>
      </c>
    </row>
    <row r="15" spans="1:11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G15">
        <f>IF(AND(B14&lt;&gt;statek4[[#This Row],[port]],statek4[[#This Row],[data]]&lt;&gt;A14),1,0)</f>
        <v>0</v>
      </c>
      <c r="H15">
        <f>IF(statek4[[#This Row],[czy_zmiana_zaladunku_na_wyladunek]]=1,statek4[[#This Row],[data]]-A14-1,0)</f>
        <v>0</v>
      </c>
    </row>
    <row r="16" spans="1:11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G16">
        <f>IF(AND(B15&lt;&gt;statek4[[#This Row],[port]],statek4[[#This Row],[data]]&lt;&gt;A15),1,0)</f>
        <v>1</v>
      </c>
      <c r="H16">
        <f>IF(statek4[[#This Row],[czy_zmiana_zaladunku_na_wyladunek]]=1,statek4[[#This Row],[data]]-A15-1,0)</f>
        <v>20</v>
      </c>
    </row>
    <row r="17" spans="1:8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G17">
        <f>IF(AND(B16&lt;&gt;statek4[[#This Row],[port]],statek4[[#This Row],[data]]&lt;&gt;A16),1,0)</f>
        <v>0</v>
      </c>
      <c r="H17">
        <f>IF(statek4[[#This Row],[czy_zmiana_zaladunku_na_wyladunek]]=1,statek4[[#This Row],[data]]-A16-1,0)</f>
        <v>0</v>
      </c>
    </row>
    <row r="18" spans="1:8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G18">
        <f>IF(AND(B17&lt;&gt;statek4[[#This Row],[port]],statek4[[#This Row],[data]]&lt;&gt;A17),1,0)</f>
        <v>0</v>
      </c>
      <c r="H18">
        <f>IF(statek4[[#This Row],[czy_zmiana_zaladunku_na_wyladunek]]=1,statek4[[#This Row],[data]]-A17-1,0)</f>
        <v>0</v>
      </c>
    </row>
    <row r="19" spans="1:8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G19">
        <f>IF(AND(B18&lt;&gt;statek4[[#This Row],[port]],statek4[[#This Row],[data]]&lt;&gt;A18),1,0)</f>
        <v>0</v>
      </c>
      <c r="H19">
        <f>IF(statek4[[#This Row],[czy_zmiana_zaladunku_na_wyladunek]]=1,statek4[[#This Row],[data]]-A18-1,0)</f>
        <v>0</v>
      </c>
    </row>
    <row r="20" spans="1:8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G20">
        <f>IF(AND(B19&lt;&gt;statek4[[#This Row],[port]],statek4[[#This Row],[data]]&lt;&gt;A19),1,0)</f>
        <v>1</v>
      </c>
      <c r="H20">
        <f>IF(statek4[[#This Row],[czy_zmiana_zaladunku_na_wyladunek]]=1,statek4[[#This Row],[data]]-A19-1,0)</f>
        <v>23</v>
      </c>
    </row>
    <row r="21" spans="1:8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G21">
        <f>IF(AND(B20&lt;&gt;statek4[[#This Row],[port]],statek4[[#This Row],[data]]&lt;&gt;A20),1,0)</f>
        <v>0</v>
      </c>
      <c r="H21">
        <f>IF(statek4[[#This Row],[czy_zmiana_zaladunku_na_wyladunek]]=1,statek4[[#This Row],[data]]-A20-1,0)</f>
        <v>0</v>
      </c>
    </row>
    <row r="22" spans="1:8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G22">
        <f>IF(AND(B21&lt;&gt;statek4[[#This Row],[port]],statek4[[#This Row],[data]]&lt;&gt;A21),1,0)</f>
        <v>0</v>
      </c>
      <c r="H22">
        <f>IF(statek4[[#This Row],[czy_zmiana_zaladunku_na_wyladunek]]=1,statek4[[#This Row],[data]]-A21-1,0)</f>
        <v>0</v>
      </c>
    </row>
    <row r="23" spans="1:8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G23">
        <f>IF(AND(B22&lt;&gt;statek4[[#This Row],[port]],statek4[[#This Row],[data]]&lt;&gt;A22),1,0)</f>
        <v>1</v>
      </c>
      <c r="H23">
        <f>IF(statek4[[#This Row],[czy_zmiana_zaladunku_na_wyladunek]]=1,statek4[[#This Row],[data]]-A22-1,0)</f>
        <v>17</v>
      </c>
    </row>
    <row r="24" spans="1:8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G24">
        <f>IF(AND(B23&lt;&gt;statek4[[#This Row],[port]],statek4[[#This Row],[data]]&lt;&gt;A23),1,0)</f>
        <v>0</v>
      </c>
      <c r="H24">
        <f>IF(statek4[[#This Row],[czy_zmiana_zaladunku_na_wyladunek]]=1,statek4[[#This Row],[data]]-A23-1,0)</f>
        <v>0</v>
      </c>
    </row>
    <row r="25" spans="1:8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G25">
        <f>IF(AND(B24&lt;&gt;statek4[[#This Row],[port]],statek4[[#This Row],[data]]&lt;&gt;A24),1,0)</f>
        <v>0</v>
      </c>
      <c r="H25">
        <f>IF(statek4[[#This Row],[czy_zmiana_zaladunku_na_wyladunek]]=1,statek4[[#This Row],[data]]-A24-1,0)</f>
        <v>0</v>
      </c>
    </row>
    <row r="26" spans="1:8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G26">
        <f>IF(AND(B25&lt;&gt;statek4[[#This Row],[port]],statek4[[#This Row],[data]]&lt;&gt;A25),1,0)</f>
        <v>1</v>
      </c>
      <c r="H26">
        <f>IF(statek4[[#This Row],[czy_zmiana_zaladunku_na_wyladunek]]=1,statek4[[#This Row],[data]]-A25-1,0)</f>
        <v>21</v>
      </c>
    </row>
    <row r="27" spans="1:8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G27">
        <f>IF(AND(B26&lt;&gt;statek4[[#This Row],[port]],statek4[[#This Row],[data]]&lt;&gt;A26),1,0)</f>
        <v>0</v>
      </c>
      <c r="H27">
        <f>IF(statek4[[#This Row],[czy_zmiana_zaladunku_na_wyladunek]]=1,statek4[[#This Row],[data]]-A26-1,0)</f>
        <v>0</v>
      </c>
    </row>
    <row r="28" spans="1:8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G28">
        <f>IF(AND(B27&lt;&gt;statek4[[#This Row],[port]],statek4[[#This Row],[data]]&lt;&gt;A27),1,0)</f>
        <v>1</v>
      </c>
      <c r="H28">
        <f>IF(statek4[[#This Row],[czy_zmiana_zaladunku_na_wyladunek]]=1,statek4[[#This Row],[data]]-A27-1,0)</f>
        <v>24</v>
      </c>
    </row>
    <row r="29" spans="1:8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G29">
        <f>IF(AND(B28&lt;&gt;statek4[[#This Row],[port]],statek4[[#This Row],[data]]&lt;&gt;A28),1,0)</f>
        <v>0</v>
      </c>
      <c r="H29">
        <f>IF(statek4[[#This Row],[czy_zmiana_zaladunku_na_wyladunek]]=1,statek4[[#This Row],[data]]-A28-1,0)</f>
        <v>0</v>
      </c>
    </row>
    <row r="30" spans="1:8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G30">
        <f>IF(AND(B29&lt;&gt;statek4[[#This Row],[port]],statek4[[#This Row],[data]]&lt;&gt;A29),1,0)</f>
        <v>0</v>
      </c>
      <c r="H30">
        <f>IF(statek4[[#This Row],[czy_zmiana_zaladunku_na_wyladunek]]=1,statek4[[#This Row],[data]]-A29-1,0)</f>
        <v>0</v>
      </c>
    </row>
    <row r="31" spans="1:8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G31">
        <f>IF(AND(B30&lt;&gt;statek4[[#This Row],[port]],statek4[[#This Row],[data]]&lt;&gt;A30),1,0)</f>
        <v>0</v>
      </c>
      <c r="H31">
        <f>IF(statek4[[#This Row],[czy_zmiana_zaladunku_na_wyladunek]]=1,statek4[[#This Row],[data]]-A30-1,0)</f>
        <v>0</v>
      </c>
    </row>
    <row r="32" spans="1:8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G32">
        <f>IF(AND(B31&lt;&gt;statek4[[#This Row],[port]],statek4[[#This Row],[data]]&lt;&gt;A31),1,0)</f>
        <v>1</v>
      </c>
      <c r="H32">
        <f>IF(statek4[[#This Row],[czy_zmiana_zaladunku_na_wyladunek]]=1,statek4[[#This Row],[data]]-A31-1,0)</f>
        <v>12</v>
      </c>
    </row>
    <row r="33" spans="1:8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G33">
        <f>IF(AND(B32&lt;&gt;statek4[[#This Row],[port]],statek4[[#This Row],[data]]&lt;&gt;A32),1,0)</f>
        <v>0</v>
      </c>
      <c r="H33">
        <f>IF(statek4[[#This Row],[czy_zmiana_zaladunku_na_wyladunek]]=1,statek4[[#This Row],[data]]-A32-1,0)</f>
        <v>0</v>
      </c>
    </row>
    <row r="34" spans="1:8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G34">
        <f>IF(AND(B33&lt;&gt;statek4[[#This Row],[port]],statek4[[#This Row],[data]]&lt;&gt;A33),1,0)</f>
        <v>0</v>
      </c>
      <c r="H34">
        <f>IF(statek4[[#This Row],[czy_zmiana_zaladunku_na_wyladunek]]=1,statek4[[#This Row],[data]]-A33-1,0)</f>
        <v>0</v>
      </c>
    </row>
    <row r="35" spans="1:8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G35">
        <f>IF(AND(B34&lt;&gt;statek4[[#This Row],[port]],statek4[[#This Row],[data]]&lt;&gt;A34),1,0)</f>
        <v>0</v>
      </c>
      <c r="H35">
        <f>IF(statek4[[#This Row],[czy_zmiana_zaladunku_na_wyladunek]]=1,statek4[[#This Row],[data]]-A34-1,0)</f>
        <v>0</v>
      </c>
    </row>
    <row r="36" spans="1:8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G36">
        <f>IF(AND(B35&lt;&gt;statek4[[#This Row],[port]],statek4[[#This Row],[data]]&lt;&gt;A35),1,0)</f>
        <v>0</v>
      </c>
      <c r="H36">
        <f>IF(statek4[[#This Row],[czy_zmiana_zaladunku_na_wyladunek]]=1,statek4[[#This Row],[data]]-A35-1,0)</f>
        <v>0</v>
      </c>
    </row>
    <row r="37" spans="1:8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G37">
        <f>IF(AND(B36&lt;&gt;statek4[[#This Row],[port]],statek4[[#This Row],[data]]&lt;&gt;A36),1,0)</f>
        <v>1</v>
      </c>
      <c r="H37">
        <f>IF(statek4[[#This Row],[czy_zmiana_zaladunku_na_wyladunek]]=1,statek4[[#This Row],[data]]-A36-1,0)</f>
        <v>16</v>
      </c>
    </row>
    <row r="38" spans="1:8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G38">
        <f>IF(AND(B37&lt;&gt;statek4[[#This Row],[port]],statek4[[#This Row],[data]]&lt;&gt;A37),1,0)</f>
        <v>0</v>
      </c>
      <c r="H38">
        <f>IF(statek4[[#This Row],[czy_zmiana_zaladunku_na_wyladunek]]=1,statek4[[#This Row],[data]]-A37-1,0)</f>
        <v>0</v>
      </c>
    </row>
    <row r="39" spans="1:8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G39">
        <f>IF(AND(B38&lt;&gt;statek4[[#This Row],[port]],statek4[[#This Row],[data]]&lt;&gt;A38),1,0)</f>
        <v>0</v>
      </c>
      <c r="H39">
        <f>IF(statek4[[#This Row],[czy_zmiana_zaladunku_na_wyladunek]]=1,statek4[[#This Row],[data]]-A38-1,0)</f>
        <v>0</v>
      </c>
    </row>
    <row r="40" spans="1:8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G40">
        <f>IF(AND(B39&lt;&gt;statek4[[#This Row],[port]],statek4[[#This Row],[data]]&lt;&gt;A39),1,0)</f>
        <v>0</v>
      </c>
      <c r="H40">
        <f>IF(statek4[[#This Row],[czy_zmiana_zaladunku_na_wyladunek]]=1,statek4[[#This Row],[data]]-A39-1,0)</f>
        <v>0</v>
      </c>
    </row>
    <row r="41" spans="1:8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G41">
        <f>IF(AND(B40&lt;&gt;statek4[[#This Row],[port]],statek4[[#This Row],[data]]&lt;&gt;A40),1,0)</f>
        <v>1</v>
      </c>
      <c r="H41">
        <f>IF(statek4[[#This Row],[czy_zmiana_zaladunku_na_wyladunek]]=1,statek4[[#This Row],[data]]-A40-1,0)</f>
        <v>14</v>
      </c>
    </row>
    <row r="42" spans="1:8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G42">
        <f>IF(AND(B41&lt;&gt;statek4[[#This Row],[port]],statek4[[#This Row],[data]]&lt;&gt;A41),1,0)</f>
        <v>0</v>
      </c>
      <c r="H42">
        <f>IF(statek4[[#This Row],[czy_zmiana_zaladunku_na_wyladunek]]=1,statek4[[#This Row],[data]]-A41-1,0)</f>
        <v>0</v>
      </c>
    </row>
    <row r="43" spans="1:8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G43">
        <f>IF(AND(B42&lt;&gt;statek4[[#This Row],[port]],statek4[[#This Row],[data]]&lt;&gt;A42),1,0)</f>
        <v>1</v>
      </c>
      <c r="H43">
        <f>IF(statek4[[#This Row],[czy_zmiana_zaladunku_na_wyladunek]]=1,statek4[[#This Row],[data]]-A42-1,0)</f>
        <v>18</v>
      </c>
    </row>
    <row r="44" spans="1:8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G44">
        <f>IF(AND(B43&lt;&gt;statek4[[#This Row],[port]],statek4[[#This Row],[data]]&lt;&gt;A43),1,0)</f>
        <v>0</v>
      </c>
      <c r="H44">
        <f>IF(statek4[[#This Row],[czy_zmiana_zaladunku_na_wyladunek]]=1,statek4[[#This Row],[data]]-A43-1,0)</f>
        <v>0</v>
      </c>
    </row>
    <row r="45" spans="1:8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G45">
        <f>IF(AND(B44&lt;&gt;statek4[[#This Row],[port]],statek4[[#This Row],[data]]&lt;&gt;A44),1,0)</f>
        <v>0</v>
      </c>
      <c r="H45">
        <f>IF(statek4[[#This Row],[czy_zmiana_zaladunku_na_wyladunek]]=1,statek4[[#This Row],[data]]-A44-1,0)</f>
        <v>0</v>
      </c>
    </row>
    <row r="46" spans="1:8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  <c r="G46">
        <f>IF(AND(B45&lt;&gt;statek4[[#This Row],[port]],statek4[[#This Row],[data]]&lt;&gt;A45),1,0)</f>
        <v>1</v>
      </c>
      <c r="H46">
        <f>IF(statek4[[#This Row],[czy_zmiana_zaladunku_na_wyladunek]]=1,statek4[[#This Row],[data]]-A45-1,0)</f>
        <v>25</v>
      </c>
    </row>
    <row r="47" spans="1:8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  <c r="G47">
        <f>IF(AND(B46&lt;&gt;statek4[[#This Row],[port]],statek4[[#This Row],[data]]&lt;&gt;A46),1,0)</f>
        <v>0</v>
      </c>
      <c r="H47">
        <f>IF(statek4[[#This Row],[czy_zmiana_zaladunku_na_wyladunek]]=1,statek4[[#This Row],[data]]-A46-1,0)</f>
        <v>0</v>
      </c>
    </row>
    <row r="48" spans="1:8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G48">
        <f>IF(AND(B47&lt;&gt;statek4[[#This Row],[port]],statek4[[#This Row],[data]]&lt;&gt;A47),1,0)</f>
        <v>0</v>
      </c>
      <c r="H48">
        <f>IF(statek4[[#This Row],[czy_zmiana_zaladunku_na_wyladunek]]=1,statek4[[#This Row],[data]]-A47-1,0)</f>
        <v>0</v>
      </c>
    </row>
    <row r="49" spans="1:8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G49">
        <f>IF(AND(B48&lt;&gt;statek4[[#This Row],[port]],statek4[[#This Row],[data]]&lt;&gt;A48),1,0)</f>
        <v>0</v>
      </c>
      <c r="H49">
        <f>IF(statek4[[#This Row],[czy_zmiana_zaladunku_na_wyladunek]]=1,statek4[[#This Row],[data]]-A48-1,0)</f>
        <v>0</v>
      </c>
    </row>
    <row r="50" spans="1:8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  <c r="G50">
        <f>IF(AND(B49&lt;&gt;statek4[[#This Row],[port]],statek4[[#This Row],[data]]&lt;&gt;A49),1,0)</f>
        <v>0</v>
      </c>
      <c r="H50">
        <f>IF(statek4[[#This Row],[czy_zmiana_zaladunku_na_wyladunek]]=1,statek4[[#This Row],[data]]-A49-1,0)</f>
        <v>0</v>
      </c>
    </row>
    <row r="51" spans="1:8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  <c r="G51">
        <f>IF(AND(B50&lt;&gt;statek4[[#This Row],[port]],statek4[[#This Row],[data]]&lt;&gt;A50),1,0)</f>
        <v>1</v>
      </c>
      <c r="H51">
        <f>IF(statek4[[#This Row],[czy_zmiana_zaladunku_na_wyladunek]]=1,statek4[[#This Row],[data]]-A50-1,0)</f>
        <v>20</v>
      </c>
    </row>
    <row r="52" spans="1:8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  <c r="G52">
        <f>IF(AND(B51&lt;&gt;statek4[[#This Row],[port]],statek4[[#This Row],[data]]&lt;&gt;A51),1,0)</f>
        <v>0</v>
      </c>
      <c r="H52">
        <f>IF(statek4[[#This Row],[czy_zmiana_zaladunku_na_wyladunek]]=1,statek4[[#This Row],[data]]-A51-1,0)</f>
        <v>0</v>
      </c>
    </row>
    <row r="53" spans="1:8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  <c r="G53">
        <f>IF(AND(B52&lt;&gt;statek4[[#This Row],[port]],statek4[[#This Row],[data]]&lt;&gt;A52),1,0)</f>
        <v>0</v>
      </c>
      <c r="H53">
        <f>IF(statek4[[#This Row],[czy_zmiana_zaladunku_na_wyladunek]]=1,statek4[[#This Row],[data]]-A52-1,0)</f>
        <v>0</v>
      </c>
    </row>
    <row r="54" spans="1:8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  <c r="G54">
        <f>IF(AND(B53&lt;&gt;statek4[[#This Row],[port]],statek4[[#This Row],[data]]&lt;&gt;A53),1,0)</f>
        <v>0</v>
      </c>
      <c r="H54">
        <f>IF(statek4[[#This Row],[czy_zmiana_zaladunku_na_wyladunek]]=1,statek4[[#This Row],[data]]-A53-1,0)</f>
        <v>0</v>
      </c>
    </row>
    <row r="55" spans="1:8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  <c r="G55">
        <f>IF(AND(B54&lt;&gt;statek4[[#This Row],[port]],statek4[[#This Row],[data]]&lt;&gt;A54),1,0)</f>
        <v>0</v>
      </c>
      <c r="H55">
        <f>IF(statek4[[#This Row],[czy_zmiana_zaladunku_na_wyladunek]]=1,statek4[[#This Row],[data]]-A54-1,0)</f>
        <v>0</v>
      </c>
    </row>
    <row r="56" spans="1:8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  <c r="G56">
        <f>IF(AND(B55&lt;&gt;statek4[[#This Row],[port]],statek4[[#This Row],[data]]&lt;&gt;A55),1,0)</f>
        <v>1</v>
      </c>
      <c r="H56">
        <f>IF(statek4[[#This Row],[czy_zmiana_zaladunku_na_wyladunek]]=1,statek4[[#This Row],[data]]-A55-1,0)</f>
        <v>23</v>
      </c>
    </row>
    <row r="57" spans="1:8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  <c r="G57">
        <f>IF(AND(B56&lt;&gt;statek4[[#This Row],[port]],statek4[[#This Row],[data]]&lt;&gt;A56),1,0)</f>
        <v>0</v>
      </c>
      <c r="H57">
        <f>IF(statek4[[#This Row],[czy_zmiana_zaladunku_na_wyladunek]]=1,statek4[[#This Row],[data]]-A56-1,0)</f>
        <v>0</v>
      </c>
    </row>
    <row r="58" spans="1:8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  <c r="G58">
        <f>IF(AND(B57&lt;&gt;statek4[[#This Row],[port]],statek4[[#This Row],[data]]&lt;&gt;A57),1,0)</f>
        <v>0</v>
      </c>
      <c r="H58">
        <f>IF(statek4[[#This Row],[czy_zmiana_zaladunku_na_wyladunek]]=1,statek4[[#This Row],[data]]-A57-1,0)</f>
        <v>0</v>
      </c>
    </row>
    <row r="59" spans="1:8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  <c r="G59">
        <f>IF(AND(B58&lt;&gt;statek4[[#This Row],[port]],statek4[[#This Row],[data]]&lt;&gt;A58),1,0)</f>
        <v>1</v>
      </c>
      <c r="H59">
        <f>IF(statek4[[#This Row],[czy_zmiana_zaladunku_na_wyladunek]]=1,statek4[[#This Row],[data]]-A58-1,0)</f>
        <v>17</v>
      </c>
    </row>
    <row r="60" spans="1:8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  <c r="G60">
        <f>IF(AND(B59&lt;&gt;statek4[[#This Row],[port]],statek4[[#This Row],[data]]&lt;&gt;A59),1,0)</f>
        <v>0</v>
      </c>
      <c r="H60">
        <f>IF(statek4[[#This Row],[czy_zmiana_zaladunku_na_wyladunek]]=1,statek4[[#This Row],[data]]-A59-1,0)</f>
        <v>0</v>
      </c>
    </row>
    <row r="61" spans="1:8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  <c r="G61">
        <f>IF(AND(B60&lt;&gt;statek4[[#This Row],[port]],statek4[[#This Row],[data]]&lt;&gt;A60),1,0)</f>
        <v>0</v>
      </c>
      <c r="H61">
        <f>IF(statek4[[#This Row],[czy_zmiana_zaladunku_na_wyladunek]]=1,statek4[[#This Row],[data]]-A60-1,0)</f>
        <v>0</v>
      </c>
    </row>
    <row r="62" spans="1:8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  <c r="G62">
        <f>IF(AND(B61&lt;&gt;statek4[[#This Row],[port]],statek4[[#This Row],[data]]&lt;&gt;A61),1,0)</f>
        <v>1</v>
      </c>
      <c r="H62">
        <f>IF(statek4[[#This Row],[czy_zmiana_zaladunku_na_wyladunek]]=1,statek4[[#This Row],[data]]-A61-1,0)</f>
        <v>21</v>
      </c>
    </row>
    <row r="63" spans="1:8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  <c r="G63">
        <f>IF(AND(B62&lt;&gt;statek4[[#This Row],[port]],statek4[[#This Row],[data]]&lt;&gt;A62),1,0)</f>
        <v>0</v>
      </c>
      <c r="H63">
        <f>IF(statek4[[#This Row],[czy_zmiana_zaladunku_na_wyladunek]]=1,statek4[[#This Row],[data]]-A62-1,0)</f>
        <v>0</v>
      </c>
    </row>
    <row r="64" spans="1:8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  <c r="G64">
        <f>IF(AND(B63&lt;&gt;statek4[[#This Row],[port]],statek4[[#This Row],[data]]&lt;&gt;A63),1,0)</f>
        <v>0</v>
      </c>
      <c r="H64">
        <f>IF(statek4[[#This Row],[czy_zmiana_zaladunku_na_wyladunek]]=1,statek4[[#This Row],[data]]-A63-1,0)</f>
        <v>0</v>
      </c>
    </row>
    <row r="65" spans="1:8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  <c r="G65">
        <f>IF(AND(B64&lt;&gt;statek4[[#This Row],[port]],statek4[[#This Row],[data]]&lt;&gt;A64),1,0)</f>
        <v>0</v>
      </c>
      <c r="H65">
        <f>IF(statek4[[#This Row],[czy_zmiana_zaladunku_na_wyladunek]]=1,statek4[[#This Row],[data]]-A64-1,0)</f>
        <v>0</v>
      </c>
    </row>
    <row r="66" spans="1:8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  <c r="G66">
        <f>IF(AND(B65&lt;&gt;statek4[[#This Row],[port]],statek4[[#This Row],[data]]&lt;&gt;A65),1,0)</f>
        <v>1</v>
      </c>
      <c r="H66">
        <f>IF(statek4[[#This Row],[czy_zmiana_zaladunku_na_wyladunek]]=1,statek4[[#This Row],[data]]-A65-1,0)</f>
        <v>24</v>
      </c>
    </row>
    <row r="67" spans="1:8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  <c r="G67">
        <f>IF(AND(B66&lt;&gt;statek4[[#This Row],[port]],statek4[[#This Row],[data]]&lt;&gt;A66),1,0)</f>
        <v>0</v>
      </c>
      <c r="H67">
        <f>IF(statek4[[#This Row],[czy_zmiana_zaladunku_na_wyladunek]]=1,statek4[[#This Row],[data]]-A66-1,0)</f>
        <v>0</v>
      </c>
    </row>
    <row r="68" spans="1:8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  <c r="G68">
        <f>IF(AND(B67&lt;&gt;statek4[[#This Row],[port]],statek4[[#This Row],[data]]&lt;&gt;A67),1,0)</f>
        <v>0</v>
      </c>
      <c r="H68">
        <f>IF(statek4[[#This Row],[czy_zmiana_zaladunku_na_wyladunek]]=1,statek4[[#This Row],[data]]-A67-1,0)</f>
        <v>0</v>
      </c>
    </row>
    <row r="69" spans="1:8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  <c r="G69">
        <f>IF(AND(B68&lt;&gt;statek4[[#This Row],[port]],statek4[[#This Row],[data]]&lt;&gt;A68),1,0)</f>
        <v>1</v>
      </c>
      <c r="H69">
        <f>IF(statek4[[#This Row],[czy_zmiana_zaladunku_na_wyladunek]]=1,statek4[[#This Row],[data]]-A68-1,0)</f>
        <v>12</v>
      </c>
    </row>
    <row r="70" spans="1:8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  <c r="G70">
        <f>IF(AND(B69&lt;&gt;statek4[[#This Row],[port]],statek4[[#This Row],[data]]&lt;&gt;A69),1,0)</f>
        <v>0</v>
      </c>
      <c r="H70">
        <f>IF(statek4[[#This Row],[czy_zmiana_zaladunku_na_wyladunek]]=1,statek4[[#This Row],[data]]-A69-1,0)</f>
        <v>0</v>
      </c>
    </row>
    <row r="71" spans="1:8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  <c r="G71">
        <f>IF(AND(B70&lt;&gt;statek4[[#This Row],[port]],statek4[[#This Row],[data]]&lt;&gt;A70),1,0)</f>
        <v>0</v>
      </c>
      <c r="H71">
        <f>IF(statek4[[#This Row],[czy_zmiana_zaladunku_na_wyladunek]]=1,statek4[[#This Row],[data]]-A70-1,0)</f>
        <v>0</v>
      </c>
    </row>
    <row r="72" spans="1:8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  <c r="G72">
        <f>IF(AND(B71&lt;&gt;statek4[[#This Row],[port]],statek4[[#This Row],[data]]&lt;&gt;A71),1,0)</f>
        <v>0</v>
      </c>
      <c r="H72">
        <f>IF(statek4[[#This Row],[czy_zmiana_zaladunku_na_wyladunek]]=1,statek4[[#This Row],[data]]-A71-1,0)</f>
        <v>0</v>
      </c>
    </row>
    <row r="73" spans="1:8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  <c r="G73">
        <f>IF(AND(B72&lt;&gt;statek4[[#This Row],[port]],statek4[[#This Row],[data]]&lt;&gt;A72),1,0)</f>
        <v>0</v>
      </c>
      <c r="H73">
        <f>IF(statek4[[#This Row],[czy_zmiana_zaladunku_na_wyladunek]]=1,statek4[[#This Row],[data]]-A72-1,0)</f>
        <v>0</v>
      </c>
    </row>
    <row r="74" spans="1:8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  <c r="G74">
        <f>IF(AND(B73&lt;&gt;statek4[[#This Row],[port]],statek4[[#This Row],[data]]&lt;&gt;A73),1,0)</f>
        <v>1</v>
      </c>
      <c r="H74">
        <f>IF(statek4[[#This Row],[czy_zmiana_zaladunku_na_wyladunek]]=1,statek4[[#This Row],[data]]-A73-1,0)</f>
        <v>16</v>
      </c>
    </row>
    <row r="75" spans="1:8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  <c r="G75">
        <f>IF(AND(B74&lt;&gt;statek4[[#This Row],[port]],statek4[[#This Row],[data]]&lt;&gt;A74),1,0)</f>
        <v>0</v>
      </c>
      <c r="H75">
        <f>IF(statek4[[#This Row],[czy_zmiana_zaladunku_na_wyladunek]]=1,statek4[[#This Row],[data]]-A74-1,0)</f>
        <v>0</v>
      </c>
    </row>
    <row r="76" spans="1:8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  <c r="G76">
        <f>IF(AND(B75&lt;&gt;statek4[[#This Row],[port]],statek4[[#This Row],[data]]&lt;&gt;A75),1,0)</f>
        <v>0</v>
      </c>
      <c r="H76">
        <f>IF(statek4[[#This Row],[czy_zmiana_zaladunku_na_wyladunek]]=1,statek4[[#This Row],[data]]-A75-1,0)</f>
        <v>0</v>
      </c>
    </row>
    <row r="77" spans="1:8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  <c r="G77">
        <f>IF(AND(B76&lt;&gt;statek4[[#This Row],[port]],statek4[[#This Row],[data]]&lt;&gt;A76),1,0)</f>
        <v>1</v>
      </c>
      <c r="H77">
        <f>IF(statek4[[#This Row],[czy_zmiana_zaladunku_na_wyladunek]]=1,statek4[[#This Row],[data]]-A76-1,0)</f>
        <v>14</v>
      </c>
    </row>
    <row r="78" spans="1:8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  <c r="G78">
        <f>IF(AND(B77&lt;&gt;statek4[[#This Row],[port]],statek4[[#This Row],[data]]&lt;&gt;A77),1,0)</f>
        <v>0</v>
      </c>
      <c r="H78">
        <f>IF(statek4[[#This Row],[czy_zmiana_zaladunku_na_wyladunek]]=1,statek4[[#This Row],[data]]-A77-1,0)</f>
        <v>0</v>
      </c>
    </row>
    <row r="79" spans="1:8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  <c r="G79">
        <f>IF(AND(B78&lt;&gt;statek4[[#This Row],[port]],statek4[[#This Row],[data]]&lt;&gt;A78),1,0)</f>
        <v>1</v>
      </c>
      <c r="H79">
        <f>IF(statek4[[#This Row],[czy_zmiana_zaladunku_na_wyladunek]]=1,statek4[[#This Row],[data]]-A78-1,0)</f>
        <v>18</v>
      </c>
    </row>
    <row r="80" spans="1:8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  <c r="G80">
        <f>IF(AND(B79&lt;&gt;statek4[[#This Row],[port]],statek4[[#This Row],[data]]&lt;&gt;A79),1,0)</f>
        <v>0</v>
      </c>
      <c r="H80">
        <f>IF(statek4[[#This Row],[czy_zmiana_zaladunku_na_wyladunek]]=1,statek4[[#This Row],[data]]-A79-1,0)</f>
        <v>0</v>
      </c>
    </row>
    <row r="81" spans="1:8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  <c r="G81">
        <f>IF(AND(B80&lt;&gt;statek4[[#This Row],[port]],statek4[[#This Row],[data]]&lt;&gt;A80),1,0)</f>
        <v>0</v>
      </c>
      <c r="H81">
        <f>IF(statek4[[#This Row],[czy_zmiana_zaladunku_na_wyladunek]]=1,statek4[[#This Row],[data]]-A80-1,0)</f>
        <v>0</v>
      </c>
    </row>
    <row r="82" spans="1:8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  <c r="G82">
        <f>IF(AND(B81&lt;&gt;statek4[[#This Row],[port]],statek4[[#This Row],[data]]&lt;&gt;A81),1,0)</f>
        <v>0</v>
      </c>
      <c r="H82">
        <f>IF(statek4[[#This Row],[czy_zmiana_zaladunku_na_wyladunek]]=1,statek4[[#This Row],[data]]-A81-1,0)</f>
        <v>0</v>
      </c>
    </row>
    <row r="83" spans="1:8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  <c r="G83">
        <f>IF(AND(B82&lt;&gt;statek4[[#This Row],[port]],statek4[[#This Row],[data]]&lt;&gt;A82),1,0)</f>
        <v>1</v>
      </c>
      <c r="H83">
        <f>IF(statek4[[#This Row],[czy_zmiana_zaladunku_na_wyladunek]]=1,statek4[[#This Row],[data]]-A82-1,0)</f>
        <v>25</v>
      </c>
    </row>
    <row r="84" spans="1:8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  <c r="G84">
        <f>IF(AND(B83&lt;&gt;statek4[[#This Row],[port]],statek4[[#This Row],[data]]&lt;&gt;A83),1,0)</f>
        <v>0</v>
      </c>
      <c r="H84">
        <f>IF(statek4[[#This Row],[czy_zmiana_zaladunku_na_wyladunek]]=1,statek4[[#This Row],[data]]-A83-1,0)</f>
        <v>0</v>
      </c>
    </row>
    <row r="85" spans="1:8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  <c r="G85">
        <f>IF(AND(B84&lt;&gt;statek4[[#This Row],[port]],statek4[[#This Row],[data]]&lt;&gt;A84),1,0)</f>
        <v>0</v>
      </c>
      <c r="H85">
        <f>IF(statek4[[#This Row],[czy_zmiana_zaladunku_na_wyladunek]]=1,statek4[[#This Row],[data]]-A84-1,0)</f>
        <v>0</v>
      </c>
    </row>
    <row r="86" spans="1:8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  <c r="G86">
        <f>IF(AND(B85&lt;&gt;statek4[[#This Row],[port]],statek4[[#This Row],[data]]&lt;&gt;A85),1,0)</f>
        <v>1</v>
      </c>
      <c r="H86">
        <f>IF(statek4[[#This Row],[czy_zmiana_zaladunku_na_wyladunek]]=1,statek4[[#This Row],[data]]-A85-1,0)</f>
        <v>20</v>
      </c>
    </row>
    <row r="87" spans="1:8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  <c r="G87">
        <f>IF(AND(B86&lt;&gt;statek4[[#This Row],[port]],statek4[[#This Row],[data]]&lt;&gt;A86),1,0)</f>
        <v>0</v>
      </c>
      <c r="H87">
        <f>IF(statek4[[#This Row],[czy_zmiana_zaladunku_na_wyladunek]]=1,statek4[[#This Row],[data]]-A86-1,0)</f>
        <v>0</v>
      </c>
    </row>
    <row r="88" spans="1:8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  <c r="G88">
        <f>IF(AND(B87&lt;&gt;statek4[[#This Row],[port]],statek4[[#This Row],[data]]&lt;&gt;A87),1,0)</f>
        <v>0</v>
      </c>
      <c r="H88">
        <f>IF(statek4[[#This Row],[czy_zmiana_zaladunku_na_wyladunek]]=1,statek4[[#This Row],[data]]-A87-1,0)</f>
        <v>0</v>
      </c>
    </row>
    <row r="89" spans="1:8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  <c r="G89">
        <f>IF(AND(B88&lt;&gt;statek4[[#This Row],[port]],statek4[[#This Row],[data]]&lt;&gt;A88),1,0)</f>
        <v>0</v>
      </c>
      <c r="H89">
        <f>IF(statek4[[#This Row],[czy_zmiana_zaladunku_na_wyladunek]]=1,statek4[[#This Row],[data]]-A88-1,0)</f>
        <v>0</v>
      </c>
    </row>
    <row r="90" spans="1:8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  <c r="G90">
        <f>IF(AND(B89&lt;&gt;statek4[[#This Row],[port]],statek4[[#This Row],[data]]&lt;&gt;A89),1,0)</f>
        <v>0</v>
      </c>
      <c r="H90">
        <f>IF(statek4[[#This Row],[czy_zmiana_zaladunku_na_wyladunek]]=1,statek4[[#This Row],[data]]-A89-1,0)</f>
        <v>0</v>
      </c>
    </row>
    <row r="91" spans="1:8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  <c r="G91">
        <f>IF(AND(B90&lt;&gt;statek4[[#This Row],[port]],statek4[[#This Row],[data]]&lt;&gt;A90),1,0)</f>
        <v>1</v>
      </c>
      <c r="H91">
        <f>IF(statek4[[#This Row],[czy_zmiana_zaladunku_na_wyladunek]]=1,statek4[[#This Row],[data]]-A90-1,0)</f>
        <v>23</v>
      </c>
    </row>
    <row r="92" spans="1:8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  <c r="G92">
        <f>IF(AND(B91&lt;&gt;statek4[[#This Row],[port]],statek4[[#This Row],[data]]&lt;&gt;A91),1,0)</f>
        <v>0</v>
      </c>
      <c r="H92">
        <f>IF(statek4[[#This Row],[czy_zmiana_zaladunku_na_wyladunek]]=1,statek4[[#This Row],[data]]-A91-1,0)</f>
        <v>0</v>
      </c>
    </row>
    <row r="93" spans="1:8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  <c r="G93">
        <f>IF(AND(B92&lt;&gt;statek4[[#This Row],[port]],statek4[[#This Row],[data]]&lt;&gt;A92),1,0)</f>
        <v>0</v>
      </c>
      <c r="H93">
        <f>IF(statek4[[#This Row],[czy_zmiana_zaladunku_na_wyladunek]]=1,statek4[[#This Row],[data]]-A92-1,0)</f>
        <v>0</v>
      </c>
    </row>
    <row r="94" spans="1:8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  <c r="G94">
        <f>IF(AND(B93&lt;&gt;statek4[[#This Row],[port]],statek4[[#This Row],[data]]&lt;&gt;A93),1,0)</f>
        <v>0</v>
      </c>
      <c r="H94">
        <f>IF(statek4[[#This Row],[czy_zmiana_zaladunku_na_wyladunek]]=1,statek4[[#This Row],[data]]-A93-1,0)</f>
        <v>0</v>
      </c>
    </row>
    <row r="95" spans="1:8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  <c r="G95">
        <f>IF(AND(B94&lt;&gt;statek4[[#This Row],[port]],statek4[[#This Row],[data]]&lt;&gt;A94),1,0)</f>
        <v>0</v>
      </c>
      <c r="H95">
        <f>IF(statek4[[#This Row],[czy_zmiana_zaladunku_na_wyladunek]]=1,statek4[[#This Row],[data]]-A94-1,0)</f>
        <v>0</v>
      </c>
    </row>
    <row r="96" spans="1:8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  <c r="G96">
        <f>IF(AND(B95&lt;&gt;statek4[[#This Row],[port]],statek4[[#This Row],[data]]&lt;&gt;A95),1,0)</f>
        <v>1</v>
      </c>
      <c r="H96">
        <f>IF(statek4[[#This Row],[czy_zmiana_zaladunku_na_wyladunek]]=1,statek4[[#This Row],[data]]-A95-1,0)</f>
        <v>17</v>
      </c>
    </row>
    <row r="97" spans="1:8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  <c r="G97">
        <f>IF(AND(B96&lt;&gt;statek4[[#This Row],[port]],statek4[[#This Row],[data]]&lt;&gt;A96),1,0)</f>
        <v>0</v>
      </c>
      <c r="H97">
        <f>IF(statek4[[#This Row],[czy_zmiana_zaladunku_na_wyladunek]]=1,statek4[[#This Row],[data]]-A96-1,0)</f>
        <v>0</v>
      </c>
    </row>
    <row r="98" spans="1:8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  <c r="G98">
        <f>IF(AND(B97&lt;&gt;statek4[[#This Row],[port]],statek4[[#This Row],[data]]&lt;&gt;A97),1,0)</f>
        <v>0</v>
      </c>
      <c r="H98">
        <f>IF(statek4[[#This Row],[czy_zmiana_zaladunku_na_wyladunek]]=1,statek4[[#This Row],[data]]-A97-1,0)</f>
        <v>0</v>
      </c>
    </row>
    <row r="99" spans="1:8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  <c r="G99">
        <f>IF(AND(B98&lt;&gt;statek4[[#This Row],[port]],statek4[[#This Row],[data]]&lt;&gt;A98),1,0)</f>
        <v>0</v>
      </c>
      <c r="H99">
        <f>IF(statek4[[#This Row],[czy_zmiana_zaladunku_na_wyladunek]]=1,statek4[[#This Row],[data]]-A98-1,0)</f>
        <v>0</v>
      </c>
    </row>
    <row r="100" spans="1:8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  <c r="G100">
        <f>IF(AND(B99&lt;&gt;statek4[[#This Row],[port]],statek4[[#This Row],[data]]&lt;&gt;A99),1,0)</f>
        <v>0</v>
      </c>
      <c r="H100">
        <f>IF(statek4[[#This Row],[czy_zmiana_zaladunku_na_wyladunek]]=1,statek4[[#This Row],[data]]-A99-1,0)</f>
        <v>0</v>
      </c>
    </row>
    <row r="101" spans="1:8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  <c r="G101">
        <f>IF(AND(B100&lt;&gt;statek4[[#This Row],[port]],statek4[[#This Row],[data]]&lt;&gt;A100),1,0)</f>
        <v>1</v>
      </c>
      <c r="H101">
        <f>IF(statek4[[#This Row],[czy_zmiana_zaladunku_na_wyladunek]]=1,statek4[[#This Row],[data]]-A100-1,0)</f>
        <v>21</v>
      </c>
    </row>
    <row r="102" spans="1:8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  <c r="G102">
        <f>IF(AND(B101&lt;&gt;statek4[[#This Row],[port]],statek4[[#This Row],[data]]&lt;&gt;A101),1,0)</f>
        <v>0</v>
      </c>
      <c r="H102">
        <f>IF(statek4[[#This Row],[czy_zmiana_zaladunku_na_wyladunek]]=1,statek4[[#This Row],[data]]-A101-1,0)</f>
        <v>0</v>
      </c>
    </row>
    <row r="103" spans="1:8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  <c r="G103">
        <f>IF(AND(B102&lt;&gt;statek4[[#This Row],[port]],statek4[[#This Row],[data]]&lt;&gt;A102),1,0)</f>
        <v>0</v>
      </c>
      <c r="H103">
        <f>IF(statek4[[#This Row],[czy_zmiana_zaladunku_na_wyladunek]]=1,statek4[[#This Row],[data]]-A102-1,0)</f>
        <v>0</v>
      </c>
    </row>
    <row r="104" spans="1:8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  <c r="G104">
        <f>IF(AND(B103&lt;&gt;statek4[[#This Row],[port]],statek4[[#This Row],[data]]&lt;&gt;A103),1,0)</f>
        <v>0</v>
      </c>
      <c r="H104">
        <f>IF(statek4[[#This Row],[czy_zmiana_zaladunku_na_wyladunek]]=1,statek4[[#This Row],[data]]-A103-1,0)</f>
        <v>0</v>
      </c>
    </row>
    <row r="105" spans="1:8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  <c r="G105">
        <f>IF(AND(B104&lt;&gt;statek4[[#This Row],[port]],statek4[[#This Row],[data]]&lt;&gt;A104),1,0)</f>
        <v>0</v>
      </c>
      <c r="H105">
        <f>IF(statek4[[#This Row],[czy_zmiana_zaladunku_na_wyladunek]]=1,statek4[[#This Row],[data]]-A104-1,0)</f>
        <v>0</v>
      </c>
    </row>
    <row r="106" spans="1:8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  <c r="G106">
        <f>IF(AND(B105&lt;&gt;statek4[[#This Row],[port]],statek4[[#This Row],[data]]&lt;&gt;A105),1,0)</f>
        <v>1</v>
      </c>
      <c r="H106">
        <f>IF(statek4[[#This Row],[czy_zmiana_zaladunku_na_wyladunek]]=1,statek4[[#This Row],[data]]-A105-1,0)</f>
        <v>24</v>
      </c>
    </row>
    <row r="107" spans="1:8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  <c r="G107">
        <f>IF(AND(B106&lt;&gt;statek4[[#This Row],[port]],statek4[[#This Row],[data]]&lt;&gt;A106),1,0)</f>
        <v>0</v>
      </c>
      <c r="H107">
        <f>IF(statek4[[#This Row],[czy_zmiana_zaladunku_na_wyladunek]]=1,statek4[[#This Row],[data]]-A106-1,0)</f>
        <v>0</v>
      </c>
    </row>
    <row r="108" spans="1:8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  <c r="G108">
        <f>IF(AND(B107&lt;&gt;statek4[[#This Row],[port]],statek4[[#This Row],[data]]&lt;&gt;A107),1,0)</f>
        <v>1</v>
      </c>
      <c r="H108">
        <f>IF(statek4[[#This Row],[czy_zmiana_zaladunku_na_wyladunek]]=1,statek4[[#This Row],[data]]-A107-1,0)</f>
        <v>12</v>
      </c>
    </row>
    <row r="109" spans="1:8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  <c r="G109">
        <f>IF(AND(B108&lt;&gt;statek4[[#This Row],[port]],statek4[[#This Row],[data]]&lt;&gt;A108),1,0)</f>
        <v>0</v>
      </c>
      <c r="H109">
        <f>IF(statek4[[#This Row],[czy_zmiana_zaladunku_na_wyladunek]]=1,statek4[[#This Row],[data]]-A108-1,0)</f>
        <v>0</v>
      </c>
    </row>
    <row r="110" spans="1:8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  <c r="G110">
        <f>IF(AND(B109&lt;&gt;statek4[[#This Row],[port]],statek4[[#This Row],[data]]&lt;&gt;A109),1,0)</f>
        <v>0</v>
      </c>
      <c r="H110">
        <f>IF(statek4[[#This Row],[czy_zmiana_zaladunku_na_wyladunek]]=1,statek4[[#This Row],[data]]-A109-1,0)</f>
        <v>0</v>
      </c>
    </row>
    <row r="111" spans="1:8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  <c r="G111">
        <f>IF(AND(B110&lt;&gt;statek4[[#This Row],[port]],statek4[[#This Row],[data]]&lt;&gt;A110),1,0)</f>
        <v>0</v>
      </c>
      <c r="H111">
        <f>IF(statek4[[#This Row],[czy_zmiana_zaladunku_na_wyladunek]]=1,statek4[[#This Row],[data]]-A110-1,0)</f>
        <v>0</v>
      </c>
    </row>
    <row r="112" spans="1:8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  <c r="G112">
        <f>IF(AND(B111&lt;&gt;statek4[[#This Row],[port]],statek4[[#This Row],[data]]&lt;&gt;A111),1,0)</f>
        <v>0</v>
      </c>
      <c r="H112">
        <f>IF(statek4[[#This Row],[czy_zmiana_zaladunku_na_wyladunek]]=1,statek4[[#This Row],[data]]-A111-1,0)</f>
        <v>0</v>
      </c>
    </row>
    <row r="113" spans="1:8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  <c r="G113">
        <f>IF(AND(B112&lt;&gt;statek4[[#This Row],[port]],statek4[[#This Row],[data]]&lt;&gt;A112),1,0)</f>
        <v>1</v>
      </c>
      <c r="H113">
        <f>IF(statek4[[#This Row],[czy_zmiana_zaladunku_na_wyladunek]]=1,statek4[[#This Row],[data]]-A112-1,0)</f>
        <v>16</v>
      </c>
    </row>
    <row r="114" spans="1:8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  <c r="G114">
        <f>IF(AND(B113&lt;&gt;statek4[[#This Row],[port]],statek4[[#This Row],[data]]&lt;&gt;A113),1,0)</f>
        <v>0</v>
      </c>
      <c r="H114">
        <f>IF(statek4[[#This Row],[czy_zmiana_zaladunku_na_wyladunek]]=1,statek4[[#This Row],[data]]-A113-1,0)</f>
        <v>0</v>
      </c>
    </row>
    <row r="115" spans="1:8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  <c r="G115">
        <f>IF(AND(B114&lt;&gt;statek4[[#This Row],[port]],statek4[[#This Row],[data]]&lt;&gt;A114),1,0)</f>
        <v>0</v>
      </c>
      <c r="H115">
        <f>IF(statek4[[#This Row],[czy_zmiana_zaladunku_na_wyladunek]]=1,statek4[[#This Row],[data]]-A114-1,0)</f>
        <v>0</v>
      </c>
    </row>
    <row r="116" spans="1:8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  <c r="G116">
        <f>IF(AND(B115&lt;&gt;statek4[[#This Row],[port]],statek4[[#This Row],[data]]&lt;&gt;A115),1,0)</f>
        <v>0</v>
      </c>
      <c r="H116">
        <f>IF(statek4[[#This Row],[czy_zmiana_zaladunku_na_wyladunek]]=1,statek4[[#This Row],[data]]-A115-1,0)</f>
        <v>0</v>
      </c>
    </row>
    <row r="117" spans="1:8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  <c r="G117">
        <f>IF(AND(B116&lt;&gt;statek4[[#This Row],[port]],statek4[[#This Row],[data]]&lt;&gt;A116),1,0)</f>
        <v>1</v>
      </c>
      <c r="H117">
        <f>IF(statek4[[#This Row],[czy_zmiana_zaladunku_na_wyladunek]]=1,statek4[[#This Row],[data]]-A116-1,0)</f>
        <v>14</v>
      </c>
    </row>
    <row r="118" spans="1:8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  <c r="G118">
        <f>IF(AND(B117&lt;&gt;statek4[[#This Row],[port]],statek4[[#This Row],[data]]&lt;&gt;A117),1,0)</f>
        <v>0</v>
      </c>
      <c r="H118">
        <f>IF(statek4[[#This Row],[czy_zmiana_zaladunku_na_wyladunek]]=1,statek4[[#This Row],[data]]-A117-1,0)</f>
        <v>0</v>
      </c>
    </row>
    <row r="119" spans="1:8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  <c r="G119">
        <f>IF(AND(B118&lt;&gt;statek4[[#This Row],[port]],statek4[[#This Row],[data]]&lt;&gt;A118),1,0)</f>
        <v>0</v>
      </c>
      <c r="H119">
        <f>IF(statek4[[#This Row],[czy_zmiana_zaladunku_na_wyladunek]]=1,statek4[[#This Row],[data]]-A118-1,0)</f>
        <v>0</v>
      </c>
    </row>
    <row r="120" spans="1:8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  <c r="G120">
        <f>IF(AND(B119&lt;&gt;statek4[[#This Row],[port]],statek4[[#This Row],[data]]&lt;&gt;A119),1,0)</f>
        <v>0</v>
      </c>
      <c r="H120">
        <f>IF(statek4[[#This Row],[czy_zmiana_zaladunku_na_wyladunek]]=1,statek4[[#This Row],[data]]-A119-1,0)</f>
        <v>0</v>
      </c>
    </row>
    <row r="121" spans="1:8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  <c r="G121">
        <f>IF(AND(B120&lt;&gt;statek4[[#This Row],[port]],statek4[[#This Row],[data]]&lt;&gt;A120),1,0)</f>
        <v>1</v>
      </c>
      <c r="H121">
        <f>IF(statek4[[#This Row],[czy_zmiana_zaladunku_na_wyladunek]]=1,statek4[[#This Row],[data]]-A120-1,0)</f>
        <v>18</v>
      </c>
    </row>
    <row r="122" spans="1:8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  <c r="G122">
        <f>IF(AND(B121&lt;&gt;statek4[[#This Row],[port]],statek4[[#This Row],[data]]&lt;&gt;A121),1,0)</f>
        <v>0</v>
      </c>
      <c r="H122">
        <f>IF(statek4[[#This Row],[czy_zmiana_zaladunku_na_wyladunek]]=1,statek4[[#This Row],[data]]-A121-1,0)</f>
        <v>0</v>
      </c>
    </row>
    <row r="123" spans="1:8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  <c r="G123">
        <f>IF(AND(B122&lt;&gt;statek4[[#This Row],[port]],statek4[[#This Row],[data]]&lt;&gt;A122),1,0)</f>
        <v>1</v>
      </c>
      <c r="H123">
        <f>IF(statek4[[#This Row],[czy_zmiana_zaladunku_na_wyladunek]]=1,statek4[[#This Row],[data]]-A122-1,0)</f>
        <v>25</v>
      </c>
    </row>
    <row r="124" spans="1:8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  <c r="G124">
        <f>IF(AND(B123&lt;&gt;statek4[[#This Row],[port]],statek4[[#This Row],[data]]&lt;&gt;A123),1,0)</f>
        <v>0</v>
      </c>
      <c r="H124">
        <f>IF(statek4[[#This Row],[czy_zmiana_zaladunku_na_wyladunek]]=1,statek4[[#This Row],[data]]-A123-1,0)</f>
        <v>0</v>
      </c>
    </row>
    <row r="125" spans="1:8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  <c r="G125">
        <f>IF(AND(B124&lt;&gt;statek4[[#This Row],[port]],statek4[[#This Row],[data]]&lt;&gt;A124),1,0)</f>
        <v>1</v>
      </c>
      <c r="H125">
        <f>IF(statek4[[#This Row],[czy_zmiana_zaladunku_na_wyladunek]]=1,statek4[[#This Row],[data]]-A124-1,0)</f>
        <v>20</v>
      </c>
    </row>
    <row r="126" spans="1:8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  <c r="G126">
        <f>IF(AND(B125&lt;&gt;statek4[[#This Row],[port]],statek4[[#This Row],[data]]&lt;&gt;A125),1,0)</f>
        <v>0</v>
      </c>
      <c r="H126">
        <f>IF(statek4[[#This Row],[czy_zmiana_zaladunku_na_wyladunek]]=1,statek4[[#This Row],[data]]-A125-1,0)</f>
        <v>0</v>
      </c>
    </row>
    <row r="127" spans="1:8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  <c r="G127">
        <f>IF(AND(B126&lt;&gt;statek4[[#This Row],[port]],statek4[[#This Row],[data]]&lt;&gt;A126),1,0)</f>
        <v>0</v>
      </c>
      <c r="H127">
        <f>IF(statek4[[#This Row],[czy_zmiana_zaladunku_na_wyladunek]]=1,statek4[[#This Row],[data]]-A126-1,0)</f>
        <v>0</v>
      </c>
    </row>
    <row r="128" spans="1:8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  <c r="G128">
        <f>IF(AND(B127&lt;&gt;statek4[[#This Row],[port]],statek4[[#This Row],[data]]&lt;&gt;A127),1,0)</f>
        <v>0</v>
      </c>
      <c r="H128">
        <f>IF(statek4[[#This Row],[czy_zmiana_zaladunku_na_wyladunek]]=1,statek4[[#This Row],[data]]-A127-1,0)</f>
        <v>0</v>
      </c>
    </row>
    <row r="129" spans="1:8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  <c r="G129">
        <f>IF(AND(B128&lt;&gt;statek4[[#This Row],[port]],statek4[[#This Row],[data]]&lt;&gt;A128),1,0)</f>
        <v>0</v>
      </c>
      <c r="H129">
        <f>IF(statek4[[#This Row],[czy_zmiana_zaladunku_na_wyladunek]]=1,statek4[[#This Row],[data]]-A128-1,0)</f>
        <v>0</v>
      </c>
    </row>
    <row r="130" spans="1:8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  <c r="G130">
        <f>IF(AND(B129&lt;&gt;statek4[[#This Row],[port]],statek4[[#This Row],[data]]&lt;&gt;A129),1,0)</f>
        <v>1</v>
      </c>
      <c r="H130">
        <f>IF(statek4[[#This Row],[czy_zmiana_zaladunku_na_wyladunek]]=1,statek4[[#This Row],[data]]-A129-1,0)</f>
        <v>23</v>
      </c>
    </row>
    <row r="131" spans="1:8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  <c r="G131">
        <f>IF(AND(B130&lt;&gt;statek4[[#This Row],[port]],statek4[[#This Row],[data]]&lt;&gt;A130),1,0)</f>
        <v>0</v>
      </c>
      <c r="H131">
        <f>IF(statek4[[#This Row],[czy_zmiana_zaladunku_na_wyladunek]]=1,statek4[[#This Row],[data]]-A130-1,0)</f>
        <v>0</v>
      </c>
    </row>
    <row r="132" spans="1:8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  <c r="G132">
        <f>IF(AND(B131&lt;&gt;statek4[[#This Row],[port]],statek4[[#This Row],[data]]&lt;&gt;A131),1,0)</f>
        <v>1</v>
      </c>
      <c r="H132">
        <f>IF(statek4[[#This Row],[czy_zmiana_zaladunku_na_wyladunek]]=1,statek4[[#This Row],[data]]-A131-1,0)</f>
        <v>17</v>
      </c>
    </row>
    <row r="133" spans="1:8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  <c r="G133">
        <f>IF(AND(B132&lt;&gt;statek4[[#This Row],[port]],statek4[[#This Row],[data]]&lt;&gt;A132),1,0)</f>
        <v>0</v>
      </c>
      <c r="H133">
        <f>IF(statek4[[#This Row],[czy_zmiana_zaladunku_na_wyladunek]]=1,statek4[[#This Row],[data]]-A132-1,0)</f>
        <v>0</v>
      </c>
    </row>
    <row r="134" spans="1:8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  <c r="G134">
        <f>IF(AND(B133&lt;&gt;statek4[[#This Row],[port]],statek4[[#This Row],[data]]&lt;&gt;A133),1,0)</f>
        <v>0</v>
      </c>
      <c r="H134">
        <f>IF(statek4[[#This Row],[czy_zmiana_zaladunku_na_wyladunek]]=1,statek4[[#This Row],[data]]-A133-1,0)</f>
        <v>0</v>
      </c>
    </row>
    <row r="135" spans="1:8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  <c r="G135">
        <f>IF(AND(B134&lt;&gt;statek4[[#This Row],[port]],statek4[[#This Row],[data]]&lt;&gt;A134),1,0)</f>
        <v>1</v>
      </c>
      <c r="H135">
        <f>IF(statek4[[#This Row],[czy_zmiana_zaladunku_na_wyladunek]]=1,statek4[[#This Row],[data]]-A134-1,0)</f>
        <v>21</v>
      </c>
    </row>
    <row r="136" spans="1:8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  <c r="G136">
        <f>IF(AND(B135&lt;&gt;statek4[[#This Row],[port]],statek4[[#This Row],[data]]&lt;&gt;A135),1,0)</f>
        <v>0</v>
      </c>
      <c r="H136">
        <f>IF(statek4[[#This Row],[czy_zmiana_zaladunku_na_wyladunek]]=1,statek4[[#This Row],[data]]-A135-1,0)</f>
        <v>0</v>
      </c>
    </row>
    <row r="137" spans="1:8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  <c r="G137">
        <f>IF(AND(B136&lt;&gt;statek4[[#This Row],[port]],statek4[[#This Row],[data]]&lt;&gt;A136),1,0)</f>
        <v>0</v>
      </c>
      <c r="H137">
        <f>IF(statek4[[#This Row],[czy_zmiana_zaladunku_na_wyladunek]]=1,statek4[[#This Row],[data]]-A136-1,0)</f>
        <v>0</v>
      </c>
    </row>
    <row r="138" spans="1:8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  <c r="G138">
        <f>IF(AND(B137&lt;&gt;statek4[[#This Row],[port]],statek4[[#This Row],[data]]&lt;&gt;A137),1,0)</f>
        <v>0</v>
      </c>
      <c r="H138">
        <f>IF(statek4[[#This Row],[czy_zmiana_zaladunku_na_wyladunek]]=1,statek4[[#This Row],[data]]-A137-1,0)</f>
        <v>0</v>
      </c>
    </row>
    <row r="139" spans="1:8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  <c r="G139">
        <f>IF(AND(B138&lt;&gt;statek4[[#This Row],[port]],statek4[[#This Row],[data]]&lt;&gt;A138),1,0)</f>
        <v>1</v>
      </c>
      <c r="H139">
        <f>IF(statek4[[#This Row],[czy_zmiana_zaladunku_na_wyladunek]]=1,statek4[[#This Row],[data]]-A138-1,0)</f>
        <v>24</v>
      </c>
    </row>
    <row r="140" spans="1:8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  <c r="G140">
        <f>IF(AND(B139&lt;&gt;statek4[[#This Row],[port]],statek4[[#This Row],[data]]&lt;&gt;A139),1,0)</f>
        <v>0</v>
      </c>
      <c r="H140">
        <f>IF(statek4[[#This Row],[czy_zmiana_zaladunku_na_wyladunek]]=1,statek4[[#This Row],[data]]-A139-1,0)</f>
        <v>0</v>
      </c>
    </row>
    <row r="141" spans="1:8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  <c r="G141">
        <f>IF(AND(B140&lt;&gt;statek4[[#This Row],[port]],statek4[[#This Row],[data]]&lt;&gt;A140),1,0)</f>
        <v>0</v>
      </c>
      <c r="H141">
        <f>IF(statek4[[#This Row],[czy_zmiana_zaladunku_na_wyladunek]]=1,statek4[[#This Row],[data]]-A140-1,0)</f>
        <v>0</v>
      </c>
    </row>
    <row r="142" spans="1:8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  <c r="G142">
        <f>IF(AND(B141&lt;&gt;statek4[[#This Row],[port]],statek4[[#This Row],[data]]&lt;&gt;A141),1,0)</f>
        <v>0</v>
      </c>
      <c r="H142">
        <f>IF(statek4[[#This Row],[czy_zmiana_zaladunku_na_wyladunek]]=1,statek4[[#This Row],[data]]-A141-1,0)</f>
        <v>0</v>
      </c>
    </row>
    <row r="143" spans="1:8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  <c r="G143">
        <f>IF(AND(B142&lt;&gt;statek4[[#This Row],[port]],statek4[[#This Row],[data]]&lt;&gt;A142),1,0)</f>
        <v>0</v>
      </c>
      <c r="H143">
        <f>IF(statek4[[#This Row],[czy_zmiana_zaladunku_na_wyladunek]]=1,statek4[[#This Row],[data]]-A142-1,0)</f>
        <v>0</v>
      </c>
    </row>
    <row r="144" spans="1:8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  <c r="G144">
        <f>IF(AND(B143&lt;&gt;statek4[[#This Row],[port]],statek4[[#This Row],[data]]&lt;&gt;A143),1,0)</f>
        <v>1</v>
      </c>
      <c r="H144">
        <f>IF(statek4[[#This Row],[czy_zmiana_zaladunku_na_wyladunek]]=1,statek4[[#This Row],[data]]-A143-1,0)</f>
        <v>0</v>
      </c>
    </row>
    <row r="145" spans="1:8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  <c r="G145">
        <f>IF(AND(B144&lt;&gt;statek4[[#This Row],[port]],statek4[[#This Row],[data]]&lt;&gt;A144),1,0)</f>
        <v>0</v>
      </c>
      <c r="H145">
        <f>IF(statek4[[#This Row],[czy_zmiana_zaladunku_na_wyladunek]]=1,statek4[[#This Row],[data]]-A144-1,0)</f>
        <v>0</v>
      </c>
    </row>
    <row r="146" spans="1:8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  <c r="G146">
        <f>IF(AND(B145&lt;&gt;statek4[[#This Row],[port]],statek4[[#This Row],[data]]&lt;&gt;A145),1,0)</f>
        <v>1</v>
      </c>
      <c r="H146">
        <f>IF(statek4[[#This Row],[czy_zmiana_zaladunku_na_wyladunek]]=1,statek4[[#This Row],[data]]-A145-1,0)</f>
        <v>16</v>
      </c>
    </row>
    <row r="147" spans="1:8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  <c r="G147">
        <f>IF(AND(B146&lt;&gt;statek4[[#This Row],[port]],statek4[[#This Row],[data]]&lt;&gt;A146),1,0)</f>
        <v>0</v>
      </c>
      <c r="H147">
        <f>IF(statek4[[#This Row],[czy_zmiana_zaladunku_na_wyladunek]]=1,statek4[[#This Row],[data]]-A146-1,0)</f>
        <v>0</v>
      </c>
    </row>
    <row r="148" spans="1:8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  <c r="G148">
        <f>IF(AND(B147&lt;&gt;statek4[[#This Row],[port]],statek4[[#This Row],[data]]&lt;&gt;A147),1,0)</f>
        <v>0</v>
      </c>
      <c r="H148">
        <f>IF(statek4[[#This Row],[czy_zmiana_zaladunku_na_wyladunek]]=1,statek4[[#This Row],[data]]-A147-1,0)</f>
        <v>0</v>
      </c>
    </row>
    <row r="149" spans="1:8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  <c r="G149">
        <f>IF(AND(B148&lt;&gt;statek4[[#This Row],[port]],statek4[[#This Row],[data]]&lt;&gt;A148),1,0)</f>
        <v>0</v>
      </c>
      <c r="H149">
        <f>IF(statek4[[#This Row],[czy_zmiana_zaladunku_na_wyladunek]]=1,statek4[[#This Row],[data]]-A148-1,0)</f>
        <v>0</v>
      </c>
    </row>
    <row r="150" spans="1:8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  <c r="G150">
        <f>IF(AND(B149&lt;&gt;statek4[[#This Row],[port]],statek4[[#This Row],[data]]&lt;&gt;A149),1,0)</f>
        <v>0</v>
      </c>
      <c r="H150">
        <f>IF(statek4[[#This Row],[czy_zmiana_zaladunku_na_wyladunek]]=1,statek4[[#This Row],[data]]-A149-1,0)</f>
        <v>0</v>
      </c>
    </row>
    <row r="151" spans="1:8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  <c r="G151">
        <f>IF(AND(B150&lt;&gt;statek4[[#This Row],[port]],statek4[[#This Row],[data]]&lt;&gt;A150),1,0)</f>
        <v>1</v>
      </c>
      <c r="H151">
        <f>IF(statek4[[#This Row],[czy_zmiana_zaladunku_na_wyladunek]]=1,statek4[[#This Row],[data]]-A150-1,0)</f>
        <v>14</v>
      </c>
    </row>
    <row r="152" spans="1:8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  <c r="G152">
        <f>IF(AND(B151&lt;&gt;statek4[[#This Row],[port]],statek4[[#This Row],[data]]&lt;&gt;A151),1,0)</f>
        <v>0</v>
      </c>
      <c r="H152">
        <f>IF(statek4[[#This Row],[czy_zmiana_zaladunku_na_wyladunek]]=1,statek4[[#This Row],[data]]-A151-1,0)</f>
        <v>0</v>
      </c>
    </row>
    <row r="153" spans="1:8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  <c r="G153">
        <f>IF(AND(B152&lt;&gt;statek4[[#This Row],[port]],statek4[[#This Row],[data]]&lt;&gt;A152),1,0)</f>
        <v>1</v>
      </c>
      <c r="H153">
        <f>IF(statek4[[#This Row],[czy_zmiana_zaladunku_na_wyladunek]]=1,statek4[[#This Row],[data]]-A152-1,0)</f>
        <v>18</v>
      </c>
    </row>
    <row r="154" spans="1:8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  <c r="G154">
        <f>IF(AND(B153&lt;&gt;statek4[[#This Row],[port]],statek4[[#This Row],[data]]&lt;&gt;A153),1,0)</f>
        <v>0</v>
      </c>
      <c r="H154">
        <f>IF(statek4[[#This Row],[czy_zmiana_zaladunku_na_wyladunek]]=1,statek4[[#This Row],[data]]-A153-1,0)</f>
        <v>0</v>
      </c>
    </row>
    <row r="155" spans="1:8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  <c r="G155">
        <f>IF(AND(B154&lt;&gt;statek4[[#This Row],[port]],statek4[[#This Row],[data]]&lt;&gt;A154),1,0)</f>
        <v>0</v>
      </c>
      <c r="H155">
        <f>IF(statek4[[#This Row],[czy_zmiana_zaladunku_na_wyladunek]]=1,statek4[[#This Row],[data]]-A154-1,0)</f>
        <v>0</v>
      </c>
    </row>
    <row r="156" spans="1:8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  <c r="G156">
        <f>IF(AND(B155&lt;&gt;statek4[[#This Row],[port]],statek4[[#This Row],[data]]&lt;&gt;A155),1,0)</f>
        <v>1</v>
      </c>
      <c r="H156">
        <f>IF(statek4[[#This Row],[czy_zmiana_zaladunku_na_wyladunek]]=1,statek4[[#This Row],[data]]-A155-1,0)</f>
        <v>25</v>
      </c>
    </row>
    <row r="157" spans="1:8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  <c r="G157">
        <f>IF(AND(B156&lt;&gt;statek4[[#This Row],[port]],statek4[[#This Row],[data]]&lt;&gt;A156),1,0)</f>
        <v>0</v>
      </c>
      <c r="H157">
        <f>IF(statek4[[#This Row],[czy_zmiana_zaladunku_na_wyladunek]]=1,statek4[[#This Row],[data]]-A156-1,0)</f>
        <v>0</v>
      </c>
    </row>
    <row r="158" spans="1:8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  <c r="G158">
        <f>IF(AND(B157&lt;&gt;statek4[[#This Row],[port]],statek4[[#This Row],[data]]&lt;&gt;A157),1,0)</f>
        <v>0</v>
      </c>
      <c r="H158">
        <f>IF(statek4[[#This Row],[czy_zmiana_zaladunku_na_wyladunek]]=1,statek4[[#This Row],[data]]-A157-1,0)</f>
        <v>0</v>
      </c>
    </row>
    <row r="159" spans="1:8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  <c r="G159">
        <f>IF(AND(B158&lt;&gt;statek4[[#This Row],[port]],statek4[[#This Row],[data]]&lt;&gt;A158),1,0)</f>
        <v>0</v>
      </c>
      <c r="H159">
        <f>IF(statek4[[#This Row],[czy_zmiana_zaladunku_na_wyladunek]]=1,statek4[[#This Row],[data]]-A158-1,0)</f>
        <v>0</v>
      </c>
    </row>
    <row r="160" spans="1:8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  <c r="G160">
        <f>IF(AND(B159&lt;&gt;statek4[[#This Row],[port]],statek4[[#This Row],[data]]&lt;&gt;A159),1,0)</f>
        <v>1</v>
      </c>
      <c r="H160">
        <f>IF(statek4[[#This Row],[czy_zmiana_zaladunku_na_wyladunek]]=1,statek4[[#This Row],[data]]-A159-1,0)</f>
        <v>20</v>
      </c>
    </row>
    <row r="161" spans="1:8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  <c r="G161">
        <f>IF(AND(B160&lt;&gt;statek4[[#This Row],[port]],statek4[[#This Row],[data]]&lt;&gt;A160),1,0)</f>
        <v>0</v>
      </c>
      <c r="H161">
        <f>IF(statek4[[#This Row],[czy_zmiana_zaladunku_na_wyladunek]]=1,statek4[[#This Row],[data]]-A160-1,0)</f>
        <v>0</v>
      </c>
    </row>
    <row r="162" spans="1:8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  <c r="G162">
        <f>IF(AND(B161&lt;&gt;statek4[[#This Row],[port]],statek4[[#This Row],[data]]&lt;&gt;A161),1,0)</f>
        <v>0</v>
      </c>
      <c r="H162">
        <f>IF(statek4[[#This Row],[czy_zmiana_zaladunku_na_wyladunek]]=1,statek4[[#This Row],[data]]-A161-1,0)</f>
        <v>0</v>
      </c>
    </row>
    <row r="163" spans="1:8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  <c r="G163">
        <f>IF(AND(B162&lt;&gt;statek4[[#This Row],[port]],statek4[[#This Row],[data]]&lt;&gt;A162),1,0)</f>
        <v>1</v>
      </c>
      <c r="H163">
        <f>IF(statek4[[#This Row],[czy_zmiana_zaladunku_na_wyladunek]]=1,statek4[[#This Row],[data]]-A162-1,0)</f>
        <v>23</v>
      </c>
    </row>
    <row r="164" spans="1:8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  <c r="G164">
        <f>IF(AND(B163&lt;&gt;statek4[[#This Row],[port]],statek4[[#This Row],[data]]&lt;&gt;A163),1,0)</f>
        <v>0</v>
      </c>
      <c r="H164">
        <f>IF(statek4[[#This Row],[czy_zmiana_zaladunku_na_wyladunek]]=1,statek4[[#This Row],[data]]-A163-1,0)</f>
        <v>0</v>
      </c>
    </row>
    <row r="165" spans="1:8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  <c r="G165">
        <f>IF(AND(B164&lt;&gt;statek4[[#This Row],[port]],statek4[[#This Row],[data]]&lt;&gt;A164),1,0)</f>
        <v>0</v>
      </c>
      <c r="H165">
        <f>IF(statek4[[#This Row],[czy_zmiana_zaladunku_na_wyladunek]]=1,statek4[[#This Row],[data]]-A164-1,0)</f>
        <v>0</v>
      </c>
    </row>
    <row r="166" spans="1:8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  <c r="G166">
        <f>IF(AND(B165&lt;&gt;statek4[[#This Row],[port]],statek4[[#This Row],[data]]&lt;&gt;A165),1,0)</f>
        <v>1</v>
      </c>
      <c r="H166">
        <f>IF(statek4[[#This Row],[czy_zmiana_zaladunku_na_wyladunek]]=1,statek4[[#This Row],[data]]-A165-1,0)</f>
        <v>17</v>
      </c>
    </row>
    <row r="167" spans="1:8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  <c r="G167">
        <f>IF(AND(B166&lt;&gt;statek4[[#This Row],[port]],statek4[[#This Row],[data]]&lt;&gt;A166),1,0)</f>
        <v>0</v>
      </c>
      <c r="H167">
        <f>IF(statek4[[#This Row],[czy_zmiana_zaladunku_na_wyladunek]]=1,statek4[[#This Row],[data]]-A166-1,0)</f>
        <v>0</v>
      </c>
    </row>
    <row r="168" spans="1:8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  <c r="G168">
        <f>IF(AND(B167&lt;&gt;statek4[[#This Row],[port]],statek4[[#This Row],[data]]&lt;&gt;A167),1,0)</f>
        <v>0</v>
      </c>
      <c r="H168">
        <f>IF(statek4[[#This Row],[czy_zmiana_zaladunku_na_wyladunek]]=1,statek4[[#This Row],[data]]-A167-1,0)</f>
        <v>0</v>
      </c>
    </row>
    <row r="169" spans="1:8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  <c r="G169">
        <f>IF(AND(B168&lt;&gt;statek4[[#This Row],[port]],statek4[[#This Row],[data]]&lt;&gt;A168),1,0)</f>
        <v>1</v>
      </c>
      <c r="H169">
        <f>IF(statek4[[#This Row],[czy_zmiana_zaladunku_na_wyladunek]]=1,statek4[[#This Row],[data]]-A168-1,0)</f>
        <v>21</v>
      </c>
    </row>
    <row r="170" spans="1:8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  <c r="G170">
        <f>IF(AND(B169&lt;&gt;statek4[[#This Row],[port]],statek4[[#This Row],[data]]&lt;&gt;A169),1,0)</f>
        <v>0</v>
      </c>
      <c r="H170">
        <f>IF(statek4[[#This Row],[czy_zmiana_zaladunku_na_wyladunek]]=1,statek4[[#This Row],[data]]-A169-1,0)</f>
        <v>0</v>
      </c>
    </row>
    <row r="171" spans="1:8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  <c r="G171">
        <f>IF(AND(B170&lt;&gt;statek4[[#This Row],[port]],statek4[[#This Row],[data]]&lt;&gt;A170),1,0)</f>
        <v>0</v>
      </c>
      <c r="H171">
        <f>IF(statek4[[#This Row],[czy_zmiana_zaladunku_na_wyladunek]]=1,statek4[[#This Row],[data]]-A170-1,0)</f>
        <v>0</v>
      </c>
    </row>
    <row r="172" spans="1:8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  <c r="G172">
        <f>IF(AND(B171&lt;&gt;statek4[[#This Row],[port]],statek4[[#This Row],[data]]&lt;&gt;A171),1,0)</f>
        <v>0</v>
      </c>
      <c r="H172">
        <f>IF(statek4[[#This Row],[czy_zmiana_zaladunku_na_wyladunek]]=1,statek4[[#This Row],[data]]-A171-1,0)</f>
        <v>0</v>
      </c>
    </row>
    <row r="173" spans="1:8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  <c r="G173">
        <f>IF(AND(B172&lt;&gt;statek4[[#This Row],[port]],statek4[[#This Row],[data]]&lt;&gt;A172),1,0)</f>
        <v>0</v>
      </c>
      <c r="H173">
        <f>IF(statek4[[#This Row],[czy_zmiana_zaladunku_na_wyladunek]]=1,statek4[[#This Row],[data]]-A172-1,0)</f>
        <v>0</v>
      </c>
    </row>
    <row r="174" spans="1:8" x14ac:dyDescent="0.2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  <c r="G174">
        <f>IF(AND(B173&lt;&gt;statek4[[#This Row],[port]],statek4[[#This Row],[data]]&lt;&gt;A173),1,0)</f>
        <v>1</v>
      </c>
      <c r="H174">
        <f>IF(statek4[[#This Row],[czy_zmiana_zaladunku_na_wyladunek]]=1,statek4[[#This Row],[data]]-A173-1,0)</f>
        <v>24</v>
      </c>
    </row>
    <row r="175" spans="1:8" x14ac:dyDescent="0.2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  <c r="G175">
        <f>IF(AND(B174&lt;&gt;statek4[[#This Row],[port]],statek4[[#This Row],[data]]&lt;&gt;A174),1,0)</f>
        <v>0</v>
      </c>
      <c r="H175">
        <f>IF(statek4[[#This Row],[czy_zmiana_zaladunku_na_wyladunek]]=1,statek4[[#This Row],[data]]-A174-1,0)</f>
        <v>0</v>
      </c>
    </row>
    <row r="176" spans="1:8" x14ac:dyDescent="0.2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  <c r="G176">
        <f>IF(AND(B175&lt;&gt;statek4[[#This Row],[port]],statek4[[#This Row],[data]]&lt;&gt;A175),1,0)</f>
        <v>0</v>
      </c>
      <c r="H176">
        <f>IF(statek4[[#This Row],[czy_zmiana_zaladunku_na_wyladunek]]=1,statek4[[#This Row],[data]]-A175-1,0)</f>
        <v>0</v>
      </c>
    </row>
    <row r="177" spans="1:8" x14ac:dyDescent="0.2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  <c r="G177">
        <f>IF(AND(B176&lt;&gt;statek4[[#This Row],[port]],statek4[[#This Row],[data]]&lt;&gt;A176),1,0)</f>
        <v>0</v>
      </c>
      <c r="H177">
        <f>IF(statek4[[#This Row],[czy_zmiana_zaladunku_na_wyladunek]]=1,statek4[[#This Row],[data]]-A176-1,0)</f>
        <v>0</v>
      </c>
    </row>
    <row r="178" spans="1:8" x14ac:dyDescent="0.2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  <c r="G178">
        <f>IF(AND(B177&lt;&gt;statek4[[#This Row],[port]],statek4[[#This Row],[data]]&lt;&gt;A177),1,0)</f>
        <v>1</v>
      </c>
      <c r="H178">
        <f>IF(statek4[[#This Row],[czy_zmiana_zaladunku_na_wyladunek]]=1,statek4[[#This Row],[data]]-A177-1,0)</f>
        <v>12</v>
      </c>
    </row>
    <row r="179" spans="1:8" x14ac:dyDescent="0.2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  <c r="G179">
        <f>IF(AND(B178&lt;&gt;statek4[[#This Row],[port]],statek4[[#This Row],[data]]&lt;&gt;A178),1,0)</f>
        <v>0</v>
      </c>
      <c r="H179">
        <f>IF(statek4[[#This Row],[czy_zmiana_zaladunku_na_wyladunek]]=1,statek4[[#This Row],[data]]-A178-1,0)</f>
        <v>0</v>
      </c>
    </row>
    <row r="180" spans="1:8" x14ac:dyDescent="0.2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  <c r="G180">
        <f>IF(AND(B179&lt;&gt;statek4[[#This Row],[port]],statek4[[#This Row],[data]]&lt;&gt;A179),1,0)</f>
        <v>0</v>
      </c>
      <c r="H180">
        <f>IF(statek4[[#This Row],[czy_zmiana_zaladunku_na_wyladunek]]=1,statek4[[#This Row],[data]]-A179-1,0)</f>
        <v>0</v>
      </c>
    </row>
    <row r="181" spans="1:8" x14ac:dyDescent="0.2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  <c r="G181">
        <f>IF(AND(B180&lt;&gt;statek4[[#This Row],[port]],statek4[[#This Row],[data]]&lt;&gt;A180),1,0)</f>
        <v>0</v>
      </c>
      <c r="H181">
        <f>IF(statek4[[#This Row],[czy_zmiana_zaladunku_na_wyladunek]]=1,statek4[[#This Row],[data]]-A180-1,0)</f>
        <v>0</v>
      </c>
    </row>
    <row r="182" spans="1:8" x14ac:dyDescent="0.2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  <c r="G182">
        <f>IF(AND(B181&lt;&gt;statek4[[#This Row],[port]],statek4[[#This Row],[data]]&lt;&gt;A181),1,0)</f>
        <v>1</v>
      </c>
      <c r="H182">
        <f>IF(statek4[[#This Row],[czy_zmiana_zaladunku_na_wyladunek]]=1,statek4[[#This Row],[data]]-A181-1,0)</f>
        <v>16</v>
      </c>
    </row>
    <row r="183" spans="1:8" x14ac:dyDescent="0.2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  <c r="G183">
        <f>IF(AND(B182&lt;&gt;statek4[[#This Row],[port]],statek4[[#This Row],[data]]&lt;&gt;A182),1,0)</f>
        <v>0</v>
      </c>
      <c r="H183">
        <f>IF(statek4[[#This Row],[czy_zmiana_zaladunku_na_wyladunek]]=1,statek4[[#This Row],[data]]-A182-1,0)</f>
        <v>0</v>
      </c>
    </row>
    <row r="184" spans="1:8" x14ac:dyDescent="0.2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  <c r="G184">
        <f>IF(AND(B183&lt;&gt;statek4[[#This Row],[port]],statek4[[#This Row],[data]]&lt;&gt;A183),1,0)</f>
        <v>0</v>
      </c>
      <c r="H184">
        <f>IF(statek4[[#This Row],[czy_zmiana_zaladunku_na_wyladunek]]=1,statek4[[#This Row],[data]]-A183-1,0)</f>
        <v>0</v>
      </c>
    </row>
    <row r="185" spans="1:8" x14ac:dyDescent="0.2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  <c r="G185">
        <f>IF(AND(B184&lt;&gt;statek4[[#This Row],[port]],statek4[[#This Row],[data]]&lt;&gt;A184),1,0)</f>
        <v>0</v>
      </c>
      <c r="H185">
        <f>IF(statek4[[#This Row],[czy_zmiana_zaladunku_na_wyladunek]]=1,statek4[[#This Row],[data]]-A184-1,0)</f>
        <v>0</v>
      </c>
    </row>
    <row r="186" spans="1:8" x14ac:dyDescent="0.2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  <c r="G186">
        <f>IF(AND(B185&lt;&gt;statek4[[#This Row],[port]],statek4[[#This Row],[data]]&lt;&gt;A185),1,0)</f>
        <v>1</v>
      </c>
      <c r="H186">
        <f>IF(statek4[[#This Row],[czy_zmiana_zaladunku_na_wyladunek]]=1,statek4[[#This Row],[data]]-A185-1,0)</f>
        <v>14</v>
      </c>
    </row>
    <row r="187" spans="1:8" x14ac:dyDescent="0.2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  <c r="G187">
        <f>IF(AND(B186&lt;&gt;statek4[[#This Row],[port]],statek4[[#This Row],[data]]&lt;&gt;A186),1,0)</f>
        <v>0</v>
      </c>
      <c r="H187">
        <f>IF(statek4[[#This Row],[czy_zmiana_zaladunku_na_wyladunek]]=1,statek4[[#This Row],[data]]-A186-1,0)</f>
        <v>0</v>
      </c>
    </row>
    <row r="188" spans="1:8" x14ac:dyDescent="0.2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  <c r="G188">
        <f>IF(AND(B187&lt;&gt;statek4[[#This Row],[port]],statek4[[#This Row],[data]]&lt;&gt;A187),1,0)</f>
        <v>0</v>
      </c>
      <c r="H188">
        <f>IF(statek4[[#This Row],[czy_zmiana_zaladunku_na_wyladunek]]=1,statek4[[#This Row],[data]]-A187-1,0)</f>
        <v>0</v>
      </c>
    </row>
    <row r="189" spans="1:8" x14ac:dyDescent="0.2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  <c r="G189">
        <f>IF(AND(B188&lt;&gt;statek4[[#This Row],[port]],statek4[[#This Row],[data]]&lt;&gt;A188),1,0)</f>
        <v>0</v>
      </c>
      <c r="H189">
        <f>IF(statek4[[#This Row],[czy_zmiana_zaladunku_na_wyladunek]]=1,statek4[[#This Row],[data]]-A188-1,0)</f>
        <v>0</v>
      </c>
    </row>
    <row r="190" spans="1:8" x14ac:dyDescent="0.2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  <c r="G190">
        <f>IF(AND(B189&lt;&gt;statek4[[#This Row],[port]],statek4[[#This Row],[data]]&lt;&gt;A189),1,0)</f>
        <v>0</v>
      </c>
      <c r="H190">
        <f>IF(statek4[[#This Row],[czy_zmiana_zaladunku_na_wyladunek]]=1,statek4[[#This Row],[data]]-A189-1,0)</f>
        <v>0</v>
      </c>
    </row>
    <row r="191" spans="1:8" x14ac:dyDescent="0.2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  <c r="G191">
        <f>IF(AND(B190&lt;&gt;statek4[[#This Row],[port]],statek4[[#This Row],[data]]&lt;&gt;A190),1,0)</f>
        <v>1</v>
      </c>
      <c r="H191">
        <f>IF(statek4[[#This Row],[czy_zmiana_zaladunku_na_wyladunek]]=1,statek4[[#This Row],[data]]-A190-1,0)</f>
        <v>18</v>
      </c>
    </row>
    <row r="192" spans="1:8" x14ac:dyDescent="0.2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  <c r="G192">
        <f>IF(AND(B191&lt;&gt;statek4[[#This Row],[port]],statek4[[#This Row],[data]]&lt;&gt;A191),1,0)</f>
        <v>0</v>
      </c>
      <c r="H192">
        <f>IF(statek4[[#This Row],[czy_zmiana_zaladunku_na_wyladunek]]=1,statek4[[#This Row],[data]]-A191-1,0)</f>
        <v>0</v>
      </c>
    </row>
    <row r="193" spans="1:8" x14ac:dyDescent="0.2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  <c r="G193">
        <f>IF(AND(B192&lt;&gt;statek4[[#This Row],[port]],statek4[[#This Row],[data]]&lt;&gt;A192),1,0)</f>
        <v>0</v>
      </c>
      <c r="H193">
        <f>IF(statek4[[#This Row],[czy_zmiana_zaladunku_na_wyladunek]]=1,statek4[[#This Row],[data]]-A192-1,0)</f>
        <v>0</v>
      </c>
    </row>
    <row r="194" spans="1:8" x14ac:dyDescent="0.2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  <c r="G194">
        <f>IF(AND(B193&lt;&gt;statek4[[#This Row],[port]],statek4[[#This Row],[data]]&lt;&gt;A193),1,0)</f>
        <v>1</v>
      </c>
      <c r="H194">
        <f>IF(statek4[[#This Row],[czy_zmiana_zaladunku_na_wyladunek]]=1,statek4[[#This Row],[data]]-A193-1,0)</f>
        <v>25</v>
      </c>
    </row>
    <row r="195" spans="1:8" x14ac:dyDescent="0.2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  <c r="G195">
        <f>IF(AND(B194&lt;&gt;statek4[[#This Row],[port]],statek4[[#This Row],[data]]&lt;&gt;A194),1,0)</f>
        <v>0</v>
      </c>
      <c r="H195">
        <f>IF(statek4[[#This Row],[czy_zmiana_zaladunku_na_wyladunek]]=1,statek4[[#This Row],[data]]-A194-1,0)</f>
        <v>0</v>
      </c>
    </row>
    <row r="196" spans="1:8" x14ac:dyDescent="0.2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  <c r="G196">
        <f>IF(AND(B195&lt;&gt;statek4[[#This Row],[port]],statek4[[#This Row],[data]]&lt;&gt;A195),1,0)</f>
        <v>1</v>
      </c>
      <c r="H196">
        <f>IF(statek4[[#This Row],[czy_zmiana_zaladunku_na_wyladunek]]=1,statek4[[#This Row],[data]]-A195-1,0)</f>
        <v>20</v>
      </c>
    </row>
    <row r="197" spans="1:8" x14ac:dyDescent="0.2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  <c r="G197">
        <f>IF(AND(B196&lt;&gt;statek4[[#This Row],[port]],statek4[[#This Row],[data]]&lt;&gt;A196),1,0)</f>
        <v>0</v>
      </c>
      <c r="H197">
        <f>IF(statek4[[#This Row],[czy_zmiana_zaladunku_na_wyladunek]]=1,statek4[[#This Row],[data]]-A196-1,0)</f>
        <v>0</v>
      </c>
    </row>
    <row r="198" spans="1:8" x14ac:dyDescent="0.2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  <c r="G198">
        <f>IF(AND(B197&lt;&gt;statek4[[#This Row],[port]],statek4[[#This Row],[data]]&lt;&gt;A197),1,0)</f>
        <v>0</v>
      </c>
      <c r="H198">
        <f>IF(statek4[[#This Row],[czy_zmiana_zaladunku_na_wyladunek]]=1,statek4[[#This Row],[data]]-A197-1,0)</f>
        <v>0</v>
      </c>
    </row>
    <row r="199" spans="1:8" x14ac:dyDescent="0.2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  <c r="G199">
        <f>IF(AND(B198&lt;&gt;statek4[[#This Row],[port]],statek4[[#This Row],[data]]&lt;&gt;A198),1,0)</f>
        <v>1</v>
      </c>
      <c r="H199">
        <f>IF(statek4[[#This Row],[czy_zmiana_zaladunku_na_wyladunek]]=1,statek4[[#This Row],[data]]-A198-1,0)</f>
        <v>23</v>
      </c>
    </row>
    <row r="200" spans="1:8" x14ac:dyDescent="0.2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  <c r="G200">
        <f>IF(AND(B199&lt;&gt;statek4[[#This Row],[port]],statek4[[#This Row],[data]]&lt;&gt;A199),1,0)</f>
        <v>0</v>
      </c>
      <c r="H200">
        <f>IF(statek4[[#This Row],[czy_zmiana_zaladunku_na_wyladunek]]=1,statek4[[#This Row],[data]]-A199-1,0)</f>
        <v>0</v>
      </c>
    </row>
    <row r="201" spans="1:8" x14ac:dyDescent="0.2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  <c r="G201">
        <f>IF(AND(B200&lt;&gt;statek4[[#This Row],[port]],statek4[[#This Row],[data]]&lt;&gt;A200),1,0)</f>
        <v>0</v>
      </c>
      <c r="H201">
        <f>IF(statek4[[#This Row],[czy_zmiana_zaladunku_na_wyladunek]]=1,statek4[[#This Row],[data]]-A200-1,0)</f>
        <v>0</v>
      </c>
    </row>
    <row r="202" spans="1:8" x14ac:dyDescent="0.2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  <c r="G202">
        <f>IF(AND(B201&lt;&gt;statek4[[#This Row],[port]],statek4[[#This Row],[data]]&lt;&gt;A201),1,0)</f>
        <v>0</v>
      </c>
      <c r="H202">
        <f>IF(statek4[[#This Row],[czy_zmiana_zaladunku_na_wyladunek]]=1,statek4[[#This Row],[data]]-A201-1,0)</f>
        <v>0</v>
      </c>
    </row>
    <row r="203" spans="1:8" x14ac:dyDescent="0.2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  <c r="G203">
        <f>IF(AND(B202&lt;&gt;statek4[[#This Row],[port]],statek4[[#This Row],[data]]&lt;&gt;A202),1,0)</f>
        <v>0</v>
      </c>
      <c r="H203">
        <f>IF(statek4[[#This Row],[czy_zmiana_zaladunku_na_wyladunek]]=1,statek4[[#This Row],[data]]-A202-1,0)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2A3A-06C5-49D5-B176-C7A1E712934C}">
  <dimension ref="A1:P204"/>
  <sheetViews>
    <sheetView zoomScaleNormal="100" workbookViewId="0">
      <selection activeCell="I9" sqref="I9:M11"/>
    </sheetView>
  </sheetViews>
  <sheetFormatPr defaultColWidth="11.5703125" defaultRowHeight="15" x14ac:dyDescent="0.25"/>
  <cols>
    <col min="1" max="1" width="10.140625" bestFit="1" customWidth="1"/>
    <col min="2" max="2" width="11.42578125" bestFit="1" customWidth="1"/>
    <col min="3" max="3" width="8.42578125" bestFit="1" customWidth="1"/>
    <col min="4" max="4" width="7.140625" bestFit="1" customWidth="1"/>
    <col min="5" max="5" width="9" bestFit="1" customWidth="1"/>
    <col min="6" max="6" width="9" customWidth="1"/>
    <col min="7" max="7" width="24.140625" bestFit="1" customWidth="1"/>
    <col min="9" max="9" width="17.7109375" bestFit="1" customWidth="1"/>
    <col min="10" max="10" width="20.42578125" bestFit="1" customWidth="1"/>
    <col min="12" max="12" width="15" bestFit="1" customWidth="1"/>
    <col min="15" max="15" width="17.7109375" bestFit="1" customWidth="1"/>
    <col min="16" max="16" width="2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5</v>
      </c>
      <c r="I1" s="2" t="s">
        <v>23</v>
      </c>
      <c r="J1" t="s">
        <v>32</v>
      </c>
      <c r="O1" s="2" t="s">
        <v>23</v>
      </c>
      <c r="P1" t="s">
        <v>32</v>
      </c>
    </row>
    <row r="2" spans="1:16" x14ac:dyDescent="0.2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f>IF(statek5[[#This Row],[Z/W]]="W",-statek5[[#This Row],[ile ton]],statek5[[#This Row],[ile ton]])</f>
        <v>3</v>
      </c>
      <c r="G2">
        <v>80</v>
      </c>
      <c r="I2" s="3" t="s">
        <v>10</v>
      </c>
      <c r="J2">
        <v>38</v>
      </c>
      <c r="O2" s="3" t="s">
        <v>10</v>
      </c>
      <c r="P2">
        <v>3</v>
      </c>
    </row>
    <row r="3" spans="1:16" x14ac:dyDescent="0.2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f>IF(statek5[[#This Row],[Z/W]]="W",-statek5[[#This Row],[ile ton]],statek5[[#This Row],[ile ton]])</f>
        <v>32</v>
      </c>
      <c r="G3">
        <v>50</v>
      </c>
      <c r="I3" s="7" t="s">
        <v>11</v>
      </c>
      <c r="J3" s="6">
        <v>48</v>
      </c>
      <c r="O3" s="3" t="s">
        <v>11</v>
      </c>
      <c r="P3">
        <v>13</v>
      </c>
    </row>
    <row r="4" spans="1:16" x14ac:dyDescent="0.2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f>IF(statek5[[#This Row],[Z/W]]="W",-statek5[[#This Row],[ile ton]],statek5[[#This Row],[ile ton]])</f>
        <v>38</v>
      </c>
      <c r="G4">
        <v>10</v>
      </c>
      <c r="I4" s="3" t="s">
        <v>12</v>
      </c>
      <c r="J4">
        <v>43</v>
      </c>
      <c r="O4" s="3" t="s">
        <v>12</v>
      </c>
      <c r="P4">
        <v>29</v>
      </c>
    </row>
    <row r="5" spans="1:16" x14ac:dyDescent="0.2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f>IF(statek5[[#This Row],[Z/W]]="W",-statek5[[#This Row],[ile ton]],statek5[[#This Row],[ile ton]])</f>
        <v>33</v>
      </c>
      <c r="G5">
        <v>30</v>
      </c>
      <c r="I5" s="3" t="s">
        <v>7</v>
      </c>
      <c r="J5">
        <v>24</v>
      </c>
      <c r="O5" s="3" t="s">
        <v>7</v>
      </c>
      <c r="P5">
        <v>65</v>
      </c>
    </row>
    <row r="6" spans="1:16" x14ac:dyDescent="0.2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f>IF(statek5[[#This Row],[Z/W]]="W",-statek5[[#This Row],[ile ton]],statek5[[#This Row],[ile ton]])</f>
        <v>43</v>
      </c>
      <c r="G6">
        <v>25</v>
      </c>
      <c r="I6" s="3" t="s">
        <v>9</v>
      </c>
      <c r="J6">
        <v>44</v>
      </c>
      <c r="O6" s="3" t="s">
        <v>9</v>
      </c>
      <c r="P6">
        <v>125</v>
      </c>
    </row>
    <row r="7" spans="1:16" x14ac:dyDescent="0.2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f>IF(statek5[[#This Row],[Z/W]]="W",-statek5[[#This Row],[ile ton]],statek5[[#This Row],[ile ton]])</f>
        <v>-32</v>
      </c>
      <c r="G7">
        <v>58</v>
      </c>
      <c r="I7" s="3" t="s">
        <v>24</v>
      </c>
      <c r="J7">
        <v>197</v>
      </c>
      <c r="O7" s="3" t="s">
        <v>24</v>
      </c>
      <c r="P7">
        <v>235</v>
      </c>
    </row>
    <row r="8" spans="1:16" x14ac:dyDescent="0.2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f>IF(statek5[[#This Row],[Z/W]]="W",-statek5[[#This Row],[ile ton]],statek5[[#This Row],[ile ton]])</f>
        <v>14</v>
      </c>
      <c r="G8">
        <v>26</v>
      </c>
    </row>
    <row r="9" spans="1:16" x14ac:dyDescent="0.2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f>IF(statek5[[#This Row],[Z/W]]="W",-statek5[[#This Row],[ile ton]],statek5[[#This Row],[ile ton]])</f>
        <v>44</v>
      </c>
      <c r="G9">
        <v>46</v>
      </c>
      <c r="I9" s="4" t="s">
        <v>0</v>
      </c>
      <c r="J9" s="5" t="s">
        <v>36</v>
      </c>
      <c r="K9" s="5" t="s">
        <v>35</v>
      </c>
      <c r="L9" s="5" t="s">
        <v>33</v>
      </c>
      <c r="M9" s="5" t="s">
        <v>34</v>
      </c>
    </row>
    <row r="10" spans="1:16" x14ac:dyDescent="0.2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f>IF(statek5[[#This Row],[Z/W]]="W",-statek5[[#This Row],[ile ton]],statek5[[#This Row],[ile ton]])</f>
        <v>1</v>
      </c>
      <c r="G10">
        <v>28</v>
      </c>
      <c r="I10" s="8">
        <v>42401</v>
      </c>
      <c r="J10" s="4" t="s">
        <v>11</v>
      </c>
      <c r="K10" s="5">
        <v>48</v>
      </c>
      <c r="L10" s="4" t="s">
        <v>7</v>
      </c>
      <c r="M10" s="5">
        <v>24</v>
      </c>
    </row>
    <row r="11" spans="1:16" x14ac:dyDescent="0.2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f>IF(statek5[[#This Row],[Z/W]]="W",-statek5[[#This Row],[ile ton]],statek5[[#This Row],[ile ton]])</f>
        <v>21</v>
      </c>
      <c r="G11">
        <v>74</v>
      </c>
      <c r="I11" s="8">
        <v>43313</v>
      </c>
      <c r="J11" s="4" t="s">
        <v>9</v>
      </c>
      <c r="K11" s="5">
        <v>125</v>
      </c>
      <c r="L11" s="4" t="s">
        <v>10</v>
      </c>
      <c r="M11" s="5">
        <v>3</v>
      </c>
    </row>
    <row r="12" spans="1:16" x14ac:dyDescent="0.2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f>IF(statek5[[#This Row],[Z/W]]="W",-statek5[[#This Row],[ile ton]],statek5[[#This Row],[ile ton]])</f>
        <v>-43</v>
      </c>
      <c r="G12">
        <v>32</v>
      </c>
    </row>
    <row r="13" spans="1:16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f>IF(statek5[[#This Row],[Z/W]]="W",-statek5[[#This Row],[ile ton]],statek5[[#This Row],[ile ton]])</f>
        <v>-38</v>
      </c>
      <c r="G13">
        <v>13</v>
      </c>
    </row>
    <row r="14" spans="1:16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f>IF(statek5[[#This Row],[Z/W]]="W",-statek5[[#This Row],[ile ton]],statek5[[#This Row],[ile ton]])</f>
        <v>9</v>
      </c>
      <c r="G14">
        <v>59</v>
      </c>
    </row>
    <row r="15" spans="1:16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f>IF(statek5[[#This Row],[Z/W]]="W",-statek5[[#This Row],[ile ton]],statek5[[#This Row],[ile ton]])</f>
        <v>8</v>
      </c>
      <c r="G15">
        <v>37</v>
      </c>
    </row>
    <row r="16" spans="1:16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f>IF(statek5[[#This Row],[Z/W]]="W",-statek5[[#This Row],[ile ton]],statek5[[#This Row],[ile ton]])</f>
        <v>-50</v>
      </c>
      <c r="G16">
        <v>61</v>
      </c>
    </row>
    <row r="17" spans="1:7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f>IF(statek5[[#This Row],[Z/W]]="W",-statek5[[#This Row],[ile ton]],statek5[[#This Row],[ile ton]])</f>
        <v>32</v>
      </c>
      <c r="G17">
        <v>20</v>
      </c>
    </row>
    <row r="18" spans="1:7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f>IF(statek5[[#This Row],[Z/W]]="W",-statek5[[#This Row],[ile ton]],statek5[[#This Row],[ile ton]])</f>
        <v>7</v>
      </c>
      <c r="G18">
        <v>8</v>
      </c>
    </row>
    <row r="19" spans="1:7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f>IF(statek5[[#This Row],[Z/W]]="W",-statek5[[#This Row],[ile ton]],statek5[[#This Row],[ile ton]])</f>
        <v>10</v>
      </c>
      <c r="G19">
        <v>24</v>
      </c>
    </row>
    <row r="20" spans="1:7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f>IF(statek5[[#This Row],[Z/W]]="W",-statek5[[#This Row],[ile ton]],statek5[[#This Row],[ile ton]])</f>
        <v>-7</v>
      </c>
      <c r="G20">
        <v>12</v>
      </c>
    </row>
    <row r="21" spans="1:7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f>IF(statek5[[#This Row],[Z/W]]="W",-statek5[[#This Row],[ile ton]],statek5[[#This Row],[ile ton]])</f>
        <v>25</v>
      </c>
      <c r="G21">
        <v>19</v>
      </c>
    </row>
    <row r="22" spans="1:7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f>IF(statek5[[#This Row],[Z/W]]="W",-statek5[[#This Row],[ile ton]],statek5[[#This Row],[ile ton]])</f>
        <v>33</v>
      </c>
      <c r="G22">
        <v>38</v>
      </c>
    </row>
    <row r="23" spans="1:7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f>IF(statek5[[#This Row],[Z/W]]="W",-statek5[[#This Row],[ile ton]],statek5[[#This Row],[ile ton]])</f>
        <v>-36</v>
      </c>
      <c r="G23">
        <v>35</v>
      </c>
    </row>
    <row r="24" spans="1:7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f>IF(statek5[[#This Row],[Z/W]]="W",-statek5[[#This Row],[ile ton]],statek5[[#This Row],[ile ton]])</f>
        <v>5</v>
      </c>
      <c r="G24">
        <v>66</v>
      </c>
    </row>
    <row r="25" spans="1:7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f>IF(statek5[[#This Row],[Z/W]]="W",-statek5[[#This Row],[ile ton]],statek5[[#This Row],[ile ton]])</f>
        <v>35</v>
      </c>
      <c r="G25">
        <v>41</v>
      </c>
    </row>
    <row r="26" spans="1:7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f>IF(statek5[[#This Row],[Z/W]]="W",-statek5[[#This Row],[ile ton]],statek5[[#This Row],[ile ton]])</f>
        <v>-38</v>
      </c>
      <c r="G26">
        <v>98</v>
      </c>
    </row>
    <row r="27" spans="1:7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f>IF(statek5[[#This Row],[Z/W]]="W",-statek5[[#This Row],[ile ton]],statek5[[#This Row],[ile ton]])</f>
        <v>10</v>
      </c>
      <c r="G27">
        <v>23</v>
      </c>
    </row>
    <row r="28" spans="1:7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f>IF(statek5[[#This Row],[Z/W]]="W",-statek5[[#This Row],[ile ton]],statek5[[#This Row],[ile ton]])</f>
        <v>-4</v>
      </c>
      <c r="G28">
        <v>38</v>
      </c>
    </row>
    <row r="29" spans="1:7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f>IF(statek5[[#This Row],[Z/W]]="W",-statek5[[#This Row],[ile ton]],statek5[[#This Row],[ile ton]])</f>
        <v>42</v>
      </c>
      <c r="G29">
        <v>60</v>
      </c>
    </row>
    <row r="30" spans="1:7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f>IF(statek5[[#This Row],[Z/W]]="W",-statek5[[#This Row],[ile ton]],statek5[[#This Row],[ile ton]])</f>
        <v>28</v>
      </c>
      <c r="G30">
        <v>8</v>
      </c>
    </row>
    <row r="31" spans="1:7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f>IF(statek5[[#This Row],[Z/W]]="W",-statek5[[#This Row],[ile ton]],statek5[[#This Row],[ile ton]])</f>
        <v>19</v>
      </c>
      <c r="G31">
        <v>19</v>
      </c>
    </row>
    <row r="32" spans="1:7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f>IF(statek5[[#This Row],[Z/W]]="W",-statek5[[#This Row],[ile ton]],statek5[[#This Row],[ile ton]])</f>
        <v>-72</v>
      </c>
      <c r="G32">
        <v>28</v>
      </c>
    </row>
    <row r="33" spans="1:7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f>IF(statek5[[#This Row],[Z/W]]="W",-statek5[[#This Row],[ile ton]],statek5[[#This Row],[ile ton]])</f>
        <v>-42</v>
      </c>
      <c r="G33">
        <v>90</v>
      </c>
    </row>
    <row r="34" spans="1:7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f>IF(statek5[[#This Row],[Z/W]]="W",-statek5[[#This Row],[ile ton]],statek5[[#This Row],[ile ton]])</f>
        <v>42</v>
      </c>
      <c r="G34">
        <v>44</v>
      </c>
    </row>
    <row r="35" spans="1:7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f>IF(statek5[[#This Row],[Z/W]]="W",-statek5[[#This Row],[ile ton]],statek5[[#This Row],[ile ton]])</f>
        <v>33</v>
      </c>
      <c r="G35">
        <v>26</v>
      </c>
    </row>
    <row r="36" spans="1:7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f>IF(statek5[[#This Row],[Z/W]]="W",-statek5[[#This Row],[ile ton]],statek5[[#This Row],[ile ton]])</f>
        <v>9</v>
      </c>
      <c r="G36">
        <v>9</v>
      </c>
    </row>
    <row r="37" spans="1:7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f>IF(statek5[[#This Row],[Z/W]]="W",-statek5[[#This Row],[ile ton]],statek5[[#This Row],[ile ton]])</f>
        <v>-4</v>
      </c>
      <c r="G37">
        <v>29</v>
      </c>
    </row>
    <row r="38" spans="1:7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f>IF(statek5[[#This Row],[Z/W]]="W",-statek5[[#This Row],[ile ton]],statek5[[#This Row],[ile ton]])</f>
        <v>-37</v>
      </c>
      <c r="G38">
        <v>12</v>
      </c>
    </row>
    <row r="39" spans="1:7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f>IF(statek5[[#This Row],[Z/W]]="W",-statek5[[#This Row],[ile ton]],statek5[[#This Row],[ile ton]])</f>
        <v>35</v>
      </c>
      <c r="G39">
        <v>42</v>
      </c>
    </row>
    <row r="40" spans="1:7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f>IF(statek5[[#This Row],[Z/W]]="W",-statek5[[#This Row],[ile ton]],statek5[[#This Row],[ile ton]])</f>
        <v>32</v>
      </c>
      <c r="G40">
        <v>66</v>
      </c>
    </row>
    <row r="41" spans="1:7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f>IF(statek5[[#This Row],[Z/W]]="W",-statek5[[#This Row],[ile ton]],statek5[[#This Row],[ile ton]])</f>
        <v>-32</v>
      </c>
      <c r="G41">
        <v>92</v>
      </c>
    </row>
    <row r="42" spans="1:7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f>IF(statek5[[#This Row],[Z/W]]="W",-statek5[[#This Row],[ile ton]],statek5[[#This Row],[ile ton]])</f>
        <v>48</v>
      </c>
      <c r="G42">
        <v>43</v>
      </c>
    </row>
    <row r="43" spans="1:7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f>IF(statek5[[#This Row],[Z/W]]="W",-statek5[[#This Row],[ile ton]],statek5[[#This Row],[ile ton]])</f>
        <v>-191</v>
      </c>
      <c r="G43">
        <v>60</v>
      </c>
    </row>
    <row r="44" spans="1:7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f>IF(statek5[[#This Row],[Z/W]]="W",-statek5[[#This Row],[ile ton]],statek5[[#This Row],[ile ton]])</f>
        <v>9</v>
      </c>
      <c r="G44">
        <v>24</v>
      </c>
    </row>
    <row r="45" spans="1:7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f>IF(statek5[[#This Row],[Z/W]]="W",-statek5[[#This Row],[ile ton]],statek5[[#This Row],[ile ton]])</f>
        <v>36</v>
      </c>
      <c r="G45">
        <v>65</v>
      </c>
    </row>
    <row r="46" spans="1:7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f>IF(statek5[[#This Row],[Z/W]]="W",-statek5[[#This Row],[ile ton]],statek5[[#This Row],[ile ton]])</f>
        <v>47</v>
      </c>
      <c r="G46">
        <v>7</v>
      </c>
    </row>
    <row r="47" spans="1:7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f>IF(statek5[[#This Row],[Z/W]]="W",-statek5[[#This Row],[ile ton]],statek5[[#This Row],[ile ton]])</f>
        <v>-4</v>
      </c>
      <c r="G47">
        <v>63</v>
      </c>
    </row>
    <row r="48" spans="1:7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f>IF(statek5[[#This Row],[Z/W]]="W",-statek5[[#This Row],[ile ton]],statek5[[#This Row],[ile ton]])</f>
        <v>8</v>
      </c>
      <c r="G48">
        <v>19</v>
      </c>
    </row>
    <row r="49" spans="1:7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f>IF(statek5[[#This Row],[Z/W]]="W",-statek5[[#This Row],[ile ton]],statek5[[#This Row],[ile ton]])</f>
        <v>3</v>
      </c>
      <c r="G49">
        <v>22</v>
      </c>
    </row>
    <row r="50" spans="1:7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f>IF(statek5[[#This Row],[Z/W]]="W",-statek5[[#This Row],[ile ton]],statek5[[#This Row],[ile ton]])</f>
        <v>41</v>
      </c>
      <c r="G50">
        <v>59</v>
      </c>
    </row>
    <row r="51" spans="1:7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f>IF(statek5[[#This Row],[Z/W]]="W",-statek5[[#This Row],[ile ton]],statek5[[#This Row],[ile ton]])</f>
        <v>44</v>
      </c>
      <c r="G51">
        <v>40</v>
      </c>
    </row>
    <row r="52" spans="1:7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f>IF(statek5[[#This Row],[Z/W]]="W",-statek5[[#This Row],[ile ton]],statek5[[#This Row],[ile ton]])</f>
        <v>-45</v>
      </c>
      <c r="G52">
        <v>12</v>
      </c>
    </row>
    <row r="53" spans="1:7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f>IF(statek5[[#This Row],[Z/W]]="W",-statek5[[#This Row],[ile ton]],statek5[[#This Row],[ile ton]])</f>
        <v>40</v>
      </c>
      <c r="G53">
        <v>20</v>
      </c>
    </row>
    <row r="54" spans="1:7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f>IF(statek5[[#This Row],[Z/W]]="W",-statek5[[#This Row],[ile ton]],statek5[[#This Row],[ile ton]])</f>
        <v>3</v>
      </c>
      <c r="G54">
        <v>63</v>
      </c>
    </row>
    <row r="55" spans="1:7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f>IF(statek5[[#This Row],[Z/W]]="W",-statek5[[#This Row],[ile ton]],statek5[[#This Row],[ile ton]])</f>
        <v>17</v>
      </c>
      <c r="G55">
        <v>24</v>
      </c>
    </row>
    <row r="56" spans="1:7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f>IF(statek5[[#This Row],[Z/W]]="W",-statek5[[#This Row],[ile ton]],statek5[[#This Row],[ile ton]])</f>
        <v>-2</v>
      </c>
      <c r="G56">
        <v>12</v>
      </c>
    </row>
    <row r="57" spans="1:7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f>IF(statek5[[#This Row],[Z/W]]="W",-statek5[[#This Row],[ile ton]],statek5[[#This Row],[ile ton]])</f>
        <v>14</v>
      </c>
      <c r="G57">
        <v>19</v>
      </c>
    </row>
    <row r="58" spans="1:7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f>IF(statek5[[#This Row],[Z/W]]="W",-statek5[[#This Row],[ile ton]],statek5[[#This Row],[ile ton]])</f>
        <v>23</v>
      </c>
      <c r="G58">
        <v>23</v>
      </c>
    </row>
    <row r="59" spans="1:7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f>IF(statek5[[#This Row],[Z/W]]="W",-statek5[[#This Row],[ile ton]],statek5[[#This Row],[ile ton]])</f>
        <v>11</v>
      </c>
      <c r="G59">
        <v>8</v>
      </c>
    </row>
    <row r="60" spans="1:7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f>IF(statek5[[#This Row],[Z/W]]="W",-statek5[[#This Row],[ile ton]],statek5[[#This Row],[ile ton]])</f>
        <v>17</v>
      </c>
      <c r="G60">
        <v>66</v>
      </c>
    </row>
    <row r="61" spans="1:7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f>IF(statek5[[#This Row],[Z/W]]="W",-statek5[[#This Row],[ile ton]],statek5[[#This Row],[ile ton]])</f>
        <v>30</v>
      </c>
      <c r="G61">
        <v>41</v>
      </c>
    </row>
    <row r="62" spans="1:7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f>IF(statek5[[#This Row],[Z/W]]="W",-statek5[[#This Row],[ile ton]],statek5[[#This Row],[ile ton]])</f>
        <v>-97</v>
      </c>
      <c r="G62">
        <v>98</v>
      </c>
    </row>
    <row r="63" spans="1:7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f>IF(statek5[[#This Row],[Z/W]]="W",-statek5[[#This Row],[ile ton]],statek5[[#This Row],[ile ton]])</f>
        <v>-11</v>
      </c>
      <c r="G63">
        <v>12</v>
      </c>
    </row>
    <row r="64" spans="1:7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f>IF(statek5[[#This Row],[Z/W]]="W",-statek5[[#This Row],[ile ton]],statek5[[#This Row],[ile ton]])</f>
        <v>17</v>
      </c>
      <c r="G64">
        <v>20</v>
      </c>
    </row>
    <row r="65" spans="1:7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f>IF(statek5[[#This Row],[Z/W]]="W",-statek5[[#This Row],[ile ton]],statek5[[#This Row],[ile ton]])</f>
        <v>4</v>
      </c>
      <c r="G65">
        <v>23</v>
      </c>
    </row>
    <row r="66" spans="1:7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f>IF(statek5[[#This Row],[Z/W]]="W",-statek5[[#This Row],[ile ton]],statek5[[#This Row],[ile ton]])</f>
        <v>-79</v>
      </c>
      <c r="G66">
        <v>31</v>
      </c>
    </row>
    <row r="67" spans="1:7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f>IF(statek5[[#This Row],[Z/W]]="W",-statek5[[#This Row],[ile ton]],statek5[[#This Row],[ile ton]])</f>
        <v>33</v>
      </c>
      <c r="G67">
        <v>60</v>
      </c>
    </row>
    <row r="68" spans="1:7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f>IF(statek5[[#This Row],[Z/W]]="W",-statek5[[#This Row],[ile ton]],statek5[[#This Row],[ile ton]])</f>
        <v>26</v>
      </c>
      <c r="G68">
        <v>23</v>
      </c>
    </row>
    <row r="69" spans="1:7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f>IF(statek5[[#This Row],[Z/W]]="W",-statek5[[#This Row],[ile ton]],statek5[[#This Row],[ile ton]])</f>
        <v>40</v>
      </c>
      <c r="G69">
        <v>22</v>
      </c>
    </row>
    <row r="70" spans="1:7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f>IF(statek5[[#This Row],[Z/W]]="W",-statek5[[#This Row],[ile ton]],statek5[[#This Row],[ile ton]])</f>
        <v>42</v>
      </c>
      <c r="G70">
        <v>9</v>
      </c>
    </row>
    <row r="71" spans="1:7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f>IF(statek5[[#This Row],[Z/W]]="W",-statek5[[#This Row],[ile ton]],statek5[[#This Row],[ile ton]])</f>
        <v>42</v>
      </c>
      <c r="G71">
        <v>26</v>
      </c>
    </row>
    <row r="72" spans="1:7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f>IF(statek5[[#This Row],[Z/W]]="W",-statek5[[#This Row],[ile ton]],statek5[[#This Row],[ile ton]])</f>
        <v>9</v>
      </c>
      <c r="G72">
        <v>70</v>
      </c>
    </row>
    <row r="73" spans="1:7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f>IF(statek5[[#This Row],[Z/W]]="W",-statek5[[#This Row],[ile ton]],statek5[[#This Row],[ile ton]])</f>
        <v>39</v>
      </c>
      <c r="G73">
        <v>44</v>
      </c>
    </row>
    <row r="74" spans="1:7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f>IF(statek5[[#This Row],[Z/W]]="W",-statek5[[#This Row],[ile ton]],statek5[[#This Row],[ile ton]])</f>
        <v>-112</v>
      </c>
      <c r="G74">
        <v>59</v>
      </c>
    </row>
    <row r="75" spans="1:7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f>IF(statek5[[#This Row],[Z/W]]="W",-statek5[[#This Row],[ile ton]],statek5[[#This Row],[ile ton]])</f>
        <v>34</v>
      </c>
      <c r="G75">
        <v>66</v>
      </c>
    </row>
    <row r="76" spans="1:7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f>IF(statek5[[#This Row],[Z/W]]="W",-statek5[[#This Row],[ile ton]],statek5[[#This Row],[ile ton]])</f>
        <v>5</v>
      </c>
      <c r="G76">
        <v>21</v>
      </c>
    </row>
    <row r="77" spans="1:7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f>IF(statek5[[#This Row],[Z/W]]="W",-statek5[[#This Row],[ile ton]],statek5[[#This Row],[ile ton]])</f>
        <v>-74</v>
      </c>
      <c r="G77">
        <v>92</v>
      </c>
    </row>
    <row r="78" spans="1:7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f>IF(statek5[[#This Row],[Z/W]]="W",-statek5[[#This Row],[ile ton]],statek5[[#This Row],[ile ton]])</f>
        <v>14</v>
      </c>
      <c r="G78">
        <v>26</v>
      </c>
    </row>
    <row r="79" spans="1:7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f>IF(statek5[[#This Row],[Z/W]]="W",-statek5[[#This Row],[ile ton]],statek5[[#This Row],[ile ton]])</f>
        <v>-1</v>
      </c>
      <c r="G79">
        <v>60</v>
      </c>
    </row>
    <row r="80" spans="1:7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f>IF(statek5[[#This Row],[Z/W]]="W",-statek5[[#This Row],[ile ton]],statek5[[#This Row],[ile ton]])</f>
        <v>-43</v>
      </c>
      <c r="G80">
        <v>36</v>
      </c>
    </row>
    <row r="81" spans="1:7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f>IF(statek5[[#This Row],[Z/W]]="W",-statek5[[#This Row],[ile ton]],statek5[[#This Row],[ile ton]])</f>
        <v>30</v>
      </c>
      <c r="G81">
        <v>8</v>
      </c>
    </row>
    <row r="82" spans="1:7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f>IF(statek5[[#This Row],[Z/W]]="W",-statek5[[#This Row],[ile ton]],statek5[[#This Row],[ile ton]])</f>
        <v>14</v>
      </c>
      <c r="G82">
        <v>20</v>
      </c>
    </row>
    <row r="83" spans="1:7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f>IF(statek5[[#This Row],[Z/W]]="W",-statek5[[#This Row],[ile ton]],statek5[[#This Row],[ile ton]])</f>
        <v>-33</v>
      </c>
      <c r="G83">
        <v>38</v>
      </c>
    </row>
    <row r="84" spans="1:7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f>IF(statek5[[#This Row],[Z/W]]="W",-statek5[[#This Row],[ile ton]],statek5[[#This Row],[ile ton]])</f>
        <v>35</v>
      </c>
      <c r="G84">
        <v>37</v>
      </c>
    </row>
    <row r="85" spans="1:7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f>IF(statek5[[#This Row],[Z/W]]="W",-statek5[[#This Row],[ile ton]],statek5[[#This Row],[ile ton]])</f>
        <v>40</v>
      </c>
      <c r="G85">
        <v>19</v>
      </c>
    </row>
    <row r="86" spans="1:7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f>IF(statek5[[#This Row],[Z/W]]="W",-statek5[[#This Row],[ile ton]],statek5[[#This Row],[ile ton]])</f>
        <v>-21</v>
      </c>
      <c r="G86">
        <v>36</v>
      </c>
    </row>
    <row r="87" spans="1:7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f>IF(statek5[[#This Row],[Z/W]]="W",-statek5[[#This Row],[ile ton]],statek5[[#This Row],[ile ton]])</f>
        <v>-2</v>
      </c>
      <c r="G87">
        <v>97</v>
      </c>
    </row>
    <row r="88" spans="1:7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f>IF(statek5[[#This Row],[Z/W]]="W",-statek5[[#This Row],[ile ton]],statek5[[#This Row],[ile ton]])</f>
        <v>12</v>
      </c>
      <c r="G88">
        <v>20</v>
      </c>
    </row>
    <row r="89" spans="1:7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f>IF(statek5[[#This Row],[Z/W]]="W",-statek5[[#This Row],[ile ton]],statek5[[#This Row],[ile ton]])</f>
        <v>15</v>
      </c>
      <c r="G89">
        <v>8</v>
      </c>
    </row>
    <row r="90" spans="1:7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f>IF(statek5[[#This Row],[Z/W]]="W",-statek5[[#This Row],[ile ton]],statek5[[#This Row],[ile ton]])</f>
        <v>1</v>
      </c>
      <c r="G90">
        <v>40</v>
      </c>
    </row>
    <row r="91" spans="1:7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f>IF(statek5[[#This Row],[Z/W]]="W",-statek5[[#This Row],[ile ton]],statek5[[#This Row],[ile ton]])</f>
        <v>-86</v>
      </c>
      <c r="G91">
        <v>12</v>
      </c>
    </row>
    <row r="92" spans="1:7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f>IF(statek5[[#This Row],[Z/W]]="W",-statek5[[#This Row],[ile ton]],statek5[[#This Row],[ile ton]])</f>
        <v>-110</v>
      </c>
      <c r="G92">
        <v>31</v>
      </c>
    </row>
    <row r="93" spans="1:7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f>IF(statek5[[#This Row],[Z/W]]="W",-statek5[[#This Row],[ile ton]],statek5[[#This Row],[ile ton]])</f>
        <v>33</v>
      </c>
      <c r="G93">
        <v>38</v>
      </c>
    </row>
    <row r="94" spans="1:7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f>IF(statek5[[#This Row],[Z/W]]="W",-statek5[[#This Row],[ile ton]],statek5[[#This Row],[ile ton]])</f>
        <v>13</v>
      </c>
      <c r="G94">
        <v>23</v>
      </c>
    </row>
    <row r="95" spans="1:7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f>IF(statek5[[#This Row],[Z/W]]="W",-statek5[[#This Row],[ile ton]],statek5[[#This Row],[ile ton]])</f>
        <v>37</v>
      </c>
      <c r="G95">
        <v>61</v>
      </c>
    </row>
    <row r="96" spans="1:7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f>IF(statek5[[#This Row],[Z/W]]="W",-statek5[[#This Row],[ile ton]],statek5[[#This Row],[ile ton]])</f>
        <v>-1</v>
      </c>
      <c r="G96">
        <v>12</v>
      </c>
    </row>
    <row r="97" spans="1:7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f>IF(statek5[[#This Row],[Z/W]]="W",-statek5[[#This Row],[ile ton]],statek5[[#This Row],[ile ton]])</f>
        <v>-68</v>
      </c>
      <c r="G97">
        <v>59</v>
      </c>
    </row>
    <row r="98" spans="1:7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f>IF(statek5[[#This Row],[Z/W]]="W",-statek5[[#This Row],[ile ton]],statek5[[#This Row],[ile ton]])</f>
        <v>35</v>
      </c>
      <c r="G98">
        <v>66</v>
      </c>
    </row>
    <row r="99" spans="1:7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f>IF(statek5[[#This Row],[Z/W]]="W",-statek5[[#This Row],[ile ton]],statek5[[#This Row],[ile ton]])</f>
        <v>25</v>
      </c>
      <c r="G99">
        <v>21</v>
      </c>
    </row>
    <row r="100" spans="1:7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f>IF(statek5[[#This Row],[Z/W]]="W",-statek5[[#This Row],[ile ton]],statek5[[#This Row],[ile ton]])</f>
        <v>10</v>
      </c>
      <c r="G100">
        <v>25</v>
      </c>
    </row>
    <row r="101" spans="1:7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f>IF(statek5[[#This Row],[Z/W]]="W",-statek5[[#This Row],[ile ton]],statek5[[#This Row],[ile ton]])</f>
        <v>-38</v>
      </c>
      <c r="G101">
        <v>37</v>
      </c>
    </row>
    <row r="102" spans="1:7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f>IF(statek5[[#This Row],[Z/W]]="W",-statek5[[#This Row],[ile ton]],statek5[[#This Row],[ile ton]])</f>
        <v>22</v>
      </c>
      <c r="G102">
        <v>8</v>
      </c>
    </row>
    <row r="103" spans="1:7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f>IF(statek5[[#This Row],[Z/W]]="W",-statek5[[#This Row],[ile ton]],statek5[[#This Row],[ile ton]])</f>
        <v>25</v>
      </c>
      <c r="G103">
        <v>20</v>
      </c>
    </row>
    <row r="104" spans="1:7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f>IF(statek5[[#This Row],[Z/W]]="W",-statek5[[#This Row],[ile ton]],statek5[[#This Row],[ile ton]])</f>
        <v>8</v>
      </c>
      <c r="G104">
        <v>39</v>
      </c>
    </row>
    <row r="105" spans="1:7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f>IF(statek5[[#This Row],[Z/W]]="W",-statek5[[#This Row],[ile ton]],statek5[[#This Row],[ile ton]])</f>
        <v>45</v>
      </c>
      <c r="G105">
        <v>62</v>
      </c>
    </row>
    <row r="106" spans="1:7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f>IF(statek5[[#This Row],[Z/W]]="W",-statek5[[#This Row],[ile ton]],statek5[[#This Row],[ile ton]])</f>
        <v>-116</v>
      </c>
      <c r="G106">
        <v>100</v>
      </c>
    </row>
    <row r="107" spans="1:7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f>IF(statek5[[#This Row],[Z/W]]="W",-statek5[[#This Row],[ile ton]],statek5[[#This Row],[ile ton]])</f>
        <v>29</v>
      </c>
      <c r="G107">
        <v>19</v>
      </c>
    </row>
    <row r="108" spans="1:7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f>IF(statek5[[#This Row],[Z/W]]="W",-statek5[[#This Row],[ile ton]],statek5[[#This Row],[ile ton]])</f>
        <v>-5</v>
      </c>
      <c r="G108">
        <v>34</v>
      </c>
    </row>
    <row r="109" spans="1:7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f>IF(statek5[[#This Row],[Z/W]]="W",-statek5[[#This Row],[ile ton]],statek5[[#This Row],[ile ton]])</f>
        <v>-22</v>
      </c>
      <c r="G109">
        <v>11</v>
      </c>
    </row>
    <row r="110" spans="1:7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f>IF(statek5[[#This Row],[Z/W]]="W",-statek5[[#This Row],[ile ton]],statek5[[#This Row],[ile ton]])</f>
        <v>37</v>
      </c>
      <c r="G110">
        <v>22</v>
      </c>
    </row>
    <row r="111" spans="1:7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f>IF(statek5[[#This Row],[Z/W]]="W",-statek5[[#This Row],[ile ton]],statek5[[#This Row],[ile ton]])</f>
        <v>10</v>
      </c>
      <c r="G111">
        <v>70</v>
      </c>
    </row>
    <row r="112" spans="1:7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f>IF(statek5[[#This Row],[Z/W]]="W",-statek5[[#This Row],[ile ton]],statek5[[#This Row],[ile ton]])</f>
        <v>42</v>
      </c>
      <c r="G112">
        <v>44</v>
      </c>
    </row>
    <row r="113" spans="1:7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f>IF(statek5[[#This Row],[Z/W]]="W",-statek5[[#This Row],[ile ton]],statek5[[#This Row],[ile ton]])</f>
        <v>-11</v>
      </c>
      <c r="G113">
        <v>94</v>
      </c>
    </row>
    <row r="114" spans="1:7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f>IF(statek5[[#This Row],[Z/W]]="W",-statek5[[#This Row],[ile ton]],statek5[[#This Row],[ile ton]])</f>
        <v>-48</v>
      </c>
      <c r="G114">
        <v>59</v>
      </c>
    </row>
    <row r="115" spans="1:7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f>IF(statek5[[#This Row],[Z/W]]="W",-statek5[[#This Row],[ile ton]],statek5[[#This Row],[ile ton]])</f>
        <v>20</v>
      </c>
      <c r="G115">
        <v>21</v>
      </c>
    </row>
    <row r="116" spans="1:7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f>IF(statek5[[#This Row],[Z/W]]="W",-statek5[[#This Row],[ile ton]],statek5[[#This Row],[ile ton]])</f>
        <v>26</v>
      </c>
      <c r="G116">
        <v>25</v>
      </c>
    </row>
    <row r="117" spans="1:7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f>IF(statek5[[#This Row],[Z/W]]="W",-statek5[[#This Row],[ile ton]],statek5[[#This Row],[ile ton]])</f>
        <v>24</v>
      </c>
      <c r="G117">
        <v>9</v>
      </c>
    </row>
    <row r="118" spans="1:7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f>IF(statek5[[#This Row],[Z/W]]="W",-statek5[[#This Row],[ile ton]],statek5[[#This Row],[ile ton]])</f>
        <v>38</v>
      </c>
      <c r="G118">
        <v>68</v>
      </c>
    </row>
    <row r="119" spans="1:7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f>IF(statek5[[#This Row],[Z/W]]="W",-statek5[[#This Row],[ile ton]],statek5[[#This Row],[ile ton]])</f>
        <v>14</v>
      </c>
      <c r="G119">
        <v>21</v>
      </c>
    </row>
    <row r="120" spans="1:7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f>IF(statek5[[#This Row],[Z/W]]="W",-statek5[[#This Row],[ile ton]],statek5[[#This Row],[ile ton]])</f>
        <v>4</v>
      </c>
      <c r="G120">
        <v>43</v>
      </c>
    </row>
    <row r="121" spans="1:7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f>IF(statek5[[#This Row],[Z/W]]="W",-statek5[[#This Row],[ile ton]],statek5[[#This Row],[ile ton]])</f>
        <v>-19</v>
      </c>
      <c r="G121">
        <v>36</v>
      </c>
    </row>
    <row r="122" spans="1:7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f>IF(statek5[[#This Row],[Z/W]]="W",-statek5[[#This Row],[ile ton]],statek5[[#This Row],[ile ton]])</f>
        <v>30</v>
      </c>
      <c r="G122">
        <v>65</v>
      </c>
    </row>
    <row r="123" spans="1:7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f>IF(statek5[[#This Row],[Z/W]]="W",-statek5[[#This Row],[ile ton]],statek5[[#This Row],[ile ton]])</f>
        <v>-6</v>
      </c>
      <c r="G123">
        <v>63</v>
      </c>
    </row>
    <row r="124" spans="1:7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f>IF(statek5[[#This Row],[Z/W]]="W",-statek5[[#This Row],[ile ton]],statek5[[#This Row],[ile ton]])</f>
        <v>43</v>
      </c>
      <c r="G124">
        <v>59</v>
      </c>
    </row>
    <row r="125" spans="1:7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f>IF(statek5[[#This Row],[Z/W]]="W",-statek5[[#This Row],[ile ton]],statek5[[#This Row],[ile ton]])</f>
        <v>-1</v>
      </c>
      <c r="G125">
        <v>61</v>
      </c>
    </row>
    <row r="126" spans="1:7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f>IF(statek5[[#This Row],[Z/W]]="W",-statek5[[#This Row],[ile ton]],statek5[[#This Row],[ile ton]])</f>
        <v>-147</v>
      </c>
      <c r="G126">
        <v>30</v>
      </c>
    </row>
    <row r="127" spans="1:7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f>IF(statek5[[#This Row],[Z/W]]="W",-statek5[[#This Row],[ile ton]],statek5[[#This Row],[ile ton]])</f>
        <v>15</v>
      </c>
      <c r="G127">
        <v>8</v>
      </c>
    </row>
    <row r="128" spans="1:7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f>IF(statek5[[#This Row],[Z/W]]="W",-statek5[[#This Row],[ile ton]],statek5[[#This Row],[ile ton]])</f>
        <v>24</v>
      </c>
      <c r="G128">
        <v>63</v>
      </c>
    </row>
    <row r="129" spans="1:7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f>IF(statek5[[#This Row],[Z/W]]="W",-statek5[[#This Row],[ile ton]],statek5[[#This Row],[ile ton]])</f>
        <v>19</v>
      </c>
      <c r="G129">
        <v>24</v>
      </c>
    </row>
    <row r="130" spans="1:7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f>IF(statek5[[#This Row],[Z/W]]="W",-statek5[[#This Row],[ile ton]],statek5[[#This Row],[ile ton]])</f>
        <v>-134</v>
      </c>
      <c r="G130">
        <v>99</v>
      </c>
    </row>
    <row r="131" spans="1:7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f>IF(statek5[[#This Row],[Z/W]]="W",-statek5[[#This Row],[ile ton]],statek5[[#This Row],[ile ton]])</f>
        <v>12</v>
      </c>
      <c r="G131">
        <v>38</v>
      </c>
    </row>
    <row r="132" spans="1:7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f>IF(statek5[[#This Row],[Z/W]]="W",-statek5[[#This Row],[ile ton]],statek5[[#This Row],[ile ton]])</f>
        <v>-4</v>
      </c>
      <c r="G132">
        <v>30</v>
      </c>
    </row>
    <row r="133" spans="1:7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f>IF(statek5[[#This Row],[Z/W]]="W",-statek5[[#This Row],[ile ton]],statek5[[#This Row],[ile ton]])</f>
        <v>26</v>
      </c>
      <c r="G133">
        <v>8</v>
      </c>
    </row>
    <row r="134" spans="1:7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f>IF(statek5[[#This Row],[Z/W]]="W",-statek5[[#This Row],[ile ton]],statek5[[#This Row],[ile ton]])</f>
        <v>38</v>
      </c>
      <c r="G134">
        <v>66</v>
      </c>
    </row>
    <row r="135" spans="1:7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f>IF(statek5[[#This Row],[Z/W]]="W",-statek5[[#This Row],[ile ton]],statek5[[#This Row],[ile ton]])</f>
        <v>-38</v>
      </c>
      <c r="G135">
        <v>98</v>
      </c>
    </row>
    <row r="136" spans="1:7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f>IF(statek5[[#This Row],[Z/W]]="W",-statek5[[#This Row],[ile ton]],statek5[[#This Row],[ile ton]])</f>
        <v>-44</v>
      </c>
      <c r="G136">
        <v>37</v>
      </c>
    </row>
    <row r="137" spans="1:7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f>IF(statek5[[#This Row],[Z/W]]="W",-statek5[[#This Row],[ile ton]],statek5[[#This Row],[ile ton]])</f>
        <v>21</v>
      </c>
      <c r="G137">
        <v>8</v>
      </c>
    </row>
    <row r="138" spans="1:7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f>IF(statek5[[#This Row],[Z/W]]="W",-statek5[[#This Row],[ile ton]],statek5[[#This Row],[ile ton]])</f>
        <v>10</v>
      </c>
      <c r="G138">
        <v>39</v>
      </c>
    </row>
    <row r="139" spans="1:7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f>IF(statek5[[#This Row],[Z/W]]="W",-statek5[[#This Row],[ile ton]],statek5[[#This Row],[ile ton]])</f>
        <v>-15</v>
      </c>
      <c r="G139">
        <v>38</v>
      </c>
    </row>
    <row r="140" spans="1:7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f>IF(statek5[[#This Row],[Z/W]]="W",-statek5[[#This Row],[ile ton]],statek5[[#This Row],[ile ton]])</f>
        <v>-22</v>
      </c>
      <c r="G140">
        <v>63</v>
      </c>
    </row>
    <row r="141" spans="1:7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f>IF(statek5[[#This Row],[Z/W]]="W",-statek5[[#This Row],[ile ton]],statek5[[#This Row],[ile ton]])</f>
        <v>9</v>
      </c>
      <c r="G141">
        <v>60</v>
      </c>
    </row>
    <row r="142" spans="1:7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f>IF(statek5[[#This Row],[Z/W]]="W",-statek5[[#This Row],[ile ton]],statek5[[#This Row],[ile ton]])</f>
        <v>6</v>
      </c>
      <c r="G142">
        <v>19</v>
      </c>
    </row>
    <row r="143" spans="1:7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f>IF(statek5[[#This Row],[Z/W]]="W",-statek5[[#This Row],[ile ton]],statek5[[#This Row],[ile ton]])</f>
        <v>4</v>
      </c>
      <c r="G143">
        <v>8</v>
      </c>
    </row>
    <row r="144" spans="1:7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f>IF(statek5[[#This Row],[Z/W]]="W",-statek5[[#This Row],[ile ton]],statek5[[#This Row],[ile ton]])</f>
        <v>-6</v>
      </c>
      <c r="G144">
        <v>25</v>
      </c>
    </row>
    <row r="145" spans="1:7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f>IF(statek5[[#This Row],[Z/W]]="W",-statek5[[#This Row],[ile ton]],statek5[[#This Row],[ile ton]])</f>
        <v>48</v>
      </c>
      <c r="G145">
        <v>79</v>
      </c>
    </row>
    <row r="146" spans="1:7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f>IF(statek5[[#This Row],[Z/W]]="W",-statek5[[#This Row],[ile ton]],statek5[[#This Row],[ile ton]])</f>
        <v>34</v>
      </c>
      <c r="G146">
        <v>42</v>
      </c>
    </row>
    <row r="147" spans="1:7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f>IF(statek5[[#This Row],[Z/W]]="W",-statek5[[#This Row],[ile ton]],statek5[[#This Row],[ile ton]])</f>
        <v>-49</v>
      </c>
      <c r="G147">
        <v>35</v>
      </c>
    </row>
    <row r="148" spans="1:7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f>IF(statek5[[#This Row],[Z/W]]="W",-statek5[[#This Row],[ile ton]],statek5[[#This Row],[ile ton]])</f>
        <v>10</v>
      </c>
      <c r="G148">
        <v>8</v>
      </c>
    </row>
    <row r="149" spans="1:7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f>IF(statek5[[#This Row],[Z/W]]="W",-statek5[[#This Row],[ile ton]],statek5[[#This Row],[ile ton]])</f>
        <v>47</v>
      </c>
      <c r="G149">
        <v>21</v>
      </c>
    </row>
    <row r="150" spans="1:7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f>IF(statek5[[#This Row],[Z/W]]="W",-statek5[[#This Row],[ile ton]],statek5[[#This Row],[ile ton]])</f>
        <v>48</v>
      </c>
      <c r="G150">
        <v>66</v>
      </c>
    </row>
    <row r="151" spans="1:7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f>IF(statek5[[#This Row],[Z/W]]="W",-statek5[[#This Row],[ile ton]],statek5[[#This Row],[ile ton]])</f>
        <v>-34</v>
      </c>
      <c r="G151">
        <v>58</v>
      </c>
    </row>
    <row r="152" spans="1:7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f>IF(statek5[[#This Row],[Z/W]]="W",-statek5[[#This Row],[ile ton]],statek5[[#This Row],[ile ton]])</f>
        <v>5</v>
      </c>
      <c r="G152">
        <v>9</v>
      </c>
    </row>
    <row r="153" spans="1:7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f>IF(statek5[[#This Row],[Z/W]]="W",-statek5[[#This Row],[ile ton]],statek5[[#This Row],[ile ton]])</f>
        <v>-46</v>
      </c>
      <c r="G153">
        <v>30</v>
      </c>
    </row>
    <row r="154" spans="1:7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f>IF(statek5[[#This Row],[Z/W]]="W",-statek5[[#This Row],[ile ton]],statek5[[#This Row],[ile ton]])</f>
        <v>49</v>
      </c>
      <c r="G154">
        <v>65</v>
      </c>
    </row>
    <row r="155" spans="1:7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f>IF(statek5[[#This Row],[Z/W]]="W",-statek5[[#This Row],[ile ton]],statek5[[#This Row],[ile ton]])</f>
        <v>16</v>
      </c>
      <c r="G155">
        <v>8</v>
      </c>
    </row>
    <row r="156" spans="1:7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f>IF(statek5[[#This Row],[Z/W]]="W",-statek5[[#This Row],[ile ton]],statek5[[#This Row],[ile ton]])</f>
        <v>5</v>
      </c>
      <c r="G156">
        <v>37</v>
      </c>
    </row>
    <row r="157" spans="1:7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f>IF(statek5[[#This Row],[Z/W]]="W",-statek5[[#This Row],[ile ton]],statek5[[#This Row],[ile ton]])</f>
        <v>-1</v>
      </c>
      <c r="G157">
        <v>32</v>
      </c>
    </row>
    <row r="158" spans="1:7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f>IF(statek5[[#This Row],[Z/W]]="W",-statek5[[#This Row],[ile ton]],statek5[[#This Row],[ile ton]])</f>
        <v>34</v>
      </c>
      <c r="G158">
        <v>7</v>
      </c>
    </row>
    <row r="159" spans="1:7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f>IF(statek5[[#This Row],[Z/W]]="W",-statek5[[#This Row],[ile ton]],statek5[[#This Row],[ile ton]])</f>
        <v>29</v>
      </c>
      <c r="G159">
        <v>59</v>
      </c>
    </row>
    <row r="160" spans="1:7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f>IF(statek5[[#This Row],[Z/W]]="W",-statek5[[#This Row],[ile ton]],statek5[[#This Row],[ile ton]])</f>
        <v>34</v>
      </c>
      <c r="G160">
        <v>24</v>
      </c>
    </row>
    <row r="161" spans="1:7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f>IF(statek5[[#This Row],[Z/W]]="W",-statek5[[#This Row],[ile ton]],statek5[[#This Row],[ile ton]])</f>
        <v>27</v>
      </c>
      <c r="G161">
        <v>20</v>
      </c>
    </row>
    <row r="162" spans="1:7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f>IF(statek5[[#This Row],[Z/W]]="W",-statek5[[#This Row],[ile ton]],statek5[[#This Row],[ile ton]])</f>
        <v>40</v>
      </c>
      <c r="G162">
        <v>8</v>
      </c>
    </row>
    <row r="163" spans="1:7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f>IF(statek5[[#This Row],[Z/W]]="W",-statek5[[#This Row],[ile ton]],statek5[[#This Row],[ile ton]])</f>
        <v>-184</v>
      </c>
      <c r="G163">
        <v>99</v>
      </c>
    </row>
    <row r="164" spans="1:7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f>IF(statek5[[#This Row],[Z/W]]="W",-statek5[[#This Row],[ile ton]],statek5[[#This Row],[ile ton]])</f>
        <v>48</v>
      </c>
      <c r="G164">
        <v>38</v>
      </c>
    </row>
    <row r="165" spans="1:7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f>IF(statek5[[#This Row],[Z/W]]="W",-statek5[[#This Row],[ile ton]],statek5[[#This Row],[ile ton]])</f>
        <v>21</v>
      </c>
      <c r="G165">
        <v>23</v>
      </c>
    </row>
    <row r="166" spans="1:7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f>IF(statek5[[#This Row],[Z/W]]="W",-statek5[[#This Row],[ile ton]],statek5[[#This Row],[ile ton]])</f>
        <v>47</v>
      </c>
      <c r="G166">
        <v>66</v>
      </c>
    </row>
    <row r="167" spans="1:7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f>IF(statek5[[#This Row],[Z/W]]="W",-statek5[[#This Row],[ile ton]],statek5[[#This Row],[ile ton]])</f>
        <v>6</v>
      </c>
      <c r="G167">
        <v>25</v>
      </c>
    </row>
    <row r="168" spans="1:7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f>IF(statek5[[#This Row],[Z/W]]="W",-statek5[[#This Row],[ile ton]],statek5[[#This Row],[ile ton]])</f>
        <v>47</v>
      </c>
      <c r="G168">
        <v>41</v>
      </c>
    </row>
    <row r="169" spans="1:7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f>IF(statek5[[#This Row],[Z/W]]="W",-statek5[[#This Row],[ile ton]],statek5[[#This Row],[ile ton]])</f>
        <v>-192</v>
      </c>
      <c r="G169">
        <v>12</v>
      </c>
    </row>
    <row r="170" spans="1:7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f>IF(statek5[[#This Row],[Z/W]]="W",-statek5[[#This Row],[ile ton]],statek5[[#This Row],[ile ton]])</f>
        <v>-48</v>
      </c>
      <c r="G170">
        <v>37</v>
      </c>
    </row>
    <row r="171" spans="1:7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f>IF(statek5[[#This Row],[Z/W]]="W",-statek5[[#This Row],[ile ton]],statek5[[#This Row],[ile ton]])</f>
        <v>18</v>
      </c>
      <c r="G171">
        <v>62</v>
      </c>
    </row>
    <row r="172" spans="1:7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f>IF(statek5[[#This Row],[Z/W]]="W",-statek5[[#This Row],[ile ton]],statek5[[#This Row],[ile ton]])</f>
        <v>25</v>
      </c>
      <c r="G172">
        <v>39</v>
      </c>
    </row>
    <row r="173" spans="1:7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f>IF(statek5[[#This Row],[Z/W]]="W",-statek5[[#This Row],[ile ton]],statek5[[#This Row],[ile ton]])</f>
        <v>2</v>
      </c>
      <c r="G173">
        <v>20</v>
      </c>
    </row>
    <row r="174" spans="1:7" x14ac:dyDescent="0.25">
      <c r="A174" s="1"/>
      <c r="F174">
        <f>IF(statek5[[#This Row],[Z/W]]="W",-statek5[[#This Row],[ile ton]],statek5[[#This Row],[ile ton]])</f>
        <v>0</v>
      </c>
    </row>
    <row r="175" spans="1:7" x14ac:dyDescent="0.25">
      <c r="A175" s="1">
        <v>43317</v>
      </c>
      <c r="B175" t="s">
        <v>21</v>
      </c>
      <c r="C175" t="s">
        <v>11</v>
      </c>
      <c r="D175" t="s">
        <v>14</v>
      </c>
      <c r="E175">
        <v>13</v>
      </c>
      <c r="F175">
        <f>IF(statek5[[#This Row],[Z/W]]="W",-statek5[[#This Row],[ile ton]],statek5[[#This Row],[ile ton]])</f>
        <v>-13</v>
      </c>
      <c r="G175">
        <v>38</v>
      </c>
    </row>
    <row r="176" spans="1:7" x14ac:dyDescent="0.25">
      <c r="A176" s="1">
        <v>43317</v>
      </c>
      <c r="B176" t="s">
        <v>21</v>
      </c>
      <c r="C176" t="s">
        <v>9</v>
      </c>
      <c r="D176" t="s">
        <v>14</v>
      </c>
      <c r="E176">
        <v>121</v>
      </c>
      <c r="F176">
        <f>IF(statek5[[#This Row],[Z/W]]="W",-statek5[[#This Row],[ile ton]],statek5[[#This Row],[ile ton]])</f>
        <v>-121</v>
      </c>
      <c r="G176">
        <v>63</v>
      </c>
    </row>
    <row r="177" spans="1:7" x14ac:dyDescent="0.25">
      <c r="A177" s="1">
        <v>43317</v>
      </c>
      <c r="B177" t="s">
        <v>21</v>
      </c>
      <c r="C177" t="s">
        <v>12</v>
      </c>
      <c r="D177" t="s">
        <v>8</v>
      </c>
      <c r="E177">
        <v>30</v>
      </c>
      <c r="F177">
        <f>IF(statek5[[#This Row],[Z/W]]="W",-statek5[[#This Row],[ile ton]],statek5[[#This Row],[ile ton]])</f>
        <v>30</v>
      </c>
      <c r="G177">
        <v>19</v>
      </c>
    </row>
    <row r="178" spans="1:7" x14ac:dyDescent="0.25">
      <c r="A178" s="1">
        <v>43317</v>
      </c>
      <c r="B178" t="s">
        <v>21</v>
      </c>
      <c r="C178" t="s">
        <v>10</v>
      </c>
      <c r="D178" t="s">
        <v>8</v>
      </c>
      <c r="E178">
        <v>46</v>
      </c>
      <c r="F178">
        <f>IF(statek5[[#This Row],[Z/W]]="W",-statek5[[#This Row],[ile ton]],statek5[[#This Row],[ile ton]])</f>
        <v>46</v>
      </c>
      <c r="G178">
        <v>8</v>
      </c>
    </row>
    <row r="179" spans="1:7" x14ac:dyDescent="0.25">
      <c r="A179" s="1">
        <v>43330</v>
      </c>
      <c r="B179" t="s">
        <v>22</v>
      </c>
      <c r="C179" t="s">
        <v>10</v>
      </c>
      <c r="D179" t="s">
        <v>14</v>
      </c>
      <c r="E179">
        <v>49</v>
      </c>
      <c r="F179">
        <f>IF(statek5[[#This Row],[Z/W]]="W",-statek5[[#This Row],[ile ton]],statek5[[#This Row],[ile ton]])</f>
        <v>-49</v>
      </c>
      <c r="G179">
        <v>11</v>
      </c>
    </row>
    <row r="180" spans="1:7" x14ac:dyDescent="0.25">
      <c r="A180" s="1">
        <v>43330</v>
      </c>
      <c r="B180" t="s">
        <v>22</v>
      </c>
      <c r="C180" t="s">
        <v>7</v>
      </c>
      <c r="D180" t="s">
        <v>14</v>
      </c>
      <c r="E180">
        <v>61</v>
      </c>
      <c r="F180">
        <f>IF(statek5[[#This Row],[Z/W]]="W",-statek5[[#This Row],[ile ton]],statek5[[#This Row],[ile ton]])</f>
        <v>-61</v>
      </c>
      <c r="G180">
        <v>90</v>
      </c>
    </row>
    <row r="181" spans="1:7" x14ac:dyDescent="0.25">
      <c r="A181" s="1">
        <v>43330</v>
      </c>
      <c r="B181" t="s">
        <v>22</v>
      </c>
      <c r="C181" t="s">
        <v>12</v>
      </c>
      <c r="D181" t="s">
        <v>8</v>
      </c>
      <c r="E181">
        <v>19</v>
      </c>
      <c r="F181">
        <f>IF(statek5[[#This Row],[Z/W]]="W",-statek5[[#This Row],[ile ton]],statek5[[#This Row],[ile ton]])</f>
        <v>19</v>
      </c>
      <c r="G181">
        <v>22</v>
      </c>
    </row>
    <row r="182" spans="1:7" x14ac:dyDescent="0.25">
      <c r="A182" s="1">
        <v>43330</v>
      </c>
      <c r="B182" t="s">
        <v>22</v>
      </c>
      <c r="C182" t="s">
        <v>9</v>
      </c>
      <c r="D182" t="s">
        <v>8</v>
      </c>
      <c r="E182">
        <v>22</v>
      </c>
      <c r="F182">
        <f>IF(statek5[[#This Row],[Z/W]]="W",-statek5[[#This Row],[ile ton]],statek5[[#This Row],[ile ton]])</f>
        <v>22</v>
      </c>
      <c r="G182">
        <v>44</v>
      </c>
    </row>
    <row r="183" spans="1:7" x14ac:dyDescent="0.25">
      <c r="A183" s="1">
        <v>43347</v>
      </c>
      <c r="B183" t="s">
        <v>6</v>
      </c>
      <c r="C183" t="s">
        <v>11</v>
      </c>
      <c r="D183" t="s">
        <v>8</v>
      </c>
      <c r="E183">
        <v>9</v>
      </c>
      <c r="F183">
        <f>IF(statek5[[#This Row],[Z/W]]="W",-statek5[[#This Row],[ile ton]],statek5[[#This Row],[ile ton]])</f>
        <v>9</v>
      </c>
      <c r="G183">
        <v>25</v>
      </c>
    </row>
    <row r="184" spans="1:7" x14ac:dyDescent="0.25">
      <c r="A184" s="1">
        <v>43347</v>
      </c>
      <c r="B184" t="s">
        <v>6</v>
      </c>
      <c r="C184" t="s">
        <v>7</v>
      </c>
      <c r="D184" t="s">
        <v>14</v>
      </c>
      <c r="E184">
        <v>4</v>
      </c>
      <c r="F184">
        <f>IF(statek5[[#This Row],[Z/W]]="W",-statek5[[#This Row],[ile ton]],statek5[[#This Row],[ile ton]])</f>
        <v>-4</v>
      </c>
      <c r="G184">
        <v>94</v>
      </c>
    </row>
    <row r="185" spans="1:7" x14ac:dyDescent="0.25">
      <c r="A185" s="1">
        <v>43347</v>
      </c>
      <c r="B185" t="s">
        <v>6</v>
      </c>
      <c r="C185" t="s">
        <v>12</v>
      </c>
      <c r="D185" t="s">
        <v>8</v>
      </c>
      <c r="E185">
        <v>8</v>
      </c>
      <c r="F185">
        <f>IF(statek5[[#This Row],[Z/W]]="W",-statek5[[#This Row],[ile ton]],statek5[[#This Row],[ile ton]])</f>
        <v>8</v>
      </c>
      <c r="G185">
        <v>21</v>
      </c>
    </row>
    <row r="186" spans="1:7" x14ac:dyDescent="0.25">
      <c r="A186" s="1">
        <v>43347</v>
      </c>
      <c r="B186" t="s">
        <v>6</v>
      </c>
      <c r="C186" t="s">
        <v>10</v>
      </c>
      <c r="D186" t="s">
        <v>8</v>
      </c>
      <c r="E186">
        <v>47</v>
      </c>
      <c r="F186">
        <f>IF(statek5[[#This Row],[Z/W]]="W",-statek5[[#This Row],[ile ton]],statek5[[#This Row],[ile ton]])</f>
        <v>47</v>
      </c>
      <c r="G186">
        <v>8</v>
      </c>
    </row>
    <row r="187" spans="1:7" x14ac:dyDescent="0.25">
      <c r="A187" s="1">
        <v>43362</v>
      </c>
      <c r="B187" t="s">
        <v>13</v>
      </c>
      <c r="C187" t="s">
        <v>12</v>
      </c>
      <c r="D187" t="s">
        <v>14</v>
      </c>
      <c r="E187">
        <v>82</v>
      </c>
      <c r="F187">
        <f>IF(statek5[[#This Row],[Z/W]]="W",-statek5[[#This Row],[ile ton]],statek5[[#This Row],[ile ton]])</f>
        <v>-82</v>
      </c>
      <c r="G187">
        <v>29</v>
      </c>
    </row>
    <row r="188" spans="1:7" x14ac:dyDescent="0.25">
      <c r="A188" s="1">
        <v>43362</v>
      </c>
      <c r="B188" t="s">
        <v>13</v>
      </c>
      <c r="C188" t="s">
        <v>9</v>
      </c>
      <c r="D188" t="s">
        <v>14</v>
      </c>
      <c r="E188">
        <v>26</v>
      </c>
      <c r="F188">
        <f>IF(statek5[[#This Row],[Z/W]]="W",-statek5[[#This Row],[ile ton]],statek5[[#This Row],[ile ton]])</f>
        <v>-26</v>
      </c>
      <c r="G188">
        <v>58</v>
      </c>
    </row>
    <row r="189" spans="1:7" x14ac:dyDescent="0.25">
      <c r="A189" s="1">
        <v>43362</v>
      </c>
      <c r="B189" t="s">
        <v>13</v>
      </c>
      <c r="C189" t="s">
        <v>10</v>
      </c>
      <c r="D189" t="s">
        <v>8</v>
      </c>
      <c r="E189">
        <v>24</v>
      </c>
      <c r="F189">
        <f>IF(statek5[[#This Row],[Z/W]]="W",-statek5[[#This Row],[ile ton]],statek5[[#This Row],[ile ton]])</f>
        <v>24</v>
      </c>
      <c r="G189">
        <v>9</v>
      </c>
    </row>
    <row r="190" spans="1:7" x14ac:dyDescent="0.25">
      <c r="A190" s="1">
        <v>43362</v>
      </c>
      <c r="B190" t="s">
        <v>13</v>
      </c>
      <c r="C190" t="s">
        <v>11</v>
      </c>
      <c r="D190" t="s">
        <v>8</v>
      </c>
      <c r="E190">
        <v>36</v>
      </c>
      <c r="F190">
        <f>IF(statek5[[#This Row],[Z/W]]="W",-statek5[[#This Row],[ile ton]],statek5[[#This Row],[ile ton]])</f>
        <v>36</v>
      </c>
      <c r="G190">
        <v>26</v>
      </c>
    </row>
    <row r="191" spans="1:7" x14ac:dyDescent="0.25">
      <c r="A191" s="1">
        <v>43362</v>
      </c>
      <c r="B191" t="s">
        <v>13</v>
      </c>
      <c r="C191" t="s">
        <v>7</v>
      </c>
      <c r="D191" t="s">
        <v>8</v>
      </c>
      <c r="E191">
        <v>6</v>
      </c>
      <c r="F191">
        <f>IF(statek5[[#This Row],[Z/W]]="W",-statek5[[#This Row],[ile ton]],statek5[[#This Row],[ile ton]])</f>
        <v>6</v>
      </c>
      <c r="G191">
        <v>68</v>
      </c>
    </row>
    <row r="192" spans="1:7" x14ac:dyDescent="0.25">
      <c r="A192" s="1">
        <v>43381</v>
      </c>
      <c r="B192" t="s">
        <v>15</v>
      </c>
      <c r="C192" t="s">
        <v>11</v>
      </c>
      <c r="D192" t="s">
        <v>14</v>
      </c>
      <c r="E192">
        <v>45</v>
      </c>
      <c r="F192">
        <f>IF(statek5[[#This Row],[Z/W]]="W",-statek5[[#This Row],[ile ton]],statek5[[#This Row],[ile ton]])</f>
        <v>-45</v>
      </c>
      <c r="G192">
        <v>36</v>
      </c>
    </row>
    <row r="193" spans="1:7" x14ac:dyDescent="0.25">
      <c r="A193" s="1">
        <v>43381</v>
      </c>
      <c r="B193" t="s">
        <v>15</v>
      </c>
      <c r="C193" t="s">
        <v>10</v>
      </c>
      <c r="D193" t="s">
        <v>8</v>
      </c>
      <c r="E193">
        <v>18</v>
      </c>
      <c r="F193">
        <f>IF(statek5[[#This Row],[Z/W]]="W",-statek5[[#This Row],[ile ton]],statek5[[#This Row],[ile ton]])</f>
        <v>18</v>
      </c>
      <c r="G193">
        <v>8</v>
      </c>
    </row>
    <row r="194" spans="1:7" x14ac:dyDescent="0.25">
      <c r="A194" s="1">
        <v>43381</v>
      </c>
      <c r="B194" t="s">
        <v>15</v>
      </c>
      <c r="C194" t="s">
        <v>9</v>
      </c>
      <c r="D194" t="s">
        <v>8</v>
      </c>
      <c r="E194">
        <v>20</v>
      </c>
      <c r="F194">
        <f>IF(statek5[[#This Row],[Z/W]]="W",-statek5[[#This Row],[ile ton]],statek5[[#This Row],[ile ton]])</f>
        <v>20</v>
      </c>
      <c r="G194">
        <v>41</v>
      </c>
    </row>
    <row r="195" spans="1:7" x14ac:dyDescent="0.25">
      <c r="A195" s="1">
        <v>43407</v>
      </c>
      <c r="B195" t="s">
        <v>16</v>
      </c>
      <c r="C195" t="s">
        <v>12</v>
      </c>
      <c r="D195" t="s">
        <v>14</v>
      </c>
      <c r="E195">
        <v>4</v>
      </c>
      <c r="F195">
        <f>IF(statek5[[#This Row],[Z/W]]="W",-statek5[[#This Row],[ile ton]],statek5[[#This Row],[ile ton]])</f>
        <v>-4</v>
      </c>
      <c r="G195">
        <v>32</v>
      </c>
    </row>
    <row r="196" spans="1:7" x14ac:dyDescent="0.25">
      <c r="A196" s="1">
        <v>43407</v>
      </c>
      <c r="B196" t="s">
        <v>16</v>
      </c>
      <c r="C196" t="s">
        <v>9</v>
      </c>
      <c r="D196" t="s">
        <v>8</v>
      </c>
      <c r="E196">
        <v>48</v>
      </c>
      <c r="F196">
        <f>IF(statek5[[#This Row],[Z/W]]="W",-statek5[[#This Row],[ile ton]],statek5[[#This Row],[ile ton]])</f>
        <v>48</v>
      </c>
      <c r="G196">
        <v>37</v>
      </c>
    </row>
    <row r="197" spans="1:7" x14ac:dyDescent="0.25">
      <c r="A197" s="1">
        <v>43428</v>
      </c>
      <c r="B197" t="s">
        <v>17</v>
      </c>
      <c r="C197" t="s">
        <v>9</v>
      </c>
      <c r="D197" t="s">
        <v>14</v>
      </c>
      <c r="E197">
        <v>64</v>
      </c>
      <c r="F197">
        <f>IF(statek5[[#This Row],[Z/W]]="W",-statek5[[#This Row],[ile ton]],statek5[[#This Row],[ile ton]])</f>
        <v>-64</v>
      </c>
      <c r="G197">
        <v>61</v>
      </c>
    </row>
    <row r="198" spans="1:7" x14ac:dyDescent="0.25">
      <c r="A198" s="1">
        <v>43428</v>
      </c>
      <c r="B198" t="s">
        <v>17</v>
      </c>
      <c r="C198" t="s">
        <v>7</v>
      </c>
      <c r="D198" t="s">
        <v>8</v>
      </c>
      <c r="E198">
        <v>43</v>
      </c>
      <c r="F198">
        <f>IF(statek5[[#This Row],[Z/W]]="W",-statek5[[#This Row],[ile ton]],statek5[[#This Row],[ile ton]])</f>
        <v>43</v>
      </c>
      <c r="G198">
        <v>63</v>
      </c>
    </row>
    <row r="199" spans="1:7" x14ac:dyDescent="0.25">
      <c r="A199" s="1">
        <v>43428</v>
      </c>
      <c r="B199" t="s">
        <v>17</v>
      </c>
      <c r="C199" t="s">
        <v>11</v>
      </c>
      <c r="D199" t="s">
        <v>8</v>
      </c>
      <c r="E199">
        <v>24</v>
      </c>
      <c r="F199">
        <f>IF(statek5[[#This Row],[Z/W]]="W",-statek5[[#This Row],[ile ton]],statek5[[#This Row],[ile ton]])</f>
        <v>24</v>
      </c>
      <c r="G199">
        <v>24</v>
      </c>
    </row>
    <row r="200" spans="1:7" x14ac:dyDescent="0.25">
      <c r="A200" s="1">
        <v>43452</v>
      </c>
      <c r="B200" t="s">
        <v>18</v>
      </c>
      <c r="C200" t="s">
        <v>9</v>
      </c>
      <c r="D200" t="s">
        <v>14</v>
      </c>
      <c r="E200">
        <v>4</v>
      </c>
      <c r="F200">
        <f>IF(statek5[[#This Row],[Z/W]]="W",-statek5[[#This Row],[ile ton]],statek5[[#This Row],[ile ton]])</f>
        <v>-4</v>
      </c>
      <c r="G200">
        <v>62</v>
      </c>
    </row>
    <row r="201" spans="1:7" x14ac:dyDescent="0.25">
      <c r="A201" s="1">
        <v>43452</v>
      </c>
      <c r="B201" t="s">
        <v>18</v>
      </c>
      <c r="C201" t="s">
        <v>12</v>
      </c>
      <c r="D201" t="s">
        <v>8</v>
      </c>
      <c r="E201">
        <v>35</v>
      </c>
      <c r="F201">
        <f>IF(statek5[[#This Row],[Z/W]]="W",-statek5[[#This Row],[ile ton]],statek5[[#This Row],[ile ton]])</f>
        <v>35</v>
      </c>
      <c r="G201">
        <v>19</v>
      </c>
    </row>
    <row r="202" spans="1:7" x14ac:dyDescent="0.25">
      <c r="A202" s="1">
        <v>43452</v>
      </c>
      <c r="B202" t="s">
        <v>18</v>
      </c>
      <c r="C202" t="s">
        <v>10</v>
      </c>
      <c r="D202" t="s">
        <v>8</v>
      </c>
      <c r="E202">
        <v>41</v>
      </c>
      <c r="F202">
        <f>IF(statek5[[#This Row],[Z/W]]="W",-statek5[[#This Row],[ile ton]],statek5[[#This Row],[ile ton]])</f>
        <v>41</v>
      </c>
      <c r="G202">
        <v>8</v>
      </c>
    </row>
    <row r="203" spans="1:7" x14ac:dyDescent="0.25">
      <c r="A203" s="1">
        <v>43452</v>
      </c>
      <c r="B203" t="s">
        <v>18</v>
      </c>
      <c r="C203" t="s">
        <v>7</v>
      </c>
      <c r="D203" t="s">
        <v>8</v>
      </c>
      <c r="E203">
        <v>23</v>
      </c>
      <c r="F203">
        <f>IF(statek5[[#This Row],[Z/W]]="W",-statek5[[#This Row],[ile ton]],statek5[[#This Row],[ile ton]])</f>
        <v>23</v>
      </c>
      <c r="G203">
        <v>61</v>
      </c>
    </row>
    <row r="204" spans="1:7" x14ac:dyDescent="0.25">
      <c r="A204" s="1">
        <v>43452</v>
      </c>
      <c r="B204" t="s">
        <v>18</v>
      </c>
      <c r="C204" t="s">
        <v>11</v>
      </c>
      <c r="D204" t="s">
        <v>8</v>
      </c>
      <c r="E204">
        <v>46</v>
      </c>
      <c r="F204">
        <f>IF(statek5[[#This Row],[Z/W]]="W",-statek5[[#This Row],[ile ton]],statek5[[#This Row],[ile ton]])</f>
        <v>46</v>
      </c>
      <c r="G204">
        <v>23</v>
      </c>
    </row>
  </sheetData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0472-A56E-4DF7-8E32-44390275DA03}">
  <dimension ref="A1:R203"/>
  <sheetViews>
    <sheetView tabSelected="1" zoomScaleNormal="100" workbookViewId="0">
      <selection activeCell="O1" sqref="O1:P6"/>
    </sheetView>
  </sheetViews>
  <sheetFormatPr defaultColWidth="11.5703125" defaultRowHeight="15" x14ac:dyDescent="0.25"/>
  <cols>
    <col min="1" max="1" width="10.140625" bestFit="1" customWidth="1"/>
    <col min="2" max="2" width="10.140625" customWidth="1"/>
    <col min="3" max="3" width="11.42578125" bestFit="1" customWidth="1"/>
    <col min="4" max="4" width="8.42578125" bestFit="1" customWidth="1"/>
    <col min="5" max="5" width="7.140625" bestFit="1" customWidth="1"/>
    <col min="6" max="6" width="9" bestFit="1" customWidth="1"/>
    <col min="7" max="7" width="24.140625" bestFit="1" customWidth="1"/>
    <col min="8" max="8" width="18.5703125" bestFit="1" customWidth="1"/>
    <col min="9" max="9" width="18.5703125" customWidth="1"/>
  </cols>
  <sheetData>
    <row r="1" spans="1:18" x14ac:dyDescent="0.25">
      <c r="A1" t="s">
        <v>0</v>
      </c>
      <c r="B1" t="s">
        <v>78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79</v>
      </c>
      <c r="I1" t="s">
        <v>81</v>
      </c>
      <c r="J1" t="s">
        <v>80</v>
      </c>
      <c r="K1" t="s">
        <v>82</v>
      </c>
      <c r="L1" t="s">
        <v>89</v>
      </c>
      <c r="M1" t="s">
        <v>90</v>
      </c>
      <c r="O1" s="5" t="s">
        <v>83</v>
      </c>
      <c r="P1" s="5"/>
    </row>
    <row r="2" spans="1:18" x14ac:dyDescent="0.25">
      <c r="A2" s="1">
        <v>42370</v>
      </c>
      <c r="B2">
        <f>O6</f>
        <v>6399</v>
      </c>
      <c r="C2" t="s">
        <v>6</v>
      </c>
      <c r="D2" t="s">
        <v>7</v>
      </c>
      <c r="E2" t="s">
        <v>8</v>
      </c>
      <c r="F2">
        <v>3</v>
      </c>
      <c r="G2">
        <v>80</v>
      </c>
      <c r="H2">
        <f>IF(statek7[[#This Row],[Z/W]]="Z",statek7[[#This Row],[ile ton]]*statek7[[#This Row],[cena za tone w talarach]],0)</f>
        <v>240</v>
      </c>
      <c r="I2">
        <f>statek7[[#This Row],[ile_talarow]]-statek7[[#This Row],[ile_za_zaladunek]]</f>
        <v>6159</v>
      </c>
      <c r="J2">
        <f>IF(statek7[[#This Row],[Z/W]]="W",statek7[[#This Row],[ile ton]]*statek7[[#This Row],[cena za tone w talarach]],0)</f>
        <v>0</v>
      </c>
      <c r="K2">
        <f>statek7[[#This Row],[ile_talarow_po_zaladowaniu]]+statek7[[#This Row],[ile_za_wyładunek]]</f>
        <v>6159</v>
      </c>
      <c r="L2" s="10">
        <v>0</v>
      </c>
      <c r="M2" s="10">
        <f>IF(statek7[[#This Row],[czy_wyplynal]]=1,statek7[[#This Row],[ile_talarow]],0)</f>
        <v>0</v>
      </c>
      <c r="O2" s="5" t="s">
        <v>84</v>
      </c>
      <c r="P2" s="9">
        <v>545844</v>
      </c>
    </row>
    <row r="3" spans="1:18" x14ac:dyDescent="0.25">
      <c r="A3" s="1">
        <v>42370</v>
      </c>
      <c r="B3">
        <f>K2</f>
        <v>6159</v>
      </c>
      <c r="C3" t="s">
        <v>6</v>
      </c>
      <c r="D3" t="s">
        <v>9</v>
      </c>
      <c r="E3" t="s">
        <v>8</v>
      </c>
      <c r="F3">
        <v>32</v>
      </c>
      <c r="G3">
        <v>50</v>
      </c>
      <c r="H3">
        <f>IF(statek7[[#This Row],[Z/W]]="Z",statek7[[#This Row],[ile ton]]*statek7[[#This Row],[cena za tone w talarach]],0)</f>
        <v>1600</v>
      </c>
      <c r="I3">
        <f>statek7[[#This Row],[ile_talarow]]-statek7[[#This Row],[ile_za_zaladunek]]</f>
        <v>4559</v>
      </c>
      <c r="J3">
        <f>IF(statek7[[#This Row],[Z/W]]="W",statek7[[#This Row],[ile ton]]*statek7[[#This Row],[cena za tone w talarach]],0)</f>
        <v>0</v>
      </c>
      <c r="K3">
        <f>statek7[[#This Row],[ile_talarow_po_zaladowaniu]]+statek7[[#This Row],[ile_za_wyładunek]]</f>
        <v>4559</v>
      </c>
      <c r="L3" s="10">
        <f>IF(statek7[[#This Row],[port]]&lt;&gt;C2,1,0)</f>
        <v>0</v>
      </c>
      <c r="M3" s="10">
        <f>IF(statek7[[#This Row],[czy_wyplynal]]=1,statek7[[#This Row],[ile_talarow]],0)</f>
        <v>0</v>
      </c>
      <c r="O3" s="5" t="s">
        <v>85</v>
      </c>
      <c r="P3" s="5" t="s">
        <v>78</v>
      </c>
    </row>
    <row r="4" spans="1:18" x14ac:dyDescent="0.25">
      <c r="A4" s="1">
        <v>42370</v>
      </c>
      <c r="B4">
        <f t="shared" ref="B4:B67" si="0">K3</f>
        <v>4559</v>
      </c>
      <c r="C4" t="s">
        <v>6</v>
      </c>
      <c r="D4" t="s">
        <v>10</v>
      </c>
      <c r="E4" t="s">
        <v>8</v>
      </c>
      <c r="F4">
        <v>38</v>
      </c>
      <c r="G4">
        <v>10</v>
      </c>
      <c r="H4">
        <f>IF(statek7[[#This Row],[Z/W]]="Z",statek7[[#This Row],[ile ton]]*statek7[[#This Row],[cena za tone w talarach]],0)</f>
        <v>380</v>
      </c>
      <c r="I4">
        <f>statek7[[#This Row],[ile_talarow]]-statek7[[#This Row],[ile_za_zaladunek]]</f>
        <v>4179</v>
      </c>
      <c r="J4">
        <f>IF(statek7[[#This Row],[Z/W]]="W",statek7[[#This Row],[ile ton]]*statek7[[#This Row],[cena za tone w talarach]],0)</f>
        <v>0</v>
      </c>
      <c r="K4">
        <f>statek7[[#This Row],[ile_talarow_po_zaladowaniu]]+statek7[[#This Row],[ile_za_wyładunek]]</f>
        <v>4179</v>
      </c>
      <c r="L4" s="10">
        <f>IF(statek7[[#This Row],[port]]&lt;&gt;C3,1,0)</f>
        <v>0</v>
      </c>
      <c r="M4" s="10">
        <f>IF(statek7[[#This Row],[czy_wyplynal]]=1,statek7[[#This Row],[ile_talarow]],0)</f>
        <v>0</v>
      </c>
      <c r="O4" s="8">
        <v>43381</v>
      </c>
      <c r="P4" s="5">
        <v>550079</v>
      </c>
      <c r="Q4" t="s">
        <v>85</v>
      </c>
      <c r="R4" t="s">
        <v>87</v>
      </c>
    </row>
    <row r="5" spans="1:18" x14ac:dyDescent="0.25">
      <c r="A5" s="1">
        <v>42370</v>
      </c>
      <c r="B5">
        <f t="shared" si="0"/>
        <v>4179</v>
      </c>
      <c r="C5" t="s">
        <v>6</v>
      </c>
      <c r="D5" t="s">
        <v>11</v>
      </c>
      <c r="E5" t="s">
        <v>8</v>
      </c>
      <c r="F5">
        <v>33</v>
      </c>
      <c r="G5">
        <v>30</v>
      </c>
      <c r="H5">
        <f>IF(statek7[[#This Row],[Z/W]]="Z",statek7[[#This Row],[ile ton]]*statek7[[#This Row],[cena za tone w talarach]],0)</f>
        <v>990</v>
      </c>
      <c r="I5">
        <f>statek7[[#This Row],[ile_talarow]]-statek7[[#This Row],[ile_za_zaladunek]]</f>
        <v>3189</v>
      </c>
      <c r="J5">
        <f>IF(statek7[[#This Row],[Z/W]]="W",statek7[[#This Row],[ile ton]]*statek7[[#This Row],[cena za tone w talarach]],0)</f>
        <v>0</v>
      </c>
      <c r="K5">
        <f>statek7[[#This Row],[ile_talarow_po_zaladowaniu]]+statek7[[#This Row],[ile_za_wyładunek]]</f>
        <v>3189</v>
      </c>
      <c r="L5" s="10">
        <f>IF(statek7[[#This Row],[port]]&lt;&gt;C4,1,0)</f>
        <v>0</v>
      </c>
      <c r="M5" s="10">
        <f>IF(statek7[[#This Row],[czy_wyplynal]]=1,statek7[[#This Row],[ile_talarow]],0)</f>
        <v>0</v>
      </c>
      <c r="O5" s="5" t="s">
        <v>86</v>
      </c>
      <c r="Q5" s="1" cm="1">
        <f t="array" ref="Q5">INDEX(statek7[],MATCH(R5,statek7[ile_po_wyladunku],0)-1,1)</f>
        <v>43381</v>
      </c>
      <c r="R5">
        <f>MAX(statek7[kwota_dzien_przed_wyplynieciem])</f>
        <v>56478</v>
      </c>
    </row>
    <row r="6" spans="1:18" x14ac:dyDescent="0.25">
      <c r="A6" s="1">
        <v>42370</v>
      </c>
      <c r="B6">
        <f t="shared" si="0"/>
        <v>3189</v>
      </c>
      <c r="C6" t="s">
        <v>6</v>
      </c>
      <c r="D6" t="s">
        <v>12</v>
      </c>
      <c r="E6" t="s">
        <v>8</v>
      </c>
      <c r="F6">
        <v>43</v>
      </c>
      <c r="G6">
        <v>25</v>
      </c>
      <c r="H6">
        <f>IF(statek7[[#This Row],[Z/W]]="Z",statek7[[#This Row],[ile ton]]*statek7[[#This Row],[cena za tone w talarach]],0)</f>
        <v>1075</v>
      </c>
      <c r="I6">
        <f>statek7[[#This Row],[ile_talarow]]-statek7[[#This Row],[ile_za_zaladunek]]</f>
        <v>2114</v>
      </c>
      <c r="J6">
        <f>IF(statek7[[#This Row],[Z/W]]="W",statek7[[#This Row],[ile ton]]*statek7[[#This Row],[cena za tone w talarach]],0)</f>
        <v>0</v>
      </c>
      <c r="K6">
        <f>statek7[[#This Row],[ile_talarow_po_zaladowaniu]]+statek7[[#This Row],[ile_za_wyładunek]]</f>
        <v>2114</v>
      </c>
      <c r="L6" s="10">
        <f>IF(statek7[[#This Row],[port]]&lt;&gt;C5,1,0)</f>
        <v>0</v>
      </c>
      <c r="M6" s="10">
        <f>IF(statek7[[#This Row],[czy_wyplynal]]=1,statek7[[#This Row],[ile_talarow]],0)</f>
        <v>0</v>
      </c>
      <c r="O6" s="5">
        <v>6399</v>
      </c>
    </row>
    <row r="7" spans="1:18" x14ac:dyDescent="0.25">
      <c r="A7" s="1">
        <v>42385</v>
      </c>
      <c r="B7">
        <f t="shared" si="0"/>
        <v>2114</v>
      </c>
      <c r="C7" t="s">
        <v>13</v>
      </c>
      <c r="D7" t="s">
        <v>9</v>
      </c>
      <c r="E7" t="s">
        <v>14</v>
      </c>
      <c r="F7">
        <v>32</v>
      </c>
      <c r="G7">
        <v>58</v>
      </c>
      <c r="H7">
        <f>IF(statek7[[#This Row],[Z/W]]="Z",statek7[[#This Row],[ile ton]]*statek7[[#This Row],[cena za tone w talarach]],0)</f>
        <v>0</v>
      </c>
      <c r="I7">
        <f>statek7[[#This Row],[ile_talarow]]-statek7[[#This Row],[ile_za_zaladunek]]</f>
        <v>2114</v>
      </c>
      <c r="J7">
        <f>IF(statek7[[#This Row],[Z/W]]="W",statek7[[#This Row],[ile ton]]*statek7[[#This Row],[cena za tone w talarach]],0)</f>
        <v>1856</v>
      </c>
      <c r="K7">
        <f>statek7[[#This Row],[ile_talarow_po_zaladowaniu]]+statek7[[#This Row],[ile_za_wyładunek]]</f>
        <v>3970</v>
      </c>
      <c r="L7" s="10">
        <f>IF(statek7[[#This Row],[port]]&lt;&gt;C6,1,0)</f>
        <v>1</v>
      </c>
      <c r="M7" s="10">
        <f>IF(statek7[[#This Row],[czy_wyplynal]]=1,statek7[[#This Row],[ile_talarow]],0)</f>
        <v>2114</v>
      </c>
      <c r="Q7" t="s">
        <v>88</v>
      </c>
      <c r="R7">
        <f>COUNTIF(statek7[ile_po_wyladunku],"&lt;0")</f>
        <v>0</v>
      </c>
    </row>
    <row r="8" spans="1:18" x14ac:dyDescent="0.25">
      <c r="A8" s="1">
        <v>42385</v>
      </c>
      <c r="B8">
        <f t="shared" si="0"/>
        <v>3970</v>
      </c>
      <c r="C8" t="s">
        <v>13</v>
      </c>
      <c r="D8" t="s">
        <v>11</v>
      </c>
      <c r="E8" t="s">
        <v>8</v>
      </c>
      <c r="F8">
        <v>14</v>
      </c>
      <c r="G8">
        <v>26</v>
      </c>
      <c r="H8">
        <f>IF(statek7[[#This Row],[Z/W]]="Z",statek7[[#This Row],[ile ton]]*statek7[[#This Row],[cena za tone w talarach]],0)</f>
        <v>364</v>
      </c>
      <c r="I8">
        <f>statek7[[#This Row],[ile_talarow]]-statek7[[#This Row],[ile_za_zaladunek]]</f>
        <v>3606</v>
      </c>
      <c r="J8">
        <f>IF(statek7[[#This Row],[Z/W]]="W",statek7[[#This Row],[ile ton]]*statek7[[#This Row],[cena za tone w talarach]],0)</f>
        <v>0</v>
      </c>
      <c r="K8">
        <f>statek7[[#This Row],[ile_talarow_po_zaladowaniu]]+statek7[[#This Row],[ile_za_wyładunek]]</f>
        <v>3606</v>
      </c>
      <c r="L8" s="10">
        <f>IF(statek7[[#This Row],[port]]&lt;&gt;C7,1,0)</f>
        <v>0</v>
      </c>
      <c r="M8" s="10">
        <f>IF(statek7[[#This Row],[czy_wyplynal]]=1,statek7[[#This Row],[ile_talarow]],0)</f>
        <v>0</v>
      </c>
    </row>
    <row r="9" spans="1:18" x14ac:dyDescent="0.25">
      <c r="A9" s="1">
        <v>42393</v>
      </c>
      <c r="B9">
        <f t="shared" si="0"/>
        <v>3606</v>
      </c>
      <c r="C9" t="s">
        <v>15</v>
      </c>
      <c r="D9" t="s">
        <v>9</v>
      </c>
      <c r="E9" t="s">
        <v>8</v>
      </c>
      <c r="F9">
        <v>44</v>
      </c>
      <c r="G9">
        <v>46</v>
      </c>
      <c r="H9">
        <f>IF(statek7[[#This Row],[Z/W]]="Z",statek7[[#This Row],[ile ton]]*statek7[[#This Row],[cena za tone w talarach]],0)</f>
        <v>2024</v>
      </c>
      <c r="I9">
        <f>statek7[[#This Row],[ile_talarow]]-statek7[[#This Row],[ile_za_zaladunek]]</f>
        <v>1582</v>
      </c>
      <c r="J9">
        <f>IF(statek7[[#This Row],[Z/W]]="W",statek7[[#This Row],[ile ton]]*statek7[[#This Row],[cena za tone w talarach]],0)</f>
        <v>0</v>
      </c>
      <c r="K9">
        <f>statek7[[#This Row],[ile_talarow_po_zaladowaniu]]+statek7[[#This Row],[ile_za_wyładunek]]</f>
        <v>1582</v>
      </c>
      <c r="L9" s="10">
        <f>IF(statek7[[#This Row],[port]]&lt;&gt;C8,1,0)</f>
        <v>1</v>
      </c>
      <c r="M9" s="10">
        <f>IF(statek7[[#This Row],[czy_wyplynal]]=1,statek7[[#This Row],[ile_talarow]],0)</f>
        <v>3606</v>
      </c>
    </row>
    <row r="10" spans="1:18" x14ac:dyDescent="0.25">
      <c r="A10" s="1">
        <v>42393</v>
      </c>
      <c r="B10">
        <f t="shared" si="0"/>
        <v>1582</v>
      </c>
      <c r="C10" t="s">
        <v>15</v>
      </c>
      <c r="D10" t="s">
        <v>11</v>
      </c>
      <c r="E10" t="s">
        <v>8</v>
      </c>
      <c r="F10">
        <v>1</v>
      </c>
      <c r="G10">
        <v>28</v>
      </c>
      <c r="H10">
        <f>IF(statek7[[#This Row],[Z/W]]="Z",statek7[[#This Row],[ile ton]]*statek7[[#This Row],[cena za tone w talarach]],0)</f>
        <v>28</v>
      </c>
      <c r="I10">
        <f>statek7[[#This Row],[ile_talarow]]-statek7[[#This Row],[ile_za_zaladunek]]</f>
        <v>1554</v>
      </c>
      <c r="J10">
        <f>IF(statek7[[#This Row],[Z/W]]="W",statek7[[#This Row],[ile ton]]*statek7[[#This Row],[cena za tone w talarach]],0)</f>
        <v>0</v>
      </c>
      <c r="K10">
        <f>statek7[[#This Row],[ile_talarow_po_zaladowaniu]]+statek7[[#This Row],[ile_za_wyładunek]]</f>
        <v>1554</v>
      </c>
      <c r="L10" s="10">
        <f>IF(statek7[[#This Row],[port]]&lt;&gt;C9,1,0)</f>
        <v>0</v>
      </c>
      <c r="M10" s="10">
        <f>IF(statek7[[#This Row],[czy_wyplynal]]=1,statek7[[#This Row],[ile_talarow]],0)</f>
        <v>0</v>
      </c>
    </row>
    <row r="11" spans="1:18" x14ac:dyDescent="0.25">
      <c r="A11" s="1">
        <v>42393</v>
      </c>
      <c r="B11">
        <f t="shared" si="0"/>
        <v>1554</v>
      </c>
      <c r="C11" t="s">
        <v>15</v>
      </c>
      <c r="D11" t="s">
        <v>7</v>
      </c>
      <c r="E11" t="s">
        <v>8</v>
      </c>
      <c r="F11">
        <v>21</v>
      </c>
      <c r="G11">
        <v>74</v>
      </c>
      <c r="H11">
        <f>IF(statek7[[#This Row],[Z/W]]="Z",statek7[[#This Row],[ile ton]]*statek7[[#This Row],[cena za tone w talarach]],0)</f>
        <v>1554</v>
      </c>
      <c r="I11">
        <f>statek7[[#This Row],[ile_talarow]]-statek7[[#This Row],[ile_za_zaladunek]]</f>
        <v>0</v>
      </c>
      <c r="J11">
        <f>IF(statek7[[#This Row],[Z/W]]="W",statek7[[#This Row],[ile ton]]*statek7[[#This Row],[cena za tone w talarach]],0)</f>
        <v>0</v>
      </c>
      <c r="K11">
        <f>statek7[[#This Row],[ile_talarow_po_zaladowaniu]]+statek7[[#This Row],[ile_za_wyładunek]]</f>
        <v>0</v>
      </c>
      <c r="L11" s="10">
        <f>IF(statek7[[#This Row],[port]]&lt;&gt;C10,1,0)</f>
        <v>0</v>
      </c>
      <c r="M11" s="10">
        <f>IF(statek7[[#This Row],[czy_wyplynal]]=1,statek7[[#This Row],[ile_talarow]],0)</f>
        <v>0</v>
      </c>
    </row>
    <row r="12" spans="1:18" x14ac:dyDescent="0.25">
      <c r="A12" s="1">
        <v>42419</v>
      </c>
      <c r="B12">
        <f t="shared" si="0"/>
        <v>0</v>
      </c>
      <c r="C12" t="s">
        <v>16</v>
      </c>
      <c r="D12" t="s">
        <v>12</v>
      </c>
      <c r="E12" t="s">
        <v>14</v>
      </c>
      <c r="F12">
        <v>43</v>
      </c>
      <c r="G12">
        <v>32</v>
      </c>
      <c r="H12">
        <f>IF(statek7[[#This Row],[Z/W]]="Z",statek7[[#This Row],[ile ton]]*statek7[[#This Row],[cena za tone w talarach]],0)</f>
        <v>0</v>
      </c>
      <c r="I12">
        <f>statek7[[#This Row],[ile_talarow]]-statek7[[#This Row],[ile_za_zaladunek]]</f>
        <v>0</v>
      </c>
      <c r="J12">
        <f>IF(statek7[[#This Row],[Z/W]]="W",statek7[[#This Row],[ile ton]]*statek7[[#This Row],[cena za tone w talarach]],0)</f>
        <v>1376</v>
      </c>
      <c r="K12">
        <f>statek7[[#This Row],[ile_talarow_po_zaladowaniu]]+statek7[[#This Row],[ile_za_wyładunek]]</f>
        <v>1376</v>
      </c>
      <c r="L12" s="10">
        <f>IF(statek7[[#This Row],[port]]&lt;&gt;C11,1,0)</f>
        <v>1</v>
      </c>
      <c r="M12" s="10">
        <f>IF(statek7[[#This Row],[czy_wyplynal]]=1,statek7[[#This Row],[ile_talarow]],0)</f>
        <v>0</v>
      </c>
    </row>
    <row r="13" spans="1:18" x14ac:dyDescent="0.25">
      <c r="A13" s="1">
        <v>42419</v>
      </c>
      <c r="B13">
        <f t="shared" si="0"/>
        <v>1376</v>
      </c>
      <c r="C13" t="s">
        <v>16</v>
      </c>
      <c r="D13" t="s">
        <v>10</v>
      </c>
      <c r="E13" t="s">
        <v>14</v>
      </c>
      <c r="F13">
        <v>38</v>
      </c>
      <c r="G13">
        <v>13</v>
      </c>
      <c r="H13">
        <f>IF(statek7[[#This Row],[Z/W]]="Z",statek7[[#This Row],[ile ton]]*statek7[[#This Row],[cena za tone w talarach]],0)</f>
        <v>0</v>
      </c>
      <c r="I13">
        <f>statek7[[#This Row],[ile_talarow]]-statek7[[#This Row],[ile_za_zaladunek]]</f>
        <v>1376</v>
      </c>
      <c r="J13">
        <f>IF(statek7[[#This Row],[Z/W]]="W",statek7[[#This Row],[ile ton]]*statek7[[#This Row],[cena za tone w talarach]],0)</f>
        <v>494</v>
      </c>
      <c r="K13">
        <f>statek7[[#This Row],[ile_talarow_po_zaladowaniu]]+statek7[[#This Row],[ile_za_wyładunek]]</f>
        <v>1870</v>
      </c>
      <c r="L13" s="10">
        <f>IF(statek7[[#This Row],[port]]&lt;&gt;C12,1,0)</f>
        <v>0</v>
      </c>
      <c r="M13" s="10">
        <f>IF(statek7[[#This Row],[czy_wyplynal]]=1,statek7[[#This Row],[ile_talarow]],0)</f>
        <v>0</v>
      </c>
    </row>
    <row r="14" spans="1:18" x14ac:dyDescent="0.25">
      <c r="A14" s="1">
        <v>42419</v>
      </c>
      <c r="B14">
        <f t="shared" si="0"/>
        <v>1870</v>
      </c>
      <c r="C14" t="s">
        <v>16</v>
      </c>
      <c r="D14" t="s">
        <v>7</v>
      </c>
      <c r="E14" t="s">
        <v>8</v>
      </c>
      <c r="F14">
        <v>9</v>
      </c>
      <c r="G14">
        <v>59</v>
      </c>
      <c r="H14">
        <f>IF(statek7[[#This Row],[Z/W]]="Z",statek7[[#This Row],[ile ton]]*statek7[[#This Row],[cena za tone w talarach]],0)</f>
        <v>531</v>
      </c>
      <c r="I14">
        <f>statek7[[#This Row],[ile_talarow]]-statek7[[#This Row],[ile_za_zaladunek]]</f>
        <v>1339</v>
      </c>
      <c r="J14">
        <f>IF(statek7[[#This Row],[Z/W]]="W",statek7[[#This Row],[ile ton]]*statek7[[#This Row],[cena za tone w talarach]],0)</f>
        <v>0</v>
      </c>
      <c r="K14">
        <f>statek7[[#This Row],[ile_talarow_po_zaladowaniu]]+statek7[[#This Row],[ile_za_wyładunek]]</f>
        <v>1339</v>
      </c>
      <c r="L14" s="10">
        <f>IF(statek7[[#This Row],[port]]&lt;&gt;C13,1,0)</f>
        <v>0</v>
      </c>
      <c r="M14" s="10">
        <f>IF(statek7[[#This Row],[czy_wyplynal]]=1,statek7[[#This Row],[ile_talarow]],0)</f>
        <v>0</v>
      </c>
    </row>
    <row r="15" spans="1:18" x14ac:dyDescent="0.25">
      <c r="A15" s="1">
        <v>42419</v>
      </c>
      <c r="B15">
        <f t="shared" si="0"/>
        <v>1339</v>
      </c>
      <c r="C15" t="s">
        <v>16</v>
      </c>
      <c r="D15" t="s">
        <v>9</v>
      </c>
      <c r="E15" t="s">
        <v>8</v>
      </c>
      <c r="F15">
        <v>8</v>
      </c>
      <c r="G15">
        <v>37</v>
      </c>
      <c r="H15">
        <f>IF(statek7[[#This Row],[Z/W]]="Z",statek7[[#This Row],[ile ton]]*statek7[[#This Row],[cena za tone w talarach]],0)</f>
        <v>296</v>
      </c>
      <c r="I15">
        <f>statek7[[#This Row],[ile_talarow]]-statek7[[#This Row],[ile_za_zaladunek]]</f>
        <v>1043</v>
      </c>
      <c r="J15">
        <f>IF(statek7[[#This Row],[Z/W]]="W",statek7[[#This Row],[ile ton]]*statek7[[#This Row],[cena za tone w talarach]],0)</f>
        <v>0</v>
      </c>
      <c r="K15">
        <f>statek7[[#This Row],[ile_talarow_po_zaladowaniu]]+statek7[[#This Row],[ile_za_wyładunek]]</f>
        <v>1043</v>
      </c>
      <c r="L15" s="10">
        <f>IF(statek7[[#This Row],[port]]&lt;&gt;C14,1,0)</f>
        <v>0</v>
      </c>
      <c r="M15" s="10">
        <f>IF(statek7[[#This Row],[czy_wyplynal]]=1,statek7[[#This Row],[ile_talarow]],0)</f>
        <v>0</v>
      </c>
    </row>
    <row r="16" spans="1:18" x14ac:dyDescent="0.25">
      <c r="A16" s="1">
        <v>42440</v>
      </c>
      <c r="B16">
        <f t="shared" si="0"/>
        <v>1043</v>
      </c>
      <c r="C16" t="s">
        <v>17</v>
      </c>
      <c r="D16" t="s">
        <v>9</v>
      </c>
      <c r="E16" t="s">
        <v>14</v>
      </c>
      <c r="F16">
        <v>50</v>
      </c>
      <c r="G16">
        <v>61</v>
      </c>
      <c r="H16">
        <f>IF(statek7[[#This Row],[Z/W]]="Z",statek7[[#This Row],[ile ton]]*statek7[[#This Row],[cena za tone w talarach]],0)</f>
        <v>0</v>
      </c>
      <c r="I16">
        <f>statek7[[#This Row],[ile_talarow]]-statek7[[#This Row],[ile_za_zaladunek]]</f>
        <v>1043</v>
      </c>
      <c r="J16">
        <f>IF(statek7[[#This Row],[Z/W]]="W",statek7[[#This Row],[ile ton]]*statek7[[#This Row],[cena za tone w talarach]],0)</f>
        <v>3050</v>
      </c>
      <c r="K16">
        <f>statek7[[#This Row],[ile_talarow_po_zaladowaniu]]+statek7[[#This Row],[ile_za_wyładunek]]</f>
        <v>4093</v>
      </c>
      <c r="L16" s="10">
        <f>IF(statek7[[#This Row],[port]]&lt;&gt;C15,1,0)</f>
        <v>1</v>
      </c>
      <c r="M16" s="10">
        <f>IF(statek7[[#This Row],[czy_wyplynal]]=1,statek7[[#This Row],[ile_talarow]],0)</f>
        <v>1043</v>
      </c>
    </row>
    <row r="17" spans="1:13" x14ac:dyDescent="0.25">
      <c r="A17" s="1">
        <v>42440</v>
      </c>
      <c r="B17">
        <f t="shared" si="0"/>
        <v>4093</v>
      </c>
      <c r="C17" t="s">
        <v>17</v>
      </c>
      <c r="D17" t="s">
        <v>12</v>
      </c>
      <c r="E17" t="s">
        <v>8</v>
      </c>
      <c r="F17">
        <v>32</v>
      </c>
      <c r="G17">
        <v>20</v>
      </c>
      <c r="H17">
        <f>IF(statek7[[#This Row],[Z/W]]="Z",statek7[[#This Row],[ile ton]]*statek7[[#This Row],[cena za tone w talarach]],0)</f>
        <v>640</v>
      </c>
      <c r="I17">
        <f>statek7[[#This Row],[ile_talarow]]-statek7[[#This Row],[ile_za_zaladunek]]</f>
        <v>3453</v>
      </c>
      <c r="J17">
        <f>IF(statek7[[#This Row],[Z/W]]="W",statek7[[#This Row],[ile ton]]*statek7[[#This Row],[cena za tone w talarach]],0)</f>
        <v>0</v>
      </c>
      <c r="K17">
        <f>statek7[[#This Row],[ile_talarow_po_zaladowaniu]]+statek7[[#This Row],[ile_za_wyładunek]]</f>
        <v>3453</v>
      </c>
      <c r="L17" s="10">
        <f>IF(statek7[[#This Row],[port]]&lt;&gt;C16,1,0)</f>
        <v>0</v>
      </c>
      <c r="M17" s="10">
        <f>IF(statek7[[#This Row],[czy_wyplynal]]=1,statek7[[#This Row],[ile_talarow]],0)</f>
        <v>0</v>
      </c>
    </row>
    <row r="18" spans="1:13" x14ac:dyDescent="0.25">
      <c r="A18" s="1">
        <v>42440</v>
      </c>
      <c r="B18">
        <f t="shared" si="0"/>
        <v>3453</v>
      </c>
      <c r="C18" t="s">
        <v>17</v>
      </c>
      <c r="D18" t="s">
        <v>10</v>
      </c>
      <c r="E18" t="s">
        <v>8</v>
      </c>
      <c r="F18">
        <v>7</v>
      </c>
      <c r="G18">
        <v>8</v>
      </c>
      <c r="H18">
        <f>IF(statek7[[#This Row],[Z/W]]="Z",statek7[[#This Row],[ile ton]]*statek7[[#This Row],[cena za tone w talarach]],0)</f>
        <v>56</v>
      </c>
      <c r="I18">
        <f>statek7[[#This Row],[ile_talarow]]-statek7[[#This Row],[ile_za_zaladunek]]</f>
        <v>3397</v>
      </c>
      <c r="J18">
        <f>IF(statek7[[#This Row],[Z/W]]="W",statek7[[#This Row],[ile ton]]*statek7[[#This Row],[cena za tone w talarach]],0)</f>
        <v>0</v>
      </c>
      <c r="K18">
        <f>statek7[[#This Row],[ile_talarow_po_zaladowaniu]]+statek7[[#This Row],[ile_za_wyładunek]]</f>
        <v>3397</v>
      </c>
      <c r="L18" s="10">
        <f>IF(statek7[[#This Row],[port]]&lt;&gt;C17,1,0)</f>
        <v>0</v>
      </c>
      <c r="M18" s="10">
        <f>IF(statek7[[#This Row],[czy_wyplynal]]=1,statek7[[#This Row],[ile_talarow]],0)</f>
        <v>0</v>
      </c>
    </row>
    <row r="19" spans="1:13" x14ac:dyDescent="0.25">
      <c r="A19" s="1">
        <v>42440</v>
      </c>
      <c r="B19">
        <f t="shared" si="0"/>
        <v>3397</v>
      </c>
      <c r="C19" t="s">
        <v>17</v>
      </c>
      <c r="D19" t="s">
        <v>11</v>
      </c>
      <c r="E19" t="s">
        <v>8</v>
      </c>
      <c r="F19">
        <v>10</v>
      </c>
      <c r="G19">
        <v>24</v>
      </c>
      <c r="H19">
        <f>IF(statek7[[#This Row],[Z/W]]="Z",statek7[[#This Row],[ile ton]]*statek7[[#This Row],[cena za tone w talarach]],0)</f>
        <v>240</v>
      </c>
      <c r="I19">
        <f>statek7[[#This Row],[ile_talarow]]-statek7[[#This Row],[ile_za_zaladunek]]</f>
        <v>3157</v>
      </c>
      <c r="J19">
        <f>IF(statek7[[#This Row],[Z/W]]="W",statek7[[#This Row],[ile ton]]*statek7[[#This Row],[cena za tone w talarach]],0)</f>
        <v>0</v>
      </c>
      <c r="K19">
        <f>statek7[[#This Row],[ile_talarow_po_zaladowaniu]]+statek7[[#This Row],[ile_za_wyładunek]]</f>
        <v>3157</v>
      </c>
      <c r="L19" s="10">
        <f>IF(statek7[[#This Row],[port]]&lt;&gt;C18,1,0)</f>
        <v>0</v>
      </c>
      <c r="M19" s="10">
        <f>IF(statek7[[#This Row],[czy_wyplynal]]=1,statek7[[#This Row],[ile_talarow]],0)</f>
        <v>0</v>
      </c>
    </row>
    <row r="20" spans="1:13" x14ac:dyDescent="0.25">
      <c r="A20" s="1">
        <v>42464</v>
      </c>
      <c r="B20">
        <f t="shared" si="0"/>
        <v>3157</v>
      </c>
      <c r="C20" t="s">
        <v>18</v>
      </c>
      <c r="D20" t="s">
        <v>10</v>
      </c>
      <c r="E20" t="s">
        <v>14</v>
      </c>
      <c r="F20">
        <v>7</v>
      </c>
      <c r="G20">
        <v>12</v>
      </c>
      <c r="H20">
        <f>IF(statek7[[#This Row],[Z/W]]="Z",statek7[[#This Row],[ile ton]]*statek7[[#This Row],[cena za tone w talarach]],0)</f>
        <v>0</v>
      </c>
      <c r="I20">
        <f>statek7[[#This Row],[ile_talarow]]-statek7[[#This Row],[ile_za_zaladunek]]</f>
        <v>3157</v>
      </c>
      <c r="J20">
        <f>IF(statek7[[#This Row],[Z/W]]="W",statek7[[#This Row],[ile ton]]*statek7[[#This Row],[cena za tone w talarach]],0)</f>
        <v>84</v>
      </c>
      <c r="K20">
        <f>statek7[[#This Row],[ile_talarow_po_zaladowaniu]]+statek7[[#This Row],[ile_za_wyładunek]]</f>
        <v>3241</v>
      </c>
      <c r="L20" s="10">
        <f>IF(statek7[[#This Row],[port]]&lt;&gt;C19,1,0)</f>
        <v>1</v>
      </c>
      <c r="M20" s="10">
        <f>IF(statek7[[#This Row],[czy_wyplynal]]=1,statek7[[#This Row],[ile_talarow]],0)</f>
        <v>3157</v>
      </c>
    </row>
    <row r="21" spans="1:13" x14ac:dyDescent="0.25">
      <c r="A21" s="1">
        <v>42464</v>
      </c>
      <c r="B21">
        <f t="shared" si="0"/>
        <v>3241</v>
      </c>
      <c r="C21" t="s">
        <v>18</v>
      </c>
      <c r="D21" t="s">
        <v>12</v>
      </c>
      <c r="E21" t="s">
        <v>8</v>
      </c>
      <c r="F21">
        <v>25</v>
      </c>
      <c r="G21">
        <v>19</v>
      </c>
      <c r="H21">
        <f>IF(statek7[[#This Row],[Z/W]]="Z",statek7[[#This Row],[ile ton]]*statek7[[#This Row],[cena za tone w talarach]],0)</f>
        <v>475</v>
      </c>
      <c r="I21">
        <f>statek7[[#This Row],[ile_talarow]]-statek7[[#This Row],[ile_za_zaladunek]]</f>
        <v>2766</v>
      </c>
      <c r="J21">
        <f>IF(statek7[[#This Row],[Z/W]]="W",statek7[[#This Row],[ile ton]]*statek7[[#This Row],[cena za tone w talarach]],0)</f>
        <v>0</v>
      </c>
      <c r="K21">
        <f>statek7[[#This Row],[ile_talarow_po_zaladowaniu]]+statek7[[#This Row],[ile_za_wyładunek]]</f>
        <v>2766</v>
      </c>
      <c r="L21" s="10">
        <f>IF(statek7[[#This Row],[port]]&lt;&gt;C20,1,0)</f>
        <v>0</v>
      </c>
      <c r="M21" s="10">
        <f>IF(statek7[[#This Row],[czy_wyplynal]]=1,statek7[[#This Row],[ile_talarow]],0)</f>
        <v>0</v>
      </c>
    </row>
    <row r="22" spans="1:13" x14ac:dyDescent="0.25">
      <c r="A22" s="1">
        <v>42464</v>
      </c>
      <c r="B22">
        <f t="shared" si="0"/>
        <v>2766</v>
      </c>
      <c r="C22" t="s">
        <v>18</v>
      </c>
      <c r="D22" t="s">
        <v>9</v>
      </c>
      <c r="E22" t="s">
        <v>8</v>
      </c>
      <c r="F22">
        <v>33</v>
      </c>
      <c r="G22">
        <v>38</v>
      </c>
      <c r="H22">
        <f>IF(statek7[[#This Row],[Z/W]]="Z",statek7[[#This Row],[ile ton]]*statek7[[#This Row],[cena za tone w talarach]],0)</f>
        <v>1254</v>
      </c>
      <c r="I22">
        <f>statek7[[#This Row],[ile_talarow]]-statek7[[#This Row],[ile_za_zaladunek]]</f>
        <v>1512</v>
      </c>
      <c r="J22">
        <f>IF(statek7[[#This Row],[Z/W]]="W",statek7[[#This Row],[ile ton]]*statek7[[#This Row],[cena za tone w talarach]],0)</f>
        <v>0</v>
      </c>
      <c r="K22">
        <f>statek7[[#This Row],[ile_talarow_po_zaladowaniu]]+statek7[[#This Row],[ile_za_wyładunek]]</f>
        <v>1512</v>
      </c>
      <c r="L22" s="10">
        <f>IF(statek7[[#This Row],[port]]&lt;&gt;C21,1,0)</f>
        <v>0</v>
      </c>
      <c r="M22" s="10">
        <f>IF(statek7[[#This Row],[czy_wyplynal]]=1,statek7[[#This Row],[ile_talarow]],0)</f>
        <v>0</v>
      </c>
    </row>
    <row r="23" spans="1:13" x14ac:dyDescent="0.25">
      <c r="A23" s="1">
        <v>42482</v>
      </c>
      <c r="B23">
        <f t="shared" si="0"/>
        <v>1512</v>
      </c>
      <c r="C23" t="s">
        <v>19</v>
      </c>
      <c r="D23" t="s">
        <v>11</v>
      </c>
      <c r="E23" t="s">
        <v>14</v>
      </c>
      <c r="F23">
        <v>36</v>
      </c>
      <c r="G23">
        <v>35</v>
      </c>
      <c r="H23">
        <f>IF(statek7[[#This Row],[Z/W]]="Z",statek7[[#This Row],[ile ton]]*statek7[[#This Row],[cena za tone w talarach]],0)</f>
        <v>0</v>
      </c>
      <c r="I23">
        <f>statek7[[#This Row],[ile_talarow]]-statek7[[#This Row],[ile_za_zaladunek]]</f>
        <v>1512</v>
      </c>
      <c r="J23">
        <f>IF(statek7[[#This Row],[Z/W]]="W",statek7[[#This Row],[ile ton]]*statek7[[#This Row],[cena za tone w talarach]],0)</f>
        <v>1260</v>
      </c>
      <c r="K23">
        <f>statek7[[#This Row],[ile_talarow_po_zaladowaniu]]+statek7[[#This Row],[ile_za_wyładunek]]</f>
        <v>2772</v>
      </c>
      <c r="L23" s="10">
        <f>IF(statek7[[#This Row],[port]]&lt;&gt;C22,1,0)</f>
        <v>1</v>
      </c>
      <c r="M23" s="10">
        <f>IF(statek7[[#This Row],[czy_wyplynal]]=1,statek7[[#This Row],[ile_talarow]],0)</f>
        <v>1512</v>
      </c>
    </row>
    <row r="24" spans="1:13" x14ac:dyDescent="0.25">
      <c r="A24" s="1">
        <v>42482</v>
      </c>
      <c r="B24">
        <f t="shared" si="0"/>
        <v>2772</v>
      </c>
      <c r="C24" t="s">
        <v>19</v>
      </c>
      <c r="D24" t="s">
        <v>7</v>
      </c>
      <c r="E24" t="s">
        <v>8</v>
      </c>
      <c r="F24">
        <v>5</v>
      </c>
      <c r="G24">
        <v>66</v>
      </c>
      <c r="H24">
        <f>IF(statek7[[#This Row],[Z/W]]="Z",statek7[[#This Row],[ile ton]]*statek7[[#This Row],[cena za tone w talarach]],0)</f>
        <v>330</v>
      </c>
      <c r="I24">
        <f>statek7[[#This Row],[ile_talarow]]-statek7[[#This Row],[ile_za_zaladunek]]</f>
        <v>2442</v>
      </c>
      <c r="J24">
        <f>IF(statek7[[#This Row],[Z/W]]="W",statek7[[#This Row],[ile ton]]*statek7[[#This Row],[cena za tone w talarach]],0)</f>
        <v>0</v>
      </c>
      <c r="K24">
        <f>statek7[[#This Row],[ile_talarow_po_zaladowaniu]]+statek7[[#This Row],[ile_za_wyładunek]]</f>
        <v>2442</v>
      </c>
      <c r="L24" s="10">
        <f>IF(statek7[[#This Row],[port]]&lt;&gt;C23,1,0)</f>
        <v>0</v>
      </c>
      <c r="M24" s="10">
        <f>IF(statek7[[#This Row],[czy_wyplynal]]=1,statek7[[#This Row],[ile_talarow]],0)</f>
        <v>0</v>
      </c>
    </row>
    <row r="25" spans="1:13" x14ac:dyDescent="0.25">
      <c r="A25" s="1">
        <v>42482</v>
      </c>
      <c r="B25">
        <f t="shared" si="0"/>
        <v>2442</v>
      </c>
      <c r="C25" t="s">
        <v>19</v>
      </c>
      <c r="D25" t="s">
        <v>9</v>
      </c>
      <c r="E25" t="s">
        <v>8</v>
      </c>
      <c r="F25">
        <v>35</v>
      </c>
      <c r="G25">
        <v>41</v>
      </c>
      <c r="H25">
        <f>IF(statek7[[#This Row],[Z/W]]="Z",statek7[[#This Row],[ile ton]]*statek7[[#This Row],[cena za tone w talarach]],0)</f>
        <v>1435</v>
      </c>
      <c r="I25">
        <f>statek7[[#This Row],[ile_talarow]]-statek7[[#This Row],[ile_za_zaladunek]]</f>
        <v>1007</v>
      </c>
      <c r="J25">
        <f>IF(statek7[[#This Row],[Z/W]]="W",statek7[[#This Row],[ile ton]]*statek7[[#This Row],[cena za tone w talarach]],0)</f>
        <v>0</v>
      </c>
      <c r="K25">
        <f>statek7[[#This Row],[ile_talarow_po_zaladowaniu]]+statek7[[#This Row],[ile_za_wyładunek]]</f>
        <v>1007</v>
      </c>
      <c r="L25" s="10">
        <f>IF(statek7[[#This Row],[port]]&lt;&gt;C24,1,0)</f>
        <v>0</v>
      </c>
      <c r="M25" s="10">
        <f>IF(statek7[[#This Row],[czy_wyplynal]]=1,statek7[[#This Row],[ile_talarow]],0)</f>
        <v>0</v>
      </c>
    </row>
    <row r="26" spans="1:13" x14ac:dyDescent="0.25">
      <c r="A26" s="1">
        <v>42504</v>
      </c>
      <c r="B26">
        <f t="shared" si="0"/>
        <v>1007</v>
      </c>
      <c r="C26" t="s">
        <v>20</v>
      </c>
      <c r="D26" t="s">
        <v>7</v>
      </c>
      <c r="E26" t="s">
        <v>14</v>
      </c>
      <c r="F26">
        <v>38</v>
      </c>
      <c r="G26">
        <v>98</v>
      </c>
      <c r="H26">
        <f>IF(statek7[[#This Row],[Z/W]]="Z",statek7[[#This Row],[ile ton]]*statek7[[#This Row],[cena za tone w talarach]],0)</f>
        <v>0</v>
      </c>
      <c r="I26">
        <f>statek7[[#This Row],[ile_talarow]]-statek7[[#This Row],[ile_za_zaladunek]]</f>
        <v>1007</v>
      </c>
      <c r="J26">
        <f>IF(statek7[[#This Row],[Z/W]]="W",statek7[[#This Row],[ile ton]]*statek7[[#This Row],[cena za tone w talarach]],0)</f>
        <v>3724</v>
      </c>
      <c r="K26">
        <f>statek7[[#This Row],[ile_talarow_po_zaladowaniu]]+statek7[[#This Row],[ile_za_wyładunek]]</f>
        <v>4731</v>
      </c>
      <c r="L26" s="10">
        <f>IF(statek7[[#This Row],[port]]&lt;&gt;C25,1,0)</f>
        <v>1</v>
      </c>
      <c r="M26" s="10">
        <f>IF(statek7[[#This Row],[czy_wyplynal]]=1,statek7[[#This Row],[ile_talarow]],0)</f>
        <v>1007</v>
      </c>
    </row>
    <row r="27" spans="1:13" x14ac:dyDescent="0.25">
      <c r="A27" s="1">
        <v>42504</v>
      </c>
      <c r="B27">
        <f t="shared" si="0"/>
        <v>4731</v>
      </c>
      <c r="C27" t="s">
        <v>20</v>
      </c>
      <c r="D27" t="s">
        <v>11</v>
      </c>
      <c r="E27" t="s">
        <v>8</v>
      </c>
      <c r="F27">
        <v>10</v>
      </c>
      <c r="G27">
        <v>23</v>
      </c>
      <c r="H27">
        <f>IF(statek7[[#This Row],[Z/W]]="Z",statek7[[#This Row],[ile ton]]*statek7[[#This Row],[cena za tone w talarach]],0)</f>
        <v>230</v>
      </c>
      <c r="I27">
        <f>statek7[[#This Row],[ile_talarow]]-statek7[[#This Row],[ile_za_zaladunek]]</f>
        <v>4501</v>
      </c>
      <c r="J27">
        <f>IF(statek7[[#This Row],[Z/W]]="W",statek7[[#This Row],[ile ton]]*statek7[[#This Row],[cena za tone w talarach]],0)</f>
        <v>0</v>
      </c>
      <c r="K27">
        <f>statek7[[#This Row],[ile_talarow_po_zaladowaniu]]+statek7[[#This Row],[ile_za_wyładunek]]</f>
        <v>4501</v>
      </c>
      <c r="L27" s="10">
        <f>IF(statek7[[#This Row],[port]]&lt;&gt;C26,1,0)</f>
        <v>0</v>
      </c>
      <c r="M27" s="10">
        <f>IF(statek7[[#This Row],[czy_wyplynal]]=1,statek7[[#This Row],[ile_talarow]],0)</f>
        <v>0</v>
      </c>
    </row>
    <row r="28" spans="1:13" x14ac:dyDescent="0.25">
      <c r="A28" s="1">
        <v>42529</v>
      </c>
      <c r="B28">
        <f t="shared" si="0"/>
        <v>4501</v>
      </c>
      <c r="C28" t="s">
        <v>21</v>
      </c>
      <c r="D28" t="s">
        <v>11</v>
      </c>
      <c r="E28" t="s">
        <v>14</v>
      </c>
      <c r="F28">
        <v>4</v>
      </c>
      <c r="G28">
        <v>38</v>
      </c>
      <c r="H28">
        <f>IF(statek7[[#This Row],[Z/W]]="Z",statek7[[#This Row],[ile ton]]*statek7[[#This Row],[cena za tone w talarach]],0)</f>
        <v>0</v>
      </c>
      <c r="I28">
        <f>statek7[[#This Row],[ile_talarow]]-statek7[[#This Row],[ile_za_zaladunek]]</f>
        <v>4501</v>
      </c>
      <c r="J28">
        <f>IF(statek7[[#This Row],[Z/W]]="W",statek7[[#This Row],[ile ton]]*statek7[[#This Row],[cena za tone w talarach]],0)</f>
        <v>152</v>
      </c>
      <c r="K28">
        <f>statek7[[#This Row],[ile_talarow_po_zaladowaniu]]+statek7[[#This Row],[ile_za_wyładunek]]</f>
        <v>4653</v>
      </c>
      <c r="L28" s="10">
        <f>IF(statek7[[#This Row],[port]]&lt;&gt;C27,1,0)</f>
        <v>1</v>
      </c>
      <c r="M28" s="10">
        <f>IF(statek7[[#This Row],[czy_wyplynal]]=1,statek7[[#This Row],[ile_talarow]],0)</f>
        <v>4501</v>
      </c>
    </row>
    <row r="29" spans="1:13" x14ac:dyDescent="0.25">
      <c r="A29" s="1">
        <v>42529</v>
      </c>
      <c r="B29">
        <f t="shared" si="0"/>
        <v>4653</v>
      </c>
      <c r="C29" t="s">
        <v>21</v>
      </c>
      <c r="D29" t="s">
        <v>7</v>
      </c>
      <c r="E29" t="s">
        <v>8</v>
      </c>
      <c r="F29">
        <v>42</v>
      </c>
      <c r="G29">
        <v>60</v>
      </c>
      <c r="H29">
        <f>IF(statek7[[#This Row],[Z/W]]="Z",statek7[[#This Row],[ile ton]]*statek7[[#This Row],[cena za tone w talarach]],0)</f>
        <v>2520</v>
      </c>
      <c r="I29">
        <f>statek7[[#This Row],[ile_talarow]]-statek7[[#This Row],[ile_za_zaladunek]]</f>
        <v>2133</v>
      </c>
      <c r="J29">
        <f>IF(statek7[[#This Row],[Z/W]]="W",statek7[[#This Row],[ile ton]]*statek7[[#This Row],[cena za tone w talarach]],0)</f>
        <v>0</v>
      </c>
      <c r="K29">
        <f>statek7[[#This Row],[ile_talarow_po_zaladowaniu]]+statek7[[#This Row],[ile_za_wyładunek]]</f>
        <v>2133</v>
      </c>
      <c r="L29" s="10">
        <f>IF(statek7[[#This Row],[port]]&lt;&gt;C28,1,0)</f>
        <v>0</v>
      </c>
      <c r="M29" s="10">
        <f>IF(statek7[[#This Row],[czy_wyplynal]]=1,statek7[[#This Row],[ile_talarow]],0)</f>
        <v>0</v>
      </c>
    </row>
    <row r="30" spans="1:13" x14ac:dyDescent="0.25">
      <c r="A30" s="1">
        <v>42529</v>
      </c>
      <c r="B30">
        <f t="shared" si="0"/>
        <v>2133</v>
      </c>
      <c r="C30" t="s">
        <v>21</v>
      </c>
      <c r="D30" t="s">
        <v>10</v>
      </c>
      <c r="E30" t="s">
        <v>8</v>
      </c>
      <c r="F30">
        <v>28</v>
      </c>
      <c r="G30">
        <v>8</v>
      </c>
      <c r="H30">
        <f>IF(statek7[[#This Row],[Z/W]]="Z",statek7[[#This Row],[ile ton]]*statek7[[#This Row],[cena za tone w talarach]],0)</f>
        <v>224</v>
      </c>
      <c r="I30">
        <f>statek7[[#This Row],[ile_talarow]]-statek7[[#This Row],[ile_za_zaladunek]]</f>
        <v>1909</v>
      </c>
      <c r="J30">
        <f>IF(statek7[[#This Row],[Z/W]]="W",statek7[[#This Row],[ile ton]]*statek7[[#This Row],[cena za tone w talarach]],0)</f>
        <v>0</v>
      </c>
      <c r="K30">
        <f>statek7[[#This Row],[ile_talarow_po_zaladowaniu]]+statek7[[#This Row],[ile_za_wyładunek]]</f>
        <v>1909</v>
      </c>
      <c r="L30" s="10">
        <f>IF(statek7[[#This Row],[port]]&lt;&gt;C29,1,0)</f>
        <v>0</v>
      </c>
      <c r="M30" s="10">
        <f>IF(statek7[[#This Row],[czy_wyplynal]]=1,statek7[[#This Row],[ile_talarow]],0)</f>
        <v>0</v>
      </c>
    </row>
    <row r="31" spans="1:13" x14ac:dyDescent="0.25">
      <c r="A31" s="1">
        <v>42529</v>
      </c>
      <c r="B31">
        <f t="shared" si="0"/>
        <v>1909</v>
      </c>
      <c r="C31" t="s">
        <v>21</v>
      </c>
      <c r="D31" t="s">
        <v>12</v>
      </c>
      <c r="E31" t="s">
        <v>8</v>
      </c>
      <c r="F31">
        <v>19</v>
      </c>
      <c r="G31">
        <v>19</v>
      </c>
      <c r="H31">
        <f>IF(statek7[[#This Row],[Z/W]]="Z",statek7[[#This Row],[ile ton]]*statek7[[#This Row],[cena za tone w talarach]],0)</f>
        <v>361</v>
      </c>
      <c r="I31">
        <f>statek7[[#This Row],[ile_talarow]]-statek7[[#This Row],[ile_za_zaladunek]]</f>
        <v>1548</v>
      </c>
      <c r="J31">
        <f>IF(statek7[[#This Row],[Z/W]]="W",statek7[[#This Row],[ile ton]]*statek7[[#This Row],[cena za tone w talarach]],0)</f>
        <v>0</v>
      </c>
      <c r="K31">
        <f>statek7[[#This Row],[ile_talarow_po_zaladowaniu]]+statek7[[#This Row],[ile_za_wyładunek]]</f>
        <v>1548</v>
      </c>
      <c r="L31" s="10">
        <f>IF(statek7[[#This Row],[port]]&lt;&gt;C30,1,0)</f>
        <v>0</v>
      </c>
      <c r="M31" s="10">
        <f>IF(statek7[[#This Row],[czy_wyplynal]]=1,statek7[[#This Row],[ile_talarow]],0)</f>
        <v>0</v>
      </c>
    </row>
    <row r="32" spans="1:13" x14ac:dyDescent="0.25">
      <c r="A32" s="1">
        <v>42542</v>
      </c>
      <c r="B32">
        <f t="shared" si="0"/>
        <v>1548</v>
      </c>
      <c r="C32" t="s">
        <v>22</v>
      </c>
      <c r="D32" t="s">
        <v>12</v>
      </c>
      <c r="E32" t="s">
        <v>14</v>
      </c>
      <c r="F32">
        <v>72</v>
      </c>
      <c r="G32">
        <v>28</v>
      </c>
      <c r="H32">
        <f>IF(statek7[[#This Row],[Z/W]]="Z",statek7[[#This Row],[ile ton]]*statek7[[#This Row],[cena za tone w talarach]],0)</f>
        <v>0</v>
      </c>
      <c r="I32">
        <f>statek7[[#This Row],[ile_talarow]]-statek7[[#This Row],[ile_za_zaladunek]]</f>
        <v>1548</v>
      </c>
      <c r="J32">
        <f>IF(statek7[[#This Row],[Z/W]]="W",statek7[[#This Row],[ile ton]]*statek7[[#This Row],[cena za tone w talarach]],0)</f>
        <v>2016</v>
      </c>
      <c r="K32">
        <f>statek7[[#This Row],[ile_talarow_po_zaladowaniu]]+statek7[[#This Row],[ile_za_wyładunek]]</f>
        <v>3564</v>
      </c>
      <c r="L32" s="10">
        <f>IF(statek7[[#This Row],[port]]&lt;&gt;C31,1,0)</f>
        <v>1</v>
      </c>
      <c r="M32" s="10">
        <f>IF(statek7[[#This Row],[czy_wyplynal]]=1,statek7[[#This Row],[ile_talarow]],0)</f>
        <v>1548</v>
      </c>
    </row>
    <row r="33" spans="1:13" x14ac:dyDescent="0.25">
      <c r="A33" s="1">
        <v>42542</v>
      </c>
      <c r="B33">
        <f t="shared" si="0"/>
        <v>3564</v>
      </c>
      <c r="C33" t="s">
        <v>22</v>
      </c>
      <c r="D33" t="s">
        <v>7</v>
      </c>
      <c r="E33" t="s">
        <v>14</v>
      </c>
      <c r="F33">
        <v>42</v>
      </c>
      <c r="G33">
        <v>90</v>
      </c>
      <c r="H33">
        <f>IF(statek7[[#This Row],[Z/W]]="Z",statek7[[#This Row],[ile ton]]*statek7[[#This Row],[cena za tone w talarach]],0)</f>
        <v>0</v>
      </c>
      <c r="I33">
        <f>statek7[[#This Row],[ile_talarow]]-statek7[[#This Row],[ile_za_zaladunek]]</f>
        <v>3564</v>
      </c>
      <c r="J33">
        <f>IF(statek7[[#This Row],[Z/W]]="W",statek7[[#This Row],[ile ton]]*statek7[[#This Row],[cena za tone w talarach]],0)</f>
        <v>3780</v>
      </c>
      <c r="K33">
        <f>statek7[[#This Row],[ile_talarow_po_zaladowaniu]]+statek7[[#This Row],[ile_za_wyładunek]]</f>
        <v>7344</v>
      </c>
      <c r="L33" s="10">
        <f>IF(statek7[[#This Row],[port]]&lt;&gt;C32,1,0)</f>
        <v>0</v>
      </c>
      <c r="M33" s="10">
        <f>IF(statek7[[#This Row],[czy_wyplynal]]=1,statek7[[#This Row],[ile_talarow]],0)</f>
        <v>0</v>
      </c>
    </row>
    <row r="34" spans="1:13" x14ac:dyDescent="0.25">
      <c r="A34" s="1">
        <v>42542</v>
      </c>
      <c r="B34">
        <f t="shared" si="0"/>
        <v>7344</v>
      </c>
      <c r="C34" t="s">
        <v>22</v>
      </c>
      <c r="D34" t="s">
        <v>9</v>
      </c>
      <c r="E34" t="s">
        <v>8</v>
      </c>
      <c r="F34">
        <v>42</v>
      </c>
      <c r="G34">
        <v>44</v>
      </c>
      <c r="H34">
        <f>IF(statek7[[#This Row],[Z/W]]="Z",statek7[[#This Row],[ile ton]]*statek7[[#This Row],[cena za tone w talarach]],0)</f>
        <v>1848</v>
      </c>
      <c r="I34">
        <f>statek7[[#This Row],[ile_talarow]]-statek7[[#This Row],[ile_za_zaladunek]]</f>
        <v>5496</v>
      </c>
      <c r="J34">
        <f>IF(statek7[[#This Row],[Z/W]]="W",statek7[[#This Row],[ile ton]]*statek7[[#This Row],[cena za tone w talarach]],0)</f>
        <v>0</v>
      </c>
      <c r="K34">
        <f>statek7[[#This Row],[ile_talarow_po_zaladowaniu]]+statek7[[#This Row],[ile_za_wyładunek]]</f>
        <v>5496</v>
      </c>
      <c r="L34" s="10">
        <f>IF(statek7[[#This Row],[port]]&lt;&gt;C33,1,0)</f>
        <v>0</v>
      </c>
      <c r="M34" s="10">
        <f>IF(statek7[[#This Row],[czy_wyplynal]]=1,statek7[[#This Row],[ile_talarow]],0)</f>
        <v>0</v>
      </c>
    </row>
    <row r="35" spans="1:13" x14ac:dyDescent="0.25">
      <c r="A35" s="1">
        <v>42542</v>
      </c>
      <c r="B35">
        <f t="shared" si="0"/>
        <v>5496</v>
      </c>
      <c r="C35" t="s">
        <v>22</v>
      </c>
      <c r="D35" t="s">
        <v>11</v>
      </c>
      <c r="E35" t="s">
        <v>8</v>
      </c>
      <c r="F35">
        <v>33</v>
      </c>
      <c r="G35">
        <v>26</v>
      </c>
      <c r="H35">
        <f>IF(statek7[[#This Row],[Z/W]]="Z",statek7[[#This Row],[ile ton]]*statek7[[#This Row],[cena za tone w talarach]],0)</f>
        <v>858</v>
      </c>
      <c r="I35">
        <f>statek7[[#This Row],[ile_talarow]]-statek7[[#This Row],[ile_za_zaladunek]]</f>
        <v>4638</v>
      </c>
      <c r="J35">
        <f>IF(statek7[[#This Row],[Z/W]]="W",statek7[[#This Row],[ile ton]]*statek7[[#This Row],[cena za tone w talarach]],0)</f>
        <v>0</v>
      </c>
      <c r="K35">
        <f>statek7[[#This Row],[ile_talarow_po_zaladowaniu]]+statek7[[#This Row],[ile_za_wyładunek]]</f>
        <v>4638</v>
      </c>
      <c r="L35" s="10">
        <f>IF(statek7[[#This Row],[port]]&lt;&gt;C34,1,0)</f>
        <v>0</v>
      </c>
      <c r="M35" s="10">
        <f>IF(statek7[[#This Row],[czy_wyplynal]]=1,statek7[[#This Row],[ile_talarow]],0)</f>
        <v>0</v>
      </c>
    </row>
    <row r="36" spans="1:13" x14ac:dyDescent="0.25">
      <c r="A36" s="1">
        <v>42542</v>
      </c>
      <c r="B36">
        <f t="shared" si="0"/>
        <v>4638</v>
      </c>
      <c r="C36" t="s">
        <v>22</v>
      </c>
      <c r="D36" t="s">
        <v>10</v>
      </c>
      <c r="E36" t="s">
        <v>8</v>
      </c>
      <c r="F36">
        <v>9</v>
      </c>
      <c r="G36">
        <v>9</v>
      </c>
      <c r="H36">
        <f>IF(statek7[[#This Row],[Z/W]]="Z",statek7[[#This Row],[ile ton]]*statek7[[#This Row],[cena za tone w talarach]],0)</f>
        <v>81</v>
      </c>
      <c r="I36">
        <f>statek7[[#This Row],[ile_talarow]]-statek7[[#This Row],[ile_za_zaladunek]]</f>
        <v>4557</v>
      </c>
      <c r="J36">
        <f>IF(statek7[[#This Row],[Z/W]]="W",statek7[[#This Row],[ile ton]]*statek7[[#This Row],[cena za tone w talarach]],0)</f>
        <v>0</v>
      </c>
      <c r="K36">
        <f>statek7[[#This Row],[ile_talarow_po_zaladowaniu]]+statek7[[#This Row],[ile_za_wyładunek]]</f>
        <v>4557</v>
      </c>
      <c r="L36" s="10">
        <f>IF(statek7[[#This Row],[port]]&lt;&gt;C35,1,0)</f>
        <v>0</v>
      </c>
      <c r="M36" s="10">
        <f>IF(statek7[[#This Row],[czy_wyplynal]]=1,statek7[[#This Row],[ile_talarow]],0)</f>
        <v>0</v>
      </c>
    </row>
    <row r="37" spans="1:13" x14ac:dyDescent="0.25">
      <c r="A37" s="1">
        <v>42559</v>
      </c>
      <c r="B37">
        <f t="shared" si="0"/>
        <v>4557</v>
      </c>
      <c r="C37" t="s">
        <v>6</v>
      </c>
      <c r="D37" t="s">
        <v>12</v>
      </c>
      <c r="E37" t="s">
        <v>14</v>
      </c>
      <c r="F37">
        <v>4</v>
      </c>
      <c r="G37">
        <v>29</v>
      </c>
      <c r="H37">
        <f>IF(statek7[[#This Row],[Z/W]]="Z",statek7[[#This Row],[ile ton]]*statek7[[#This Row],[cena za tone w talarach]],0)</f>
        <v>0</v>
      </c>
      <c r="I37">
        <f>statek7[[#This Row],[ile_talarow]]-statek7[[#This Row],[ile_za_zaladunek]]</f>
        <v>4557</v>
      </c>
      <c r="J37">
        <f>IF(statek7[[#This Row],[Z/W]]="W",statek7[[#This Row],[ile ton]]*statek7[[#This Row],[cena za tone w talarach]],0)</f>
        <v>116</v>
      </c>
      <c r="K37">
        <f>statek7[[#This Row],[ile_talarow_po_zaladowaniu]]+statek7[[#This Row],[ile_za_wyładunek]]</f>
        <v>4673</v>
      </c>
      <c r="L37" s="10">
        <f>IF(statek7[[#This Row],[port]]&lt;&gt;C36,1,0)</f>
        <v>1</v>
      </c>
      <c r="M37" s="10">
        <f>IF(statek7[[#This Row],[czy_wyplynal]]=1,statek7[[#This Row],[ile_talarow]],0)</f>
        <v>4557</v>
      </c>
    </row>
    <row r="38" spans="1:13" x14ac:dyDescent="0.25">
      <c r="A38" s="1">
        <v>42559</v>
      </c>
      <c r="B38">
        <f t="shared" si="0"/>
        <v>4673</v>
      </c>
      <c r="C38" t="s">
        <v>6</v>
      </c>
      <c r="D38" t="s">
        <v>10</v>
      </c>
      <c r="E38" t="s">
        <v>14</v>
      </c>
      <c r="F38">
        <v>37</v>
      </c>
      <c r="G38">
        <v>12</v>
      </c>
      <c r="H38">
        <f>IF(statek7[[#This Row],[Z/W]]="Z",statek7[[#This Row],[ile ton]]*statek7[[#This Row],[cena za tone w talarach]],0)</f>
        <v>0</v>
      </c>
      <c r="I38">
        <f>statek7[[#This Row],[ile_talarow]]-statek7[[#This Row],[ile_za_zaladunek]]</f>
        <v>4673</v>
      </c>
      <c r="J38">
        <f>IF(statek7[[#This Row],[Z/W]]="W",statek7[[#This Row],[ile ton]]*statek7[[#This Row],[cena za tone w talarach]],0)</f>
        <v>444</v>
      </c>
      <c r="K38">
        <f>statek7[[#This Row],[ile_talarow_po_zaladowaniu]]+statek7[[#This Row],[ile_za_wyładunek]]</f>
        <v>5117</v>
      </c>
      <c r="L38" s="10">
        <f>IF(statek7[[#This Row],[port]]&lt;&gt;C37,1,0)</f>
        <v>0</v>
      </c>
      <c r="M38" s="10">
        <f>IF(statek7[[#This Row],[czy_wyplynal]]=1,statek7[[#This Row],[ile_talarow]],0)</f>
        <v>0</v>
      </c>
    </row>
    <row r="39" spans="1:13" x14ac:dyDescent="0.25">
      <c r="A39" s="1">
        <v>42559</v>
      </c>
      <c r="B39">
        <f t="shared" si="0"/>
        <v>5117</v>
      </c>
      <c r="C39" t="s">
        <v>6</v>
      </c>
      <c r="D39" t="s">
        <v>9</v>
      </c>
      <c r="E39" t="s">
        <v>8</v>
      </c>
      <c r="F39">
        <v>35</v>
      </c>
      <c r="G39">
        <v>42</v>
      </c>
      <c r="H39">
        <f>IF(statek7[[#This Row],[Z/W]]="Z",statek7[[#This Row],[ile ton]]*statek7[[#This Row],[cena za tone w talarach]],0)</f>
        <v>1470</v>
      </c>
      <c r="I39">
        <f>statek7[[#This Row],[ile_talarow]]-statek7[[#This Row],[ile_za_zaladunek]]</f>
        <v>3647</v>
      </c>
      <c r="J39">
        <f>IF(statek7[[#This Row],[Z/W]]="W",statek7[[#This Row],[ile ton]]*statek7[[#This Row],[cena za tone w talarach]],0)</f>
        <v>0</v>
      </c>
      <c r="K39">
        <f>statek7[[#This Row],[ile_talarow_po_zaladowaniu]]+statek7[[#This Row],[ile_za_wyładunek]]</f>
        <v>3647</v>
      </c>
      <c r="L39" s="10">
        <f>IF(statek7[[#This Row],[port]]&lt;&gt;C38,1,0)</f>
        <v>0</v>
      </c>
      <c r="M39" s="10">
        <f>IF(statek7[[#This Row],[czy_wyplynal]]=1,statek7[[#This Row],[ile_talarow]],0)</f>
        <v>0</v>
      </c>
    </row>
    <row r="40" spans="1:13" x14ac:dyDescent="0.25">
      <c r="A40" s="1">
        <v>42559</v>
      </c>
      <c r="B40">
        <f t="shared" si="0"/>
        <v>3647</v>
      </c>
      <c r="C40" t="s">
        <v>6</v>
      </c>
      <c r="D40" t="s">
        <v>7</v>
      </c>
      <c r="E40" t="s">
        <v>8</v>
      </c>
      <c r="F40">
        <v>32</v>
      </c>
      <c r="G40">
        <v>66</v>
      </c>
      <c r="H40">
        <f>IF(statek7[[#This Row],[Z/W]]="Z",statek7[[#This Row],[ile ton]]*statek7[[#This Row],[cena za tone w talarach]],0)</f>
        <v>2112</v>
      </c>
      <c r="I40">
        <f>statek7[[#This Row],[ile_talarow]]-statek7[[#This Row],[ile_za_zaladunek]]</f>
        <v>1535</v>
      </c>
      <c r="J40">
        <f>IF(statek7[[#This Row],[Z/W]]="W",statek7[[#This Row],[ile ton]]*statek7[[#This Row],[cena za tone w talarach]],0)</f>
        <v>0</v>
      </c>
      <c r="K40">
        <f>statek7[[#This Row],[ile_talarow_po_zaladowaniu]]+statek7[[#This Row],[ile_za_wyładunek]]</f>
        <v>1535</v>
      </c>
      <c r="L40" s="10">
        <f>IF(statek7[[#This Row],[port]]&lt;&gt;C39,1,0)</f>
        <v>0</v>
      </c>
      <c r="M40" s="10">
        <f>IF(statek7[[#This Row],[czy_wyplynal]]=1,statek7[[#This Row],[ile_talarow]],0)</f>
        <v>0</v>
      </c>
    </row>
    <row r="41" spans="1:13" x14ac:dyDescent="0.25">
      <c r="A41" s="1">
        <v>42574</v>
      </c>
      <c r="B41">
        <f t="shared" si="0"/>
        <v>1535</v>
      </c>
      <c r="C41" t="s">
        <v>13</v>
      </c>
      <c r="D41" t="s">
        <v>7</v>
      </c>
      <c r="E41" t="s">
        <v>14</v>
      </c>
      <c r="F41">
        <v>32</v>
      </c>
      <c r="G41">
        <v>92</v>
      </c>
      <c r="H41">
        <f>IF(statek7[[#This Row],[Z/W]]="Z",statek7[[#This Row],[ile ton]]*statek7[[#This Row],[cena za tone w talarach]],0)</f>
        <v>0</v>
      </c>
      <c r="I41">
        <f>statek7[[#This Row],[ile_talarow]]-statek7[[#This Row],[ile_za_zaladunek]]</f>
        <v>1535</v>
      </c>
      <c r="J41">
        <f>IF(statek7[[#This Row],[Z/W]]="W",statek7[[#This Row],[ile ton]]*statek7[[#This Row],[cena za tone w talarach]],0)</f>
        <v>2944</v>
      </c>
      <c r="K41">
        <f>statek7[[#This Row],[ile_talarow_po_zaladowaniu]]+statek7[[#This Row],[ile_za_wyładunek]]</f>
        <v>4479</v>
      </c>
      <c r="L41" s="10">
        <f>IF(statek7[[#This Row],[port]]&lt;&gt;C40,1,0)</f>
        <v>1</v>
      </c>
      <c r="M41" s="10">
        <f>IF(statek7[[#This Row],[czy_wyplynal]]=1,statek7[[#This Row],[ile_talarow]],0)</f>
        <v>1535</v>
      </c>
    </row>
    <row r="42" spans="1:13" x14ac:dyDescent="0.25">
      <c r="A42" s="1">
        <v>42574</v>
      </c>
      <c r="B42">
        <f t="shared" si="0"/>
        <v>4479</v>
      </c>
      <c r="C42" t="s">
        <v>13</v>
      </c>
      <c r="D42" t="s">
        <v>9</v>
      </c>
      <c r="E42" t="s">
        <v>8</v>
      </c>
      <c r="F42">
        <v>48</v>
      </c>
      <c r="G42">
        <v>43</v>
      </c>
      <c r="H42">
        <f>IF(statek7[[#This Row],[Z/W]]="Z",statek7[[#This Row],[ile ton]]*statek7[[#This Row],[cena za tone w talarach]],0)</f>
        <v>2064</v>
      </c>
      <c r="I42">
        <f>statek7[[#This Row],[ile_talarow]]-statek7[[#This Row],[ile_za_zaladunek]]</f>
        <v>2415</v>
      </c>
      <c r="J42">
        <f>IF(statek7[[#This Row],[Z/W]]="W",statek7[[#This Row],[ile ton]]*statek7[[#This Row],[cena za tone w talarach]],0)</f>
        <v>0</v>
      </c>
      <c r="K42">
        <f>statek7[[#This Row],[ile_talarow_po_zaladowaniu]]+statek7[[#This Row],[ile_za_wyładunek]]</f>
        <v>2415</v>
      </c>
      <c r="L42" s="10">
        <f>IF(statek7[[#This Row],[port]]&lt;&gt;C41,1,0)</f>
        <v>0</v>
      </c>
      <c r="M42" s="10">
        <f>IF(statek7[[#This Row],[czy_wyplynal]]=1,statek7[[#This Row],[ile_talarow]],0)</f>
        <v>0</v>
      </c>
    </row>
    <row r="43" spans="1:13" x14ac:dyDescent="0.25">
      <c r="A43" s="1">
        <v>42593</v>
      </c>
      <c r="B43">
        <f t="shared" si="0"/>
        <v>2415</v>
      </c>
      <c r="C43" t="s">
        <v>15</v>
      </c>
      <c r="D43" t="s">
        <v>9</v>
      </c>
      <c r="E43" t="s">
        <v>14</v>
      </c>
      <c r="F43">
        <v>191</v>
      </c>
      <c r="G43">
        <v>60</v>
      </c>
      <c r="H43">
        <f>IF(statek7[[#This Row],[Z/W]]="Z",statek7[[#This Row],[ile ton]]*statek7[[#This Row],[cena za tone w talarach]],0)</f>
        <v>0</v>
      </c>
      <c r="I43">
        <f>statek7[[#This Row],[ile_talarow]]-statek7[[#This Row],[ile_za_zaladunek]]</f>
        <v>2415</v>
      </c>
      <c r="J43">
        <f>IF(statek7[[#This Row],[Z/W]]="W",statek7[[#This Row],[ile ton]]*statek7[[#This Row],[cena za tone w talarach]],0)</f>
        <v>11460</v>
      </c>
      <c r="K43">
        <f>statek7[[#This Row],[ile_talarow_po_zaladowaniu]]+statek7[[#This Row],[ile_za_wyładunek]]</f>
        <v>13875</v>
      </c>
      <c r="L43" s="10">
        <f>IF(statek7[[#This Row],[port]]&lt;&gt;C42,1,0)</f>
        <v>1</v>
      </c>
      <c r="M43" s="10">
        <f>IF(statek7[[#This Row],[czy_wyplynal]]=1,statek7[[#This Row],[ile_talarow]],0)</f>
        <v>2415</v>
      </c>
    </row>
    <row r="44" spans="1:13" x14ac:dyDescent="0.25">
      <c r="A44" s="1">
        <v>42593</v>
      </c>
      <c r="B44">
        <f t="shared" si="0"/>
        <v>13875</v>
      </c>
      <c r="C44" t="s">
        <v>15</v>
      </c>
      <c r="D44" t="s">
        <v>11</v>
      </c>
      <c r="E44" t="s">
        <v>8</v>
      </c>
      <c r="F44">
        <v>9</v>
      </c>
      <c r="G44">
        <v>24</v>
      </c>
      <c r="H44">
        <f>IF(statek7[[#This Row],[Z/W]]="Z",statek7[[#This Row],[ile ton]]*statek7[[#This Row],[cena za tone w talarach]],0)</f>
        <v>216</v>
      </c>
      <c r="I44">
        <f>statek7[[#This Row],[ile_talarow]]-statek7[[#This Row],[ile_za_zaladunek]]</f>
        <v>13659</v>
      </c>
      <c r="J44">
        <f>IF(statek7[[#This Row],[Z/W]]="W",statek7[[#This Row],[ile ton]]*statek7[[#This Row],[cena za tone w talarach]],0)</f>
        <v>0</v>
      </c>
      <c r="K44">
        <f>statek7[[#This Row],[ile_talarow_po_zaladowaniu]]+statek7[[#This Row],[ile_za_wyładunek]]</f>
        <v>13659</v>
      </c>
      <c r="L44" s="10">
        <f>IF(statek7[[#This Row],[port]]&lt;&gt;C43,1,0)</f>
        <v>0</v>
      </c>
      <c r="M44" s="10">
        <f>IF(statek7[[#This Row],[czy_wyplynal]]=1,statek7[[#This Row],[ile_talarow]],0)</f>
        <v>0</v>
      </c>
    </row>
    <row r="45" spans="1:13" x14ac:dyDescent="0.25">
      <c r="A45" s="1">
        <v>42593</v>
      </c>
      <c r="B45">
        <f t="shared" si="0"/>
        <v>13659</v>
      </c>
      <c r="C45" t="s">
        <v>15</v>
      </c>
      <c r="D45" t="s">
        <v>7</v>
      </c>
      <c r="E45" t="s">
        <v>8</v>
      </c>
      <c r="F45">
        <v>36</v>
      </c>
      <c r="G45">
        <v>65</v>
      </c>
      <c r="H45">
        <f>IF(statek7[[#This Row],[Z/W]]="Z",statek7[[#This Row],[ile ton]]*statek7[[#This Row],[cena za tone w talarach]],0)</f>
        <v>2340</v>
      </c>
      <c r="I45">
        <f>statek7[[#This Row],[ile_talarow]]-statek7[[#This Row],[ile_za_zaladunek]]</f>
        <v>11319</v>
      </c>
      <c r="J45">
        <f>IF(statek7[[#This Row],[Z/W]]="W",statek7[[#This Row],[ile ton]]*statek7[[#This Row],[cena za tone w talarach]],0)</f>
        <v>0</v>
      </c>
      <c r="K45">
        <f>statek7[[#This Row],[ile_talarow_po_zaladowaniu]]+statek7[[#This Row],[ile_za_wyładunek]]</f>
        <v>11319</v>
      </c>
      <c r="L45" s="10">
        <f>IF(statek7[[#This Row],[port]]&lt;&gt;C44,1,0)</f>
        <v>0</v>
      </c>
      <c r="M45" s="10">
        <f>IF(statek7[[#This Row],[czy_wyplynal]]=1,statek7[[#This Row],[ile_talarow]],0)</f>
        <v>0</v>
      </c>
    </row>
    <row r="46" spans="1:13" x14ac:dyDescent="0.25">
      <c r="A46" s="1">
        <v>42619</v>
      </c>
      <c r="B46">
        <f t="shared" si="0"/>
        <v>11319</v>
      </c>
      <c r="C46" t="s">
        <v>16</v>
      </c>
      <c r="D46" t="s">
        <v>10</v>
      </c>
      <c r="E46" t="s">
        <v>8</v>
      </c>
      <c r="F46">
        <v>47</v>
      </c>
      <c r="G46">
        <v>7</v>
      </c>
      <c r="H46">
        <f>IF(statek7[[#This Row],[Z/W]]="Z",statek7[[#This Row],[ile ton]]*statek7[[#This Row],[cena za tone w talarach]],0)</f>
        <v>329</v>
      </c>
      <c r="I46">
        <f>statek7[[#This Row],[ile_talarow]]-statek7[[#This Row],[ile_za_zaladunek]]</f>
        <v>10990</v>
      </c>
      <c r="J46">
        <f>IF(statek7[[#This Row],[Z/W]]="W",statek7[[#This Row],[ile ton]]*statek7[[#This Row],[cena za tone w talarach]],0)</f>
        <v>0</v>
      </c>
      <c r="K46">
        <f>statek7[[#This Row],[ile_talarow_po_zaladowaniu]]+statek7[[#This Row],[ile_za_wyładunek]]</f>
        <v>10990</v>
      </c>
      <c r="L46" s="10">
        <f>IF(statek7[[#This Row],[port]]&lt;&gt;C45,1,0)</f>
        <v>1</v>
      </c>
      <c r="M46" s="10">
        <f>IF(statek7[[#This Row],[czy_wyplynal]]=1,statek7[[#This Row],[ile_talarow]],0)</f>
        <v>11319</v>
      </c>
    </row>
    <row r="47" spans="1:13" x14ac:dyDescent="0.25">
      <c r="A47" s="1">
        <v>42619</v>
      </c>
      <c r="B47">
        <f t="shared" si="0"/>
        <v>10990</v>
      </c>
      <c r="C47" t="s">
        <v>16</v>
      </c>
      <c r="D47" t="s">
        <v>9</v>
      </c>
      <c r="E47" t="s">
        <v>14</v>
      </c>
      <c r="F47">
        <v>4</v>
      </c>
      <c r="G47">
        <v>63</v>
      </c>
      <c r="H47">
        <f>IF(statek7[[#This Row],[Z/W]]="Z",statek7[[#This Row],[ile ton]]*statek7[[#This Row],[cena za tone w talarach]],0)</f>
        <v>0</v>
      </c>
      <c r="I47">
        <f>statek7[[#This Row],[ile_talarow]]-statek7[[#This Row],[ile_za_zaladunek]]</f>
        <v>10990</v>
      </c>
      <c r="J47">
        <f>IF(statek7[[#This Row],[Z/W]]="W",statek7[[#This Row],[ile ton]]*statek7[[#This Row],[cena za tone w talarach]],0)</f>
        <v>252</v>
      </c>
      <c r="K47">
        <f>statek7[[#This Row],[ile_talarow_po_zaladowaniu]]+statek7[[#This Row],[ile_za_wyładunek]]</f>
        <v>11242</v>
      </c>
      <c r="L47" s="10">
        <f>IF(statek7[[#This Row],[port]]&lt;&gt;C46,1,0)</f>
        <v>0</v>
      </c>
      <c r="M47" s="10">
        <f>IF(statek7[[#This Row],[czy_wyplynal]]=1,statek7[[#This Row],[ile_talarow]],0)</f>
        <v>0</v>
      </c>
    </row>
    <row r="48" spans="1:13" x14ac:dyDescent="0.25">
      <c r="A48" s="1">
        <v>42619</v>
      </c>
      <c r="B48">
        <f t="shared" si="0"/>
        <v>11242</v>
      </c>
      <c r="C48" t="s">
        <v>16</v>
      </c>
      <c r="D48" t="s">
        <v>12</v>
      </c>
      <c r="E48" t="s">
        <v>8</v>
      </c>
      <c r="F48">
        <v>8</v>
      </c>
      <c r="G48">
        <v>19</v>
      </c>
      <c r="H48">
        <f>IF(statek7[[#This Row],[Z/W]]="Z",statek7[[#This Row],[ile ton]]*statek7[[#This Row],[cena za tone w talarach]],0)</f>
        <v>152</v>
      </c>
      <c r="I48">
        <f>statek7[[#This Row],[ile_talarow]]-statek7[[#This Row],[ile_za_zaladunek]]</f>
        <v>11090</v>
      </c>
      <c r="J48">
        <f>IF(statek7[[#This Row],[Z/W]]="W",statek7[[#This Row],[ile ton]]*statek7[[#This Row],[cena za tone w talarach]],0)</f>
        <v>0</v>
      </c>
      <c r="K48">
        <f>statek7[[#This Row],[ile_talarow_po_zaladowaniu]]+statek7[[#This Row],[ile_za_wyładunek]]</f>
        <v>11090</v>
      </c>
      <c r="L48" s="10">
        <f>IF(statek7[[#This Row],[port]]&lt;&gt;C47,1,0)</f>
        <v>0</v>
      </c>
      <c r="M48" s="10">
        <f>IF(statek7[[#This Row],[czy_wyplynal]]=1,statek7[[#This Row],[ile_talarow]],0)</f>
        <v>0</v>
      </c>
    </row>
    <row r="49" spans="1:13" x14ac:dyDescent="0.25">
      <c r="A49" s="1">
        <v>42619</v>
      </c>
      <c r="B49">
        <f t="shared" si="0"/>
        <v>11090</v>
      </c>
      <c r="C49" t="s">
        <v>16</v>
      </c>
      <c r="D49" t="s">
        <v>11</v>
      </c>
      <c r="E49" t="s">
        <v>8</v>
      </c>
      <c r="F49">
        <v>3</v>
      </c>
      <c r="G49">
        <v>22</v>
      </c>
      <c r="H49">
        <f>IF(statek7[[#This Row],[Z/W]]="Z",statek7[[#This Row],[ile ton]]*statek7[[#This Row],[cena za tone w talarach]],0)</f>
        <v>66</v>
      </c>
      <c r="I49">
        <f>statek7[[#This Row],[ile_talarow]]-statek7[[#This Row],[ile_za_zaladunek]]</f>
        <v>11024</v>
      </c>
      <c r="J49">
        <f>IF(statek7[[#This Row],[Z/W]]="W",statek7[[#This Row],[ile ton]]*statek7[[#This Row],[cena za tone w talarach]],0)</f>
        <v>0</v>
      </c>
      <c r="K49">
        <f>statek7[[#This Row],[ile_talarow_po_zaladowaniu]]+statek7[[#This Row],[ile_za_wyładunek]]</f>
        <v>11024</v>
      </c>
      <c r="L49" s="10">
        <f>IF(statek7[[#This Row],[port]]&lt;&gt;C48,1,0)</f>
        <v>0</v>
      </c>
      <c r="M49" s="10">
        <f>IF(statek7[[#This Row],[czy_wyplynal]]=1,statek7[[#This Row],[ile_talarow]],0)</f>
        <v>0</v>
      </c>
    </row>
    <row r="50" spans="1:13" x14ac:dyDescent="0.25">
      <c r="A50" s="1">
        <v>42619</v>
      </c>
      <c r="B50">
        <f t="shared" si="0"/>
        <v>11024</v>
      </c>
      <c r="C50" t="s">
        <v>16</v>
      </c>
      <c r="D50" t="s">
        <v>7</v>
      </c>
      <c r="E50" t="s">
        <v>8</v>
      </c>
      <c r="F50">
        <v>41</v>
      </c>
      <c r="G50">
        <v>59</v>
      </c>
      <c r="H50">
        <f>IF(statek7[[#This Row],[Z/W]]="Z",statek7[[#This Row],[ile ton]]*statek7[[#This Row],[cena za tone w talarach]],0)</f>
        <v>2419</v>
      </c>
      <c r="I50">
        <f>statek7[[#This Row],[ile_talarow]]-statek7[[#This Row],[ile_za_zaladunek]]</f>
        <v>8605</v>
      </c>
      <c r="J50">
        <f>IF(statek7[[#This Row],[Z/W]]="W",statek7[[#This Row],[ile ton]]*statek7[[#This Row],[cena za tone w talarach]],0)</f>
        <v>0</v>
      </c>
      <c r="K50">
        <f>statek7[[#This Row],[ile_talarow_po_zaladowaniu]]+statek7[[#This Row],[ile_za_wyładunek]]</f>
        <v>8605</v>
      </c>
      <c r="L50" s="10">
        <f>IF(statek7[[#This Row],[port]]&lt;&gt;C49,1,0)</f>
        <v>0</v>
      </c>
      <c r="M50" s="10">
        <f>IF(statek7[[#This Row],[czy_wyplynal]]=1,statek7[[#This Row],[ile_talarow]],0)</f>
        <v>0</v>
      </c>
    </row>
    <row r="51" spans="1:13" x14ac:dyDescent="0.25">
      <c r="A51" s="1">
        <v>42640</v>
      </c>
      <c r="B51">
        <f t="shared" si="0"/>
        <v>8605</v>
      </c>
      <c r="C51" t="s">
        <v>17</v>
      </c>
      <c r="D51" t="s">
        <v>9</v>
      </c>
      <c r="E51" t="s">
        <v>8</v>
      </c>
      <c r="F51">
        <v>44</v>
      </c>
      <c r="G51">
        <v>40</v>
      </c>
      <c r="H51">
        <f>IF(statek7[[#This Row],[Z/W]]="Z",statek7[[#This Row],[ile ton]]*statek7[[#This Row],[cena za tone w talarach]],0)</f>
        <v>1760</v>
      </c>
      <c r="I51">
        <f>statek7[[#This Row],[ile_talarow]]-statek7[[#This Row],[ile_za_zaladunek]]</f>
        <v>6845</v>
      </c>
      <c r="J51">
        <f>IF(statek7[[#This Row],[Z/W]]="W",statek7[[#This Row],[ile ton]]*statek7[[#This Row],[cena za tone w talarach]],0)</f>
        <v>0</v>
      </c>
      <c r="K51">
        <f>statek7[[#This Row],[ile_talarow_po_zaladowaniu]]+statek7[[#This Row],[ile_za_wyładunek]]</f>
        <v>6845</v>
      </c>
      <c r="L51" s="10">
        <f>IF(statek7[[#This Row],[port]]&lt;&gt;C50,1,0)</f>
        <v>1</v>
      </c>
      <c r="M51" s="10">
        <f>IF(statek7[[#This Row],[czy_wyplynal]]=1,statek7[[#This Row],[ile_talarow]],0)</f>
        <v>8605</v>
      </c>
    </row>
    <row r="52" spans="1:13" x14ac:dyDescent="0.25">
      <c r="A52" s="1">
        <v>42640</v>
      </c>
      <c r="B52">
        <f t="shared" si="0"/>
        <v>6845</v>
      </c>
      <c r="C52" t="s">
        <v>17</v>
      </c>
      <c r="D52" t="s">
        <v>10</v>
      </c>
      <c r="E52" t="s">
        <v>14</v>
      </c>
      <c r="F52">
        <v>45</v>
      </c>
      <c r="G52">
        <v>12</v>
      </c>
      <c r="H52">
        <f>IF(statek7[[#This Row],[Z/W]]="Z",statek7[[#This Row],[ile ton]]*statek7[[#This Row],[cena za tone w talarach]],0)</f>
        <v>0</v>
      </c>
      <c r="I52">
        <f>statek7[[#This Row],[ile_talarow]]-statek7[[#This Row],[ile_za_zaladunek]]</f>
        <v>6845</v>
      </c>
      <c r="J52">
        <f>IF(statek7[[#This Row],[Z/W]]="W",statek7[[#This Row],[ile ton]]*statek7[[#This Row],[cena za tone w talarach]],0)</f>
        <v>540</v>
      </c>
      <c r="K52">
        <f>statek7[[#This Row],[ile_talarow_po_zaladowaniu]]+statek7[[#This Row],[ile_za_wyładunek]]</f>
        <v>7385</v>
      </c>
      <c r="L52" s="10">
        <f>IF(statek7[[#This Row],[port]]&lt;&gt;C51,1,0)</f>
        <v>0</v>
      </c>
      <c r="M52" s="10">
        <f>IF(statek7[[#This Row],[czy_wyplynal]]=1,statek7[[#This Row],[ile_talarow]],0)</f>
        <v>0</v>
      </c>
    </row>
    <row r="53" spans="1:13" x14ac:dyDescent="0.25">
      <c r="A53" s="1">
        <v>42640</v>
      </c>
      <c r="B53">
        <f t="shared" si="0"/>
        <v>7385</v>
      </c>
      <c r="C53" t="s">
        <v>17</v>
      </c>
      <c r="D53" t="s">
        <v>12</v>
      </c>
      <c r="E53" t="s">
        <v>8</v>
      </c>
      <c r="F53">
        <v>40</v>
      </c>
      <c r="G53">
        <v>20</v>
      </c>
      <c r="H53">
        <f>IF(statek7[[#This Row],[Z/W]]="Z",statek7[[#This Row],[ile ton]]*statek7[[#This Row],[cena za tone w talarach]],0)</f>
        <v>800</v>
      </c>
      <c r="I53">
        <f>statek7[[#This Row],[ile_talarow]]-statek7[[#This Row],[ile_za_zaladunek]]</f>
        <v>6585</v>
      </c>
      <c r="J53">
        <f>IF(statek7[[#This Row],[Z/W]]="W",statek7[[#This Row],[ile ton]]*statek7[[#This Row],[cena za tone w talarach]],0)</f>
        <v>0</v>
      </c>
      <c r="K53">
        <f>statek7[[#This Row],[ile_talarow_po_zaladowaniu]]+statek7[[#This Row],[ile_za_wyładunek]]</f>
        <v>6585</v>
      </c>
      <c r="L53" s="10">
        <f>IF(statek7[[#This Row],[port]]&lt;&gt;C52,1,0)</f>
        <v>0</v>
      </c>
      <c r="M53" s="10">
        <f>IF(statek7[[#This Row],[czy_wyplynal]]=1,statek7[[#This Row],[ile_talarow]],0)</f>
        <v>0</v>
      </c>
    </row>
    <row r="54" spans="1:13" x14ac:dyDescent="0.25">
      <c r="A54" s="1">
        <v>42640</v>
      </c>
      <c r="B54">
        <f t="shared" si="0"/>
        <v>6585</v>
      </c>
      <c r="C54" t="s">
        <v>17</v>
      </c>
      <c r="D54" t="s">
        <v>7</v>
      </c>
      <c r="E54" t="s">
        <v>8</v>
      </c>
      <c r="F54">
        <v>3</v>
      </c>
      <c r="G54">
        <v>63</v>
      </c>
      <c r="H54">
        <f>IF(statek7[[#This Row],[Z/W]]="Z",statek7[[#This Row],[ile ton]]*statek7[[#This Row],[cena za tone w talarach]],0)</f>
        <v>189</v>
      </c>
      <c r="I54">
        <f>statek7[[#This Row],[ile_talarow]]-statek7[[#This Row],[ile_za_zaladunek]]</f>
        <v>6396</v>
      </c>
      <c r="J54">
        <f>IF(statek7[[#This Row],[Z/W]]="W",statek7[[#This Row],[ile ton]]*statek7[[#This Row],[cena za tone w talarach]],0)</f>
        <v>0</v>
      </c>
      <c r="K54">
        <f>statek7[[#This Row],[ile_talarow_po_zaladowaniu]]+statek7[[#This Row],[ile_za_wyładunek]]</f>
        <v>6396</v>
      </c>
      <c r="L54" s="10">
        <f>IF(statek7[[#This Row],[port]]&lt;&gt;C53,1,0)</f>
        <v>0</v>
      </c>
      <c r="M54" s="10">
        <f>IF(statek7[[#This Row],[czy_wyplynal]]=1,statek7[[#This Row],[ile_talarow]],0)</f>
        <v>0</v>
      </c>
    </row>
    <row r="55" spans="1:13" x14ac:dyDescent="0.25">
      <c r="A55" s="1">
        <v>42640</v>
      </c>
      <c r="B55">
        <f t="shared" si="0"/>
        <v>6396</v>
      </c>
      <c r="C55" t="s">
        <v>17</v>
      </c>
      <c r="D55" t="s">
        <v>11</v>
      </c>
      <c r="E55" t="s">
        <v>8</v>
      </c>
      <c r="F55">
        <v>17</v>
      </c>
      <c r="G55">
        <v>24</v>
      </c>
      <c r="H55">
        <f>IF(statek7[[#This Row],[Z/W]]="Z",statek7[[#This Row],[ile ton]]*statek7[[#This Row],[cena za tone w talarach]],0)</f>
        <v>408</v>
      </c>
      <c r="I55">
        <f>statek7[[#This Row],[ile_talarow]]-statek7[[#This Row],[ile_za_zaladunek]]</f>
        <v>5988</v>
      </c>
      <c r="J55">
        <f>IF(statek7[[#This Row],[Z/W]]="W",statek7[[#This Row],[ile ton]]*statek7[[#This Row],[cena za tone w talarach]],0)</f>
        <v>0</v>
      </c>
      <c r="K55">
        <f>statek7[[#This Row],[ile_talarow_po_zaladowaniu]]+statek7[[#This Row],[ile_za_wyładunek]]</f>
        <v>5988</v>
      </c>
      <c r="L55" s="10">
        <f>IF(statek7[[#This Row],[port]]&lt;&gt;C54,1,0)</f>
        <v>0</v>
      </c>
      <c r="M55" s="10">
        <f>IF(statek7[[#This Row],[czy_wyplynal]]=1,statek7[[#This Row],[ile_talarow]],0)</f>
        <v>0</v>
      </c>
    </row>
    <row r="56" spans="1:13" x14ac:dyDescent="0.25">
      <c r="A56" s="1">
        <v>42664</v>
      </c>
      <c r="B56">
        <f t="shared" si="0"/>
        <v>5988</v>
      </c>
      <c r="C56" t="s">
        <v>18</v>
      </c>
      <c r="D56" t="s">
        <v>10</v>
      </c>
      <c r="E56" t="s">
        <v>14</v>
      </c>
      <c r="F56">
        <v>2</v>
      </c>
      <c r="G56">
        <v>12</v>
      </c>
      <c r="H56">
        <f>IF(statek7[[#This Row],[Z/W]]="Z",statek7[[#This Row],[ile ton]]*statek7[[#This Row],[cena za tone w talarach]],0)</f>
        <v>0</v>
      </c>
      <c r="I56">
        <f>statek7[[#This Row],[ile_talarow]]-statek7[[#This Row],[ile_za_zaladunek]]</f>
        <v>5988</v>
      </c>
      <c r="J56">
        <f>IF(statek7[[#This Row],[Z/W]]="W",statek7[[#This Row],[ile ton]]*statek7[[#This Row],[cena za tone w talarach]],0)</f>
        <v>24</v>
      </c>
      <c r="K56">
        <f>statek7[[#This Row],[ile_talarow_po_zaladowaniu]]+statek7[[#This Row],[ile_za_wyładunek]]</f>
        <v>6012</v>
      </c>
      <c r="L56" s="10">
        <f>IF(statek7[[#This Row],[port]]&lt;&gt;C55,1,0)</f>
        <v>1</v>
      </c>
      <c r="M56" s="10">
        <f>IF(statek7[[#This Row],[czy_wyplynal]]=1,statek7[[#This Row],[ile_talarow]],0)</f>
        <v>5988</v>
      </c>
    </row>
    <row r="57" spans="1:13" x14ac:dyDescent="0.25">
      <c r="A57" s="1">
        <v>42664</v>
      </c>
      <c r="B57">
        <f t="shared" si="0"/>
        <v>6012</v>
      </c>
      <c r="C57" t="s">
        <v>18</v>
      </c>
      <c r="D57" t="s">
        <v>12</v>
      </c>
      <c r="E57" t="s">
        <v>8</v>
      </c>
      <c r="F57">
        <v>14</v>
      </c>
      <c r="G57">
        <v>19</v>
      </c>
      <c r="H57">
        <f>IF(statek7[[#This Row],[Z/W]]="Z",statek7[[#This Row],[ile ton]]*statek7[[#This Row],[cena za tone w talarach]],0)</f>
        <v>266</v>
      </c>
      <c r="I57">
        <f>statek7[[#This Row],[ile_talarow]]-statek7[[#This Row],[ile_za_zaladunek]]</f>
        <v>5746</v>
      </c>
      <c r="J57">
        <f>IF(statek7[[#This Row],[Z/W]]="W",statek7[[#This Row],[ile ton]]*statek7[[#This Row],[cena za tone w talarach]],0)</f>
        <v>0</v>
      </c>
      <c r="K57">
        <f>statek7[[#This Row],[ile_talarow_po_zaladowaniu]]+statek7[[#This Row],[ile_za_wyładunek]]</f>
        <v>5746</v>
      </c>
      <c r="L57" s="10">
        <f>IF(statek7[[#This Row],[port]]&lt;&gt;C56,1,0)</f>
        <v>0</v>
      </c>
      <c r="M57" s="10">
        <f>IF(statek7[[#This Row],[czy_wyplynal]]=1,statek7[[#This Row],[ile_talarow]],0)</f>
        <v>0</v>
      </c>
    </row>
    <row r="58" spans="1:13" x14ac:dyDescent="0.25">
      <c r="A58" s="1">
        <v>42664</v>
      </c>
      <c r="B58">
        <f t="shared" si="0"/>
        <v>5746</v>
      </c>
      <c r="C58" t="s">
        <v>18</v>
      </c>
      <c r="D58" t="s">
        <v>11</v>
      </c>
      <c r="E58" t="s">
        <v>8</v>
      </c>
      <c r="F58">
        <v>23</v>
      </c>
      <c r="G58">
        <v>23</v>
      </c>
      <c r="H58">
        <f>IF(statek7[[#This Row],[Z/W]]="Z",statek7[[#This Row],[ile ton]]*statek7[[#This Row],[cena za tone w talarach]],0)</f>
        <v>529</v>
      </c>
      <c r="I58">
        <f>statek7[[#This Row],[ile_talarow]]-statek7[[#This Row],[ile_za_zaladunek]]</f>
        <v>5217</v>
      </c>
      <c r="J58">
        <f>IF(statek7[[#This Row],[Z/W]]="W",statek7[[#This Row],[ile ton]]*statek7[[#This Row],[cena za tone w talarach]],0)</f>
        <v>0</v>
      </c>
      <c r="K58">
        <f>statek7[[#This Row],[ile_talarow_po_zaladowaniu]]+statek7[[#This Row],[ile_za_wyładunek]]</f>
        <v>5217</v>
      </c>
      <c r="L58" s="10">
        <f>IF(statek7[[#This Row],[port]]&lt;&gt;C57,1,0)</f>
        <v>0</v>
      </c>
      <c r="M58" s="10">
        <f>IF(statek7[[#This Row],[czy_wyplynal]]=1,statek7[[#This Row],[ile_talarow]],0)</f>
        <v>0</v>
      </c>
    </row>
    <row r="59" spans="1:13" x14ac:dyDescent="0.25">
      <c r="A59" s="1">
        <v>42682</v>
      </c>
      <c r="B59">
        <f t="shared" si="0"/>
        <v>5217</v>
      </c>
      <c r="C59" t="s">
        <v>19</v>
      </c>
      <c r="D59" t="s">
        <v>10</v>
      </c>
      <c r="E59" t="s">
        <v>8</v>
      </c>
      <c r="F59">
        <v>11</v>
      </c>
      <c r="G59">
        <v>8</v>
      </c>
      <c r="H59">
        <f>IF(statek7[[#This Row],[Z/W]]="Z",statek7[[#This Row],[ile ton]]*statek7[[#This Row],[cena za tone w talarach]],0)</f>
        <v>88</v>
      </c>
      <c r="I59">
        <f>statek7[[#This Row],[ile_talarow]]-statek7[[#This Row],[ile_za_zaladunek]]</f>
        <v>5129</v>
      </c>
      <c r="J59">
        <f>IF(statek7[[#This Row],[Z/W]]="W",statek7[[#This Row],[ile ton]]*statek7[[#This Row],[cena za tone w talarach]],0)</f>
        <v>0</v>
      </c>
      <c r="K59">
        <f>statek7[[#This Row],[ile_talarow_po_zaladowaniu]]+statek7[[#This Row],[ile_za_wyładunek]]</f>
        <v>5129</v>
      </c>
      <c r="L59" s="10">
        <f>IF(statek7[[#This Row],[port]]&lt;&gt;C58,1,0)</f>
        <v>1</v>
      </c>
      <c r="M59" s="10">
        <f>IF(statek7[[#This Row],[czy_wyplynal]]=1,statek7[[#This Row],[ile_talarow]],0)</f>
        <v>5217</v>
      </c>
    </row>
    <row r="60" spans="1:13" x14ac:dyDescent="0.25">
      <c r="A60" s="1">
        <v>42682</v>
      </c>
      <c r="B60">
        <f t="shared" si="0"/>
        <v>5129</v>
      </c>
      <c r="C60" t="s">
        <v>19</v>
      </c>
      <c r="D60" t="s">
        <v>7</v>
      </c>
      <c r="E60" t="s">
        <v>8</v>
      </c>
      <c r="F60">
        <v>17</v>
      </c>
      <c r="G60">
        <v>66</v>
      </c>
      <c r="H60">
        <f>IF(statek7[[#This Row],[Z/W]]="Z",statek7[[#This Row],[ile ton]]*statek7[[#This Row],[cena za tone w talarach]],0)</f>
        <v>1122</v>
      </c>
      <c r="I60">
        <f>statek7[[#This Row],[ile_talarow]]-statek7[[#This Row],[ile_za_zaladunek]]</f>
        <v>4007</v>
      </c>
      <c r="J60">
        <f>IF(statek7[[#This Row],[Z/W]]="W",statek7[[#This Row],[ile ton]]*statek7[[#This Row],[cena za tone w talarach]],0)</f>
        <v>0</v>
      </c>
      <c r="K60">
        <f>statek7[[#This Row],[ile_talarow_po_zaladowaniu]]+statek7[[#This Row],[ile_za_wyładunek]]</f>
        <v>4007</v>
      </c>
      <c r="L60" s="10">
        <f>IF(statek7[[#This Row],[port]]&lt;&gt;C59,1,0)</f>
        <v>0</v>
      </c>
      <c r="M60" s="10">
        <f>IF(statek7[[#This Row],[czy_wyplynal]]=1,statek7[[#This Row],[ile_talarow]],0)</f>
        <v>0</v>
      </c>
    </row>
    <row r="61" spans="1:13" x14ac:dyDescent="0.25">
      <c r="A61" s="1">
        <v>42682</v>
      </c>
      <c r="B61">
        <f t="shared" si="0"/>
        <v>4007</v>
      </c>
      <c r="C61" t="s">
        <v>19</v>
      </c>
      <c r="D61" t="s">
        <v>9</v>
      </c>
      <c r="E61" t="s">
        <v>8</v>
      </c>
      <c r="F61">
        <v>30</v>
      </c>
      <c r="G61">
        <v>41</v>
      </c>
      <c r="H61">
        <f>IF(statek7[[#This Row],[Z/W]]="Z",statek7[[#This Row],[ile ton]]*statek7[[#This Row],[cena za tone w talarach]],0)</f>
        <v>1230</v>
      </c>
      <c r="I61">
        <f>statek7[[#This Row],[ile_talarow]]-statek7[[#This Row],[ile_za_zaladunek]]</f>
        <v>2777</v>
      </c>
      <c r="J61">
        <f>IF(statek7[[#This Row],[Z/W]]="W",statek7[[#This Row],[ile ton]]*statek7[[#This Row],[cena za tone w talarach]],0)</f>
        <v>0</v>
      </c>
      <c r="K61">
        <f>statek7[[#This Row],[ile_talarow_po_zaladowaniu]]+statek7[[#This Row],[ile_za_wyładunek]]</f>
        <v>2777</v>
      </c>
      <c r="L61" s="10">
        <f>IF(statek7[[#This Row],[port]]&lt;&gt;C60,1,0)</f>
        <v>0</v>
      </c>
      <c r="M61" s="10">
        <f>IF(statek7[[#This Row],[czy_wyplynal]]=1,statek7[[#This Row],[ile_talarow]],0)</f>
        <v>0</v>
      </c>
    </row>
    <row r="62" spans="1:13" x14ac:dyDescent="0.25">
      <c r="A62" s="1">
        <v>42704</v>
      </c>
      <c r="B62">
        <f t="shared" si="0"/>
        <v>2777</v>
      </c>
      <c r="C62" t="s">
        <v>20</v>
      </c>
      <c r="D62" t="s">
        <v>7</v>
      </c>
      <c r="E62" t="s">
        <v>14</v>
      </c>
      <c r="F62">
        <v>97</v>
      </c>
      <c r="G62">
        <v>98</v>
      </c>
      <c r="H62">
        <f>IF(statek7[[#This Row],[Z/W]]="Z",statek7[[#This Row],[ile ton]]*statek7[[#This Row],[cena za tone w talarach]],0)</f>
        <v>0</v>
      </c>
      <c r="I62">
        <f>statek7[[#This Row],[ile_talarow]]-statek7[[#This Row],[ile_za_zaladunek]]</f>
        <v>2777</v>
      </c>
      <c r="J62">
        <f>IF(statek7[[#This Row],[Z/W]]="W",statek7[[#This Row],[ile ton]]*statek7[[#This Row],[cena za tone w talarach]],0)</f>
        <v>9506</v>
      </c>
      <c r="K62">
        <f>statek7[[#This Row],[ile_talarow_po_zaladowaniu]]+statek7[[#This Row],[ile_za_wyładunek]]</f>
        <v>12283</v>
      </c>
      <c r="L62" s="10">
        <f>IF(statek7[[#This Row],[port]]&lt;&gt;C61,1,0)</f>
        <v>1</v>
      </c>
      <c r="M62" s="10">
        <f>IF(statek7[[#This Row],[czy_wyplynal]]=1,statek7[[#This Row],[ile_talarow]],0)</f>
        <v>2777</v>
      </c>
    </row>
    <row r="63" spans="1:13" x14ac:dyDescent="0.25">
      <c r="A63" s="1">
        <v>42704</v>
      </c>
      <c r="B63">
        <f t="shared" si="0"/>
        <v>12283</v>
      </c>
      <c r="C63" t="s">
        <v>20</v>
      </c>
      <c r="D63" t="s">
        <v>10</v>
      </c>
      <c r="E63" t="s">
        <v>14</v>
      </c>
      <c r="F63">
        <v>11</v>
      </c>
      <c r="G63">
        <v>12</v>
      </c>
      <c r="H63">
        <f>IF(statek7[[#This Row],[Z/W]]="Z",statek7[[#This Row],[ile ton]]*statek7[[#This Row],[cena za tone w talarach]],0)</f>
        <v>0</v>
      </c>
      <c r="I63">
        <f>statek7[[#This Row],[ile_talarow]]-statek7[[#This Row],[ile_za_zaladunek]]</f>
        <v>12283</v>
      </c>
      <c r="J63">
        <f>IF(statek7[[#This Row],[Z/W]]="W",statek7[[#This Row],[ile ton]]*statek7[[#This Row],[cena za tone w talarach]],0)</f>
        <v>132</v>
      </c>
      <c r="K63">
        <f>statek7[[#This Row],[ile_talarow_po_zaladowaniu]]+statek7[[#This Row],[ile_za_wyładunek]]</f>
        <v>12415</v>
      </c>
      <c r="L63" s="10">
        <f>IF(statek7[[#This Row],[port]]&lt;&gt;C62,1,0)</f>
        <v>0</v>
      </c>
      <c r="M63" s="10">
        <f>IF(statek7[[#This Row],[czy_wyplynal]]=1,statek7[[#This Row],[ile_talarow]],0)</f>
        <v>0</v>
      </c>
    </row>
    <row r="64" spans="1:13" x14ac:dyDescent="0.25">
      <c r="A64" s="1">
        <v>42704</v>
      </c>
      <c r="B64">
        <f t="shared" si="0"/>
        <v>12415</v>
      </c>
      <c r="C64" t="s">
        <v>20</v>
      </c>
      <c r="D64" t="s">
        <v>12</v>
      </c>
      <c r="E64" t="s">
        <v>8</v>
      </c>
      <c r="F64">
        <v>17</v>
      </c>
      <c r="G64">
        <v>20</v>
      </c>
      <c r="H64">
        <f>IF(statek7[[#This Row],[Z/W]]="Z",statek7[[#This Row],[ile ton]]*statek7[[#This Row],[cena za tone w talarach]],0)</f>
        <v>340</v>
      </c>
      <c r="I64">
        <f>statek7[[#This Row],[ile_talarow]]-statek7[[#This Row],[ile_za_zaladunek]]</f>
        <v>12075</v>
      </c>
      <c r="J64">
        <f>IF(statek7[[#This Row],[Z/W]]="W",statek7[[#This Row],[ile ton]]*statek7[[#This Row],[cena za tone w talarach]],0)</f>
        <v>0</v>
      </c>
      <c r="K64">
        <f>statek7[[#This Row],[ile_talarow_po_zaladowaniu]]+statek7[[#This Row],[ile_za_wyładunek]]</f>
        <v>12075</v>
      </c>
      <c r="L64" s="10">
        <f>IF(statek7[[#This Row],[port]]&lt;&gt;C63,1,0)</f>
        <v>0</v>
      </c>
      <c r="M64" s="10">
        <f>IF(statek7[[#This Row],[czy_wyplynal]]=1,statek7[[#This Row],[ile_talarow]],0)</f>
        <v>0</v>
      </c>
    </row>
    <row r="65" spans="1:13" x14ac:dyDescent="0.25">
      <c r="A65" s="1">
        <v>42704</v>
      </c>
      <c r="B65">
        <f t="shared" si="0"/>
        <v>12075</v>
      </c>
      <c r="C65" t="s">
        <v>20</v>
      </c>
      <c r="D65" t="s">
        <v>11</v>
      </c>
      <c r="E65" t="s">
        <v>8</v>
      </c>
      <c r="F65">
        <v>4</v>
      </c>
      <c r="G65">
        <v>23</v>
      </c>
      <c r="H65">
        <f>IF(statek7[[#This Row],[Z/W]]="Z",statek7[[#This Row],[ile ton]]*statek7[[#This Row],[cena za tone w talarach]],0)</f>
        <v>92</v>
      </c>
      <c r="I65">
        <f>statek7[[#This Row],[ile_talarow]]-statek7[[#This Row],[ile_za_zaladunek]]</f>
        <v>11983</v>
      </c>
      <c r="J65">
        <f>IF(statek7[[#This Row],[Z/W]]="W",statek7[[#This Row],[ile ton]]*statek7[[#This Row],[cena za tone w talarach]],0)</f>
        <v>0</v>
      </c>
      <c r="K65">
        <f>statek7[[#This Row],[ile_talarow_po_zaladowaniu]]+statek7[[#This Row],[ile_za_wyładunek]]</f>
        <v>11983</v>
      </c>
      <c r="L65" s="10">
        <f>IF(statek7[[#This Row],[port]]&lt;&gt;C64,1,0)</f>
        <v>0</v>
      </c>
      <c r="M65" s="10">
        <f>IF(statek7[[#This Row],[czy_wyplynal]]=1,statek7[[#This Row],[ile_talarow]],0)</f>
        <v>0</v>
      </c>
    </row>
    <row r="66" spans="1:13" x14ac:dyDescent="0.25">
      <c r="A66" s="1">
        <v>42729</v>
      </c>
      <c r="B66">
        <f t="shared" si="0"/>
        <v>11983</v>
      </c>
      <c r="C66" t="s">
        <v>21</v>
      </c>
      <c r="D66" t="s">
        <v>12</v>
      </c>
      <c r="E66" t="s">
        <v>14</v>
      </c>
      <c r="F66">
        <v>79</v>
      </c>
      <c r="G66">
        <v>31</v>
      </c>
      <c r="H66">
        <f>IF(statek7[[#This Row],[Z/W]]="Z",statek7[[#This Row],[ile ton]]*statek7[[#This Row],[cena za tone w talarach]],0)</f>
        <v>0</v>
      </c>
      <c r="I66">
        <f>statek7[[#This Row],[ile_talarow]]-statek7[[#This Row],[ile_za_zaladunek]]</f>
        <v>11983</v>
      </c>
      <c r="J66">
        <f>IF(statek7[[#This Row],[Z/W]]="W",statek7[[#This Row],[ile ton]]*statek7[[#This Row],[cena za tone w talarach]],0)</f>
        <v>2449</v>
      </c>
      <c r="K66">
        <f>statek7[[#This Row],[ile_talarow_po_zaladowaniu]]+statek7[[#This Row],[ile_za_wyładunek]]</f>
        <v>14432</v>
      </c>
      <c r="L66" s="10">
        <f>IF(statek7[[#This Row],[port]]&lt;&gt;C65,1,0)</f>
        <v>1</v>
      </c>
      <c r="M66" s="10">
        <f>IF(statek7[[#This Row],[czy_wyplynal]]=1,statek7[[#This Row],[ile_talarow]],0)</f>
        <v>11983</v>
      </c>
    </row>
    <row r="67" spans="1:13" x14ac:dyDescent="0.25">
      <c r="A67" s="1">
        <v>42729</v>
      </c>
      <c r="B67">
        <f t="shared" si="0"/>
        <v>14432</v>
      </c>
      <c r="C67" t="s">
        <v>21</v>
      </c>
      <c r="D67" t="s">
        <v>7</v>
      </c>
      <c r="E67" t="s">
        <v>8</v>
      </c>
      <c r="F67">
        <v>33</v>
      </c>
      <c r="G67">
        <v>60</v>
      </c>
      <c r="H67">
        <f>IF(statek7[[#This Row],[Z/W]]="Z",statek7[[#This Row],[ile ton]]*statek7[[#This Row],[cena za tone w talarach]],0)</f>
        <v>1980</v>
      </c>
      <c r="I67">
        <f>statek7[[#This Row],[ile_talarow]]-statek7[[#This Row],[ile_za_zaladunek]]</f>
        <v>12452</v>
      </c>
      <c r="J67">
        <f>IF(statek7[[#This Row],[Z/W]]="W",statek7[[#This Row],[ile ton]]*statek7[[#This Row],[cena za tone w talarach]],0)</f>
        <v>0</v>
      </c>
      <c r="K67">
        <f>statek7[[#This Row],[ile_talarow_po_zaladowaniu]]+statek7[[#This Row],[ile_za_wyładunek]]</f>
        <v>12452</v>
      </c>
      <c r="L67" s="10">
        <f>IF(statek7[[#This Row],[port]]&lt;&gt;C66,1,0)</f>
        <v>0</v>
      </c>
      <c r="M67" s="10">
        <f>IF(statek7[[#This Row],[czy_wyplynal]]=1,statek7[[#This Row],[ile_talarow]],0)</f>
        <v>0</v>
      </c>
    </row>
    <row r="68" spans="1:13" x14ac:dyDescent="0.25">
      <c r="A68" s="1">
        <v>42729</v>
      </c>
      <c r="B68">
        <f t="shared" ref="B68:B131" si="1">K67</f>
        <v>12452</v>
      </c>
      <c r="C68" t="s">
        <v>21</v>
      </c>
      <c r="D68" t="s">
        <v>11</v>
      </c>
      <c r="E68" t="s">
        <v>8</v>
      </c>
      <c r="F68">
        <v>26</v>
      </c>
      <c r="G68">
        <v>23</v>
      </c>
      <c r="H68">
        <f>IF(statek7[[#This Row],[Z/W]]="Z",statek7[[#This Row],[ile ton]]*statek7[[#This Row],[cena za tone w talarach]],0)</f>
        <v>598</v>
      </c>
      <c r="I68">
        <f>statek7[[#This Row],[ile_talarow]]-statek7[[#This Row],[ile_za_zaladunek]]</f>
        <v>11854</v>
      </c>
      <c r="J68">
        <f>IF(statek7[[#This Row],[Z/W]]="W",statek7[[#This Row],[ile ton]]*statek7[[#This Row],[cena za tone w talarach]],0)</f>
        <v>0</v>
      </c>
      <c r="K68">
        <f>statek7[[#This Row],[ile_talarow_po_zaladowaniu]]+statek7[[#This Row],[ile_za_wyładunek]]</f>
        <v>11854</v>
      </c>
      <c r="L68" s="10">
        <f>IF(statek7[[#This Row],[port]]&lt;&gt;C67,1,0)</f>
        <v>0</v>
      </c>
      <c r="M68" s="10">
        <f>IF(statek7[[#This Row],[czy_wyplynal]]=1,statek7[[#This Row],[ile_talarow]],0)</f>
        <v>0</v>
      </c>
    </row>
    <row r="69" spans="1:13" x14ac:dyDescent="0.25">
      <c r="A69" s="1">
        <v>42742</v>
      </c>
      <c r="B69">
        <f t="shared" si="1"/>
        <v>11854</v>
      </c>
      <c r="C69" t="s">
        <v>22</v>
      </c>
      <c r="D69" t="s">
        <v>12</v>
      </c>
      <c r="E69" t="s">
        <v>8</v>
      </c>
      <c r="F69">
        <v>40</v>
      </c>
      <c r="G69">
        <v>22</v>
      </c>
      <c r="H69">
        <f>IF(statek7[[#This Row],[Z/W]]="Z",statek7[[#This Row],[ile ton]]*statek7[[#This Row],[cena za tone w talarach]],0)</f>
        <v>880</v>
      </c>
      <c r="I69">
        <f>statek7[[#This Row],[ile_talarow]]-statek7[[#This Row],[ile_za_zaladunek]]</f>
        <v>10974</v>
      </c>
      <c r="J69">
        <f>IF(statek7[[#This Row],[Z/W]]="W",statek7[[#This Row],[ile ton]]*statek7[[#This Row],[cena za tone w talarach]],0)</f>
        <v>0</v>
      </c>
      <c r="K69">
        <f>statek7[[#This Row],[ile_talarow_po_zaladowaniu]]+statek7[[#This Row],[ile_za_wyładunek]]</f>
        <v>10974</v>
      </c>
      <c r="L69" s="10">
        <f>IF(statek7[[#This Row],[port]]&lt;&gt;C68,1,0)</f>
        <v>1</v>
      </c>
      <c r="M69" s="10">
        <f>IF(statek7[[#This Row],[czy_wyplynal]]=1,statek7[[#This Row],[ile_talarow]],0)</f>
        <v>11854</v>
      </c>
    </row>
    <row r="70" spans="1:13" x14ac:dyDescent="0.25">
      <c r="A70" s="1">
        <v>42742</v>
      </c>
      <c r="B70">
        <f t="shared" si="1"/>
        <v>10974</v>
      </c>
      <c r="C70" t="s">
        <v>22</v>
      </c>
      <c r="D70" t="s">
        <v>10</v>
      </c>
      <c r="E70" t="s">
        <v>8</v>
      </c>
      <c r="F70">
        <v>42</v>
      </c>
      <c r="G70">
        <v>9</v>
      </c>
      <c r="H70">
        <f>IF(statek7[[#This Row],[Z/W]]="Z",statek7[[#This Row],[ile ton]]*statek7[[#This Row],[cena za tone w talarach]],0)</f>
        <v>378</v>
      </c>
      <c r="I70">
        <f>statek7[[#This Row],[ile_talarow]]-statek7[[#This Row],[ile_za_zaladunek]]</f>
        <v>10596</v>
      </c>
      <c r="J70">
        <f>IF(statek7[[#This Row],[Z/W]]="W",statek7[[#This Row],[ile ton]]*statek7[[#This Row],[cena za tone w talarach]],0)</f>
        <v>0</v>
      </c>
      <c r="K70">
        <f>statek7[[#This Row],[ile_talarow_po_zaladowaniu]]+statek7[[#This Row],[ile_za_wyładunek]]</f>
        <v>10596</v>
      </c>
      <c r="L70" s="10">
        <f>IF(statek7[[#This Row],[port]]&lt;&gt;C69,1,0)</f>
        <v>0</v>
      </c>
      <c r="M70" s="10">
        <f>IF(statek7[[#This Row],[czy_wyplynal]]=1,statek7[[#This Row],[ile_talarow]],0)</f>
        <v>0</v>
      </c>
    </row>
    <row r="71" spans="1:13" x14ac:dyDescent="0.25">
      <c r="A71" s="1">
        <v>42742</v>
      </c>
      <c r="B71">
        <f t="shared" si="1"/>
        <v>10596</v>
      </c>
      <c r="C71" t="s">
        <v>22</v>
      </c>
      <c r="D71" t="s">
        <v>11</v>
      </c>
      <c r="E71" t="s">
        <v>8</v>
      </c>
      <c r="F71">
        <v>42</v>
      </c>
      <c r="G71">
        <v>26</v>
      </c>
      <c r="H71">
        <f>IF(statek7[[#This Row],[Z/W]]="Z",statek7[[#This Row],[ile ton]]*statek7[[#This Row],[cena za tone w talarach]],0)</f>
        <v>1092</v>
      </c>
      <c r="I71">
        <f>statek7[[#This Row],[ile_talarow]]-statek7[[#This Row],[ile_za_zaladunek]]</f>
        <v>9504</v>
      </c>
      <c r="J71">
        <f>IF(statek7[[#This Row],[Z/W]]="W",statek7[[#This Row],[ile ton]]*statek7[[#This Row],[cena za tone w talarach]],0)</f>
        <v>0</v>
      </c>
      <c r="K71">
        <f>statek7[[#This Row],[ile_talarow_po_zaladowaniu]]+statek7[[#This Row],[ile_za_wyładunek]]</f>
        <v>9504</v>
      </c>
      <c r="L71" s="10">
        <f>IF(statek7[[#This Row],[port]]&lt;&gt;C70,1,0)</f>
        <v>0</v>
      </c>
      <c r="M71" s="10">
        <f>IF(statek7[[#This Row],[czy_wyplynal]]=1,statek7[[#This Row],[ile_talarow]],0)</f>
        <v>0</v>
      </c>
    </row>
    <row r="72" spans="1:13" x14ac:dyDescent="0.25">
      <c r="A72" s="1">
        <v>42742</v>
      </c>
      <c r="B72">
        <f t="shared" si="1"/>
        <v>9504</v>
      </c>
      <c r="C72" t="s">
        <v>22</v>
      </c>
      <c r="D72" t="s">
        <v>7</v>
      </c>
      <c r="E72" t="s">
        <v>8</v>
      </c>
      <c r="F72">
        <v>9</v>
      </c>
      <c r="G72">
        <v>70</v>
      </c>
      <c r="H72">
        <f>IF(statek7[[#This Row],[Z/W]]="Z",statek7[[#This Row],[ile ton]]*statek7[[#This Row],[cena za tone w talarach]],0)</f>
        <v>630</v>
      </c>
      <c r="I72">
        <f>statek7[[#This Row],[ile_talarow]]-statek7[[#This Row],[ile_za_zaladunek]]</f>
        <v>8874</v>
      </c>
      <c r="J72">
        <f>IF(statek7[[#This Row],[Z/W]]="W",statek7[[#This Row],[ile ton]]*statek7[[#This Row],[cena za tone w talarach]],0)</f>
        <v>0</v>
      </c>
      <c r="K72">
        <f>statek7[[#This Row],[ile_talarow_po_zaladowaniu]]+statek7[[#This Row],[ile_za_wyładunek]]</f>
        <v>8874</v>
      </c>
      <c r="L72" s="10">
        <f>IF(statek7[[#This Row],[port]]&lt;&gt;C71,1,0)</f>
        <v>0</v>
      </c>
      <c r="M72" s="10">
        <f>IF(statek7[[#This Row],[czy_wyplynal]]=1,statek7[[#This Row],[ile_talarow]],0)</f>
        <v>0</v>
      </c>
    </row>
    <row r="73" spans="1:13" x14ac:dyDescent="0.25">
      <c r="A73" s="1">
        <v>42742</v>
      </c>
      <c r="B73">
        <f t="shared" si="1"/>
        <v>8874</v>
      </c>
      <c r="C73" t="s">
        <v>22</v>
      </c>
      <c r="D73" t="s">
        <v>9</v>
      </c>
      <c r="E73" t="s">
        <v>8</v>
      </c>
      <c r="F73">
        <v>39</v>
      </c>
      <c r="G73">
        <v>44</v>
      </c>
      <c r="H73">
        <f>IF(statek7[[#This Row],[Z/W]]="Z",statek7[[#This Row],[ile ton]]*statek7[[#This Row],[cena za tone w talarach]],0)</f>
        <v>1716</v>
      </c>
      <c r="I73">
        <f>statek7[[#This Row],[ile_talarow]]-statek7[[#This Row],[ile_za_zaladunek]]</f>
        <v>7158</v>
      </c>
      <c r="J73">
        <f>IF(statek7[[#This Row],[Z/W]]="W",statek7[[#This Row],[ile ton]]*statek7[[#This Row],[cena za tone w talarach]],0)</f>
        <v>0</v>
      </c>
      <c r="K73">
        <f>statek7[[#This Row],[ile_talarow_po_zaladowaniu]]+statek7[[#This Row],[ile_za_wyładunek]]</f>
        <v>7158</v>
      </c>
      <c r="L73" s="10">
        <f>IF(statek7[[#This Row],[port]]&lt;&gt;C72,1,0)</f>
        <v>0</v>
      </c>
      <c r="M73" s="10">
        <f>IF(statek7[[#This Row],[czy_wyplynal]]=1,statek7[[#This Row],[ile_talarow]],0)</f>
        <v>0</v>
      </c>
    </row>
    <row r="74" spans="1:13" x14ac:dyDescent="0.25">
      <c r="A74" s="1">
        <v>42759</v>
      </c>
      <c r="B74">
        <f t="shared" si="1"/>
        <v>7158</v>
      </c>
      <c r="C74" t="s">
        <v>6</v>
      </c>
      <c r="D74" t="s">
        <v>9</v>
      </c>
      <c r="E74" t="s">
        <v>14</v>
      </c>
      <c r="F74">
        <v>112</v>
      </c>
      <c r="G74">
        <v>59</v>
      </c>
      <c r="H74">
        <f>IF(statek7[[#This Row],[Z/W]]="Z",statek7[[#This Row],[ile ton]]*statek7[[#This Row],[cena za tone w talarach]],0)</f>
        <v>0</v>
      </c>
      <c r="I74">
        <f>statek7[[#This Row],[ile_talarow]]-statek7[[#This Row],[ile_za_zaladunek]]</f>
        <v>7158</v>
      </c>
      <c r="J74">
        <f>IF(statek7[[#This Row],[Z/W]]="W",statek7[[#This Row],[ile ton]]*statek7[[#This Row],[cena za tone w talarach]],0)</f>
        <v>6608</v>
      </c>
      <c r="K74">
        <f>statek7[[#This Row],[ile_talarow_po_zaladowaniu]]+statek7[[#This Row],[ile_za_wyładunek]]</f>
        <v>13766</v>
      </c>
      <c r="L74" s="10">
        <f>IF(statek7[[#This Row],[port]]&lt;&gt;C73,1,0)</f>
        <v>1</v>
      </c>
      <c r="M74" s="10">
        <f>IF(statek7[[#This Row],[czy_wyplynal]]=1,statek7[[#This Row],[ile_talarow]],0)</f>
        <v>7158</v>
      </c>
    </row>
    <row r="75" spans="1:13" x14ac:dyDescent="0.25">
      <c r="A75" s="1">
        <v>42759</v>
      </c>
      <c r="B75">
        <f t="shared" si="1"/>
        <v>13766</v>
      </c>
      <c r="C75" t="s">
        <v>6</v>
      </c>
      <c r="D75" t="s">
        <v>7</v>
      </c>
      <c r="E75" t="s">
        <v>8</v>
      </c>
      <c r="F75">
        <v>34</v>
      </c>
      <c r="G75">
        <v>66</v>
      </c>
      <c r="H75">
        <f>IF(statek7[[#This Row],[Z/W]]="Z",statek7[[#This Row],[ile ton]]*statek7[[#This Row],[cena za tone w talarach]],0)</f>
        <v>2244</v>
      </c>
      <c r="I75">
        <f>statek7[[#This Row],[ile_talarow]]-statek7[[#This Row],[ile_za_zaladunek]]</f>
        <v>11522</v>
      </c>
      <c r="J75">
        <f>IF(statek7[[#This Row],[Z/W]]="W",statek7[[#This Row],[ile ton]]*statek7[[#This Row],[cena za tone w talarach]],0)</f>
        <v>0</v>
      </c>
      <c r="K75">
        <f>statek7[[#This Row],[ile_talarow_po_zaladowaniu]]+statek7[[#This Row],[ile_za_wyładunek]]</f>
        <v>11522</v>
      </c>
      <c r="L75" s="10">
        <f>IF(statek7[[#This Row],[port]]&lt;&gt;C74,1,0)</f>
        <v>0</v>
      </c>
      <c r="M75" s="10">
        <f>IF(statek7[[#This Row],[czy_wyplynal]]=1,statek7[[#This Row],[ile_talarow]],0)</f>
        <v>0</v>
      </c>
    </row>
    <row r="76" spans="1:13" x14ac:dyDescent="0.25">
      <c r="A76" s="1">
        <v>42759</v>
      </c>
      <c r="B76">
        <f t="shared" si="1"/>
        <v>11522</v>
      </c>
      <c r="C76" t="s">
        <v>6</v>
      </c>
      <c r="D76" t="s">
        <v>12</v>
      </c>
      <c r="E76" t="s">
        <v>8</v>
      </c>
      <c r="F76">
        <v>5</v>
      </c>
      <c r="G76">
        <v>21</v>
      </c>
      <c r="H76">
        <f>IF(statek7[[#This Row],[Z/W]]="Z",statek7[[#This Row],[ile ton]]*statek7[[#This Row],[cena za tone w talarach]],0)</f>
        <v>105</v>
      </c>
      <c r="I76">
        <f>statek7[[#This Row],[ile_talarow]]-statek7[[#This Row],[ile_za_zaladunek]]</f>
        <v>11417</v>
      </c>
      <c r="J76">
        <f>IF(statek7[[#This Row],[Z/W]]="W",statek7[[#This Row],[ile ton]]*statek7[[#This Row],[cena za tone w talarach]],0)</f>
        <v>0</v>
      </c>
      <c r="K76">
        <f>statek7[[#This Row],[ile_talarow_po_zaladowaniu]]+statek7[[#This Row],[ile_za_wyładunek]]</f>
        <v>11417</v>
      </c>
      <c r="L76" s="10">
        <f>IF(statek7[[#This Row],[port]]&lt;&gt;C75,1,0)</f>
        <v>0</v>
      </c>
      <c r="M76" s="10">
        <f>IF(statek7[[#This Row],[czy_wyplynal]]=1,statek7[[#This Row],[ile_talarow]],0)</f>
        <v>0</v>
      </c>
    </row>
    <row r="77" spans="1:13" x14ac:dyDescent="0.25">
      <c r="A77" s="1">
        <v>42774</v>
      </c>
      <c r="B77">
        <f t="shared" si="1"/>
        <v>11417</v>
      </c>
      <c r="C77" t="s">
        <v>13</v>
      </c>
      <c r="D77" t="s">
        <v>7</v>
      </c>
      <c r="E77" t="s">
        <v>14</v>
      </c>
      <c r="F77">
        <v>74</v>
      </c>
      <c r="G77">
        <v>92</v>
      </c>
      <c r="H77">
        <f>IF(statek7[[#This Row],[Z/W]]="Z",statek7[[#This Row],[ile ton]]*statek7[[#This Row],[cena za tone w talarach]],0)</f>
        <v>0</v>
      </c>
      <c r="I77">
        <f>statek7[[#This Row],[ile_talarow]]-statek7[[#This Row],[ile_za_zaladunek]]</f>
        <v>11417</v>
      </c>
      <c r="J77">
        <f>IF(statek7[[#This Row],[Z/W]]="W",statek7[[#This Row],[ile ton]]*statek7[[#This Row],[cena za tone w talarach]],0)</f>
        <v>6808</v>
      </c>
      <c r="K77">
        <f>statek7[[#This Row],[ile_talarow_po_zaladowaniu]]+statek7[[#This Row],[ile_za_wyładunek]]</f>
        <v>18225</v>
      </c>
      <c r="L77" s="10">
        <f>IF(statek7[[#This Row],[port]]&lt;&gt;C76,1,0)</f>
        <v>1</v>
      </c>
      <c r="M77" s="10">
        <f>IF(statek7[[#This Row],[czy_wyplynal]]=1,statek7[[#This Row],[ile_talarow]],0)</f>
        <v>11417</v>
      </c>
    </row>
    <row r="78" spans="1:13" x14ac:dyDescent="0.25">
      <c r="A78" s="1">
        <v>42774</v>
      </c>
      <c r="B78">
        <f t="shared" si="1"/>
        <v>18225</v>
      </c>
      <c r="C78" t="s">
        <v>13</v>
      </c>
      <c r="D78" t="s">
        <v>11</v>
      </c>
      <c r="E78" t="s">
        <v>8</v>
      </c>
      <c r="F78">
        <v>14</v>
      </c>
      <c r="G78">
        <v>26</v>
      </c>
      <c r="H78">
        <f>IF(statek7[[#This Row],[Z/W]]="Z",statek7[[#This Row],[ile ton]]*statek7[[#This Row],[cena za tone w talarach]],0)</f>
        <v>364</v>
      </c>
      <c r="I78">
        <f>statek7[[#This Row],[ile_talarow]]-statek7[[#This Row],[ile_za_zaladunek]]</f>
        <v>17861</v>
      </c>
      <c r="J78">
        <f>IF(statek7[[#This Row],[Z/W]]="W",statek7[[#This Row],[ile ton]]*statek7[[#This Row],[cena za tone w talarach]],0)</f>
        <v>0</v>
      </c>
      <c r="K78">
        <f>statek7[[#This Row],[ile_talarow_po_zaladowaniu]]+statek7[[#This Row],[ile_za_wyładunek]]</f>
        <v>17861</v>
      </c>
      <c r="L78" s="10">
        <f>IF(statek7[[#This Row],[port]]&lt;&gt;C77,1,0)</f>
        <v>0</v>
      </c>
      <c r="M78" s="10">
        <f>IF(statek7[[#This Row],[czy_wyplynal]]=1,statek7[[#This Row],[ile_talarow]],0)</f>
        <v>0</v>
      </c>
    </row>
    <row r="79" spans="1:13" x14ac:dyDescent="0.25">
      <c r="A79" s="1">
        <v>42793</v>
      </c>
      <c r="B79">
        <f t="shared" si="1"/>
        <v>17861</v>
      </c>
      <c r="C79" t="s">
        <v>15</v>
      </c>
      <c r="D79" t="s">
        <v>9</v>
      </c>
      <c r="E79" t="s">
        <v>14</v>
      </c>
      <c r="F79">
        <v>1</v>
      </c>
      <c r="G79">
        <v>60</v>
      </c>
      <c r="H79">
        <f>IF(statek7[[#This Row],[Z/W]]="Z",statek7[[#This Row],[ile ton]]*statek7[[#This Row],[cena za tone w talarach]],0)</f>
        <v>0</v>
      </c>
      <c r="I79">
        <f>statek7[[#This Row],[ile_talarow]]-statek7[[#This Row],[ile_za_zaladunek]]</f>
        <v>17861</v>
      </c>
      <c r="J79">
        <f>IF(statek7[[#This Row],[Z/W]]="W",statek7[[#This Row],[ile ton]]*statek7[[#This Row],[cena za tone w talarach]],0)</f>
        <v>60</v>
      </c>
      <c r="K79">
        <f>statek7[[#This Row],[ile_talarow_po_zaladowaniu]]+statek7[[#This Row],[ile_za_wyładunek]]</f>
        <v>17921</v>
      </c>
      <c r="L79" s="10">
        <f>IF(statek7[[#This Row],[port]]&lt;&gt;C78,1,0)</f>
        <v>1</v>
      </c>
      <c r="M79" s="10">
        <f>IF(statek7[[#This Row],[czy_wyplynal]]=1,statek7[[#This Row],[ile_talarow]],0)</f>
        <v>17861</v>
      </c>
    </row>
    <row r="80" spans="1:13" x14ac:dyDescent="0.25">
      <c r="A80" s="1">
        <v>42793</v>
      </c>
      <c r="B80">
        <f t="shared" si="1"/>
        <v>17921</v>
      </c>
      <c r="C80" t="s">
        <v>15</v>
      </c>
      <c r="D80" t="s">
        <v>11</v>
      </c>
      <c r="E80" t="s">
        <v>14</v>
      </c>
      <c r="F80">
        <v>43</v>
      </c>
      <c r="G80">
        <v>36</v>
      </c>
      <c r="H80">
        <f>IF(statek7[[#This Row],[Z/W]]="Z",statek7[[#This Row],[ile ton]]*statek7[[#This Row],[cena za tone w talarach]],0)</f>
        <v>0</v>
      </c>
      <c r="I80">
        <f>statek7[[#This Row],[ile_talarow]]-statek7[[#This Row],[ile_za_zaladunek]]</f>
        <v>17921</v>
      </c>
      <c r="J80">
        <f>IF(statek7[[#This Row],[Z/W]]="W",statek7[[#This Row],[ile ton]]*statek7[[#This Row],[cena za tone w talarach]],0)</f>
        <v>1548</v>
      </c>
      <c r="K80">
        <f>statek7[[#This Row],[ile_talarow_po_zaladowaniu]]+statek7[[#This Row],[ile_za_wyładunek]]</f>
        <v>19469</v>
      </c>
      <c r="L80" s="10">
        <f>IF(statek7[[#This Row],[port]]&lt;&gt;C79,1,0)</f>
        <v>0</v>
      </c>
      <c r="M80" s="10">
        <f>IF(statek7[[#This Row],[czy_wyplynal]]=1,statek7[[#This Row],[ile_talarow]],0)</f>
        <v>0</v>
      </c>
    </row>
    <row r="81" spans="1:13" x14ac:dyDescent="0.25">
      <c r="A81" s="1">
        <v>42793</v>
      </c>
      <c r="B81">
        <f t="shared" si="1"/>
        <v>19469</v>
      </c>
      <c r="C81" t="s">
        <v>15</v>
      </c>
      <c r="D81" t="s">
        <v>10</v>
      </c>
      <c r="E81" t="s">
        <v>8</v>
      </c>
      <c r="F81">
        <v>30</v>
      </c>
      <c r="G81">
        <v>8</v>
      </c>
      <c r="H81">
        <f>IF(statek7[[#This Row],[Z/W]]="Z",statek7[[#This Row],[ile ton]]*statek7[[#This Row],[cena za tone w talarach]],0)</f>
        <v>240</v>
      </c>
      <c r="I81">
        <f>statek7[[#This Row],[ile_talarow]]-statek7[[#This Row],[ile_za_zaladunek]]</f>
        <v>19229</v>
      </c>
      <c r="J81">
        <f>IF(statek7[[#This Row],[Z/W]]="W",statek7[[#This Row],[ile ton]]*statek7[[#This Row],[cena za tone w talarach]],0)</f>
        <v>0</v>
      </c>
      <c r="K81">
        <f>statek7[[#This Row],[ile_talarow_po_zaladowaniu]]+statek7[[#This Row],[ile_za_wyładunek]]</f>
        <v>19229</v>
      </c>
      <c r="L81" s="10">
        <f>IF(statek7[[#This Row],[port]]&lt;&gt;C80,1,0)</f>
        <v>0</v>
      </c>
      <c r="M81" s="10">
        <f>IF(statek7[[#This Row],[czy_wyplynal]]=1,statek7[[#This Row],[ile_talarow]],0)</f>
        <v>0</v>
      </c>
    </row>
    <row r="82" spans="1:13" x14ac:dyDescent="0.25">
      <c r="A82" s="1">
        <v>42793</v>
      </c>
      <c r="B82">
        <f t="shared" si="1"/>
        <v>19229</v>
      </c>
      <c r="C82" t="s">
        <v>15</v>
      </c>
      <c r="D82" t="s">
        <v>12</v>
      </c>
      <c r="E82" t="s">
        <v>8</v>
      </c>
      <c r="F82">
        <v>14</v>
      </c>
      <c r="G82">
        <v>20</v>
      </c>
      <c r="H82">
        <f>IF(statek7[[#This Row],[Z/W]]="Z",statek7[[#This Row],[ile ton]]*statek7[[#This Row],[cena za tone w talarach]],0)</f>
        <v>280</v>
      </c>
      <c r="I82">
        <f>statek7[[#This Row],[ile_talarow]]-statek7[[#This Row],[ile_za_zaladunek]]</f>
        <v>18949</v>
      </c>
      <c r="J82">
        <f>IF(statek7[[#This Row],[Z/W]]="W",statek7[[#This Row],[ile ton]]*statek7[[#This Row],[cena za tone w talarach]],0)</f>
        <v>0</v>
      </c>
      <c r="K82">
        <f>statek7[[#This Row],[ile_talarow_po_zaladowaniu]]+statek7[[#This Row],[ile_za_wyładunek]]</f>
        <v>18949</v>
      </c>
      <c r="L82" s="10">
        <f>IF(statek7[[#This Row],[port]]&lt;&gt;C81,1,0)</f>
        <v>0</v>
      </c>
      <c r="M82" s="10">
        <f>IF(statek7[[#This Row],[czy_wyplynal]]=1,statek7[[#This Row],[ile_talarow]],0)</f>
        <v>0</v>
      </c>
    </row>
    <row r="83" spans="1:13" x14ac:dyDescent="0.25">
      <c r="A83" s="1">
        <v>42819</v>
      </c>
      <c r="B83">
        <f t="shared" si="1"/>
        <v>18949</v>
      </c>
      <c r="C83" t="s">
        <v>16</v>
      </c>
      <c r="D83" t="s">
        <v>11</v>
      </c>
      <c r="E83" t="s">
        <v>14</v>
      </c>
      <c r="F83">
        <v>33</v>
      </c>
      <c r="G83">
        <v>38</v>
      </c>
      <c r="H83">
        <f>IF(statek7[[#This Row],[Z/W]]="Z",statek7[[#This Row],[ile ton]]*statek7[[#This Row],[cena za tone w talarach]],0)</f>
        <v>0</v>
      </c>
      <c r="I83">
        <f>statek7[[#This Row],[ile_talarow]]-statek7[[#This Row],[ile_za_zaladunek]]</f>
        <v>18949</v>
      </c>
      <c r="J83">
        <f>IF(statek7[[#This Row],[Z/W]]="W",statek7[[#This Row],[ile ton]]*statek7[[#This Row],[cena za tone w talarach]],0)</f>
        <v>1254</v>
      </c>
      <c r="K83">
        <f>statek7[[#This Row],[ile_talarow_po_zaladowaniu]]+statek7[[#This Row],[ile_za_wyładunek]]</f>
        <v>20203</v>
      </c>
      <c r="L83" s="10">
        <f>IF(statek7[[#This Row],[port]]&lt;&gt;C82,1,0)</f>
        <v>1</v>
      </c>
      <c r="M83" s="10">
        <f>IF(statek7[[#This Row],[czy_wyplynal]]=1,statek7[[#This Row],[ile_talarow]],0)</f>
        <v>18949</v>
      </c>
    </row>
    <row r="84" spans="1:13" x14ac:dyDescent="0.25">
      <c r="A84" s="1">
        <v>42819</v>
      </c>
      <c r="B84">
        <f t="shared" si="1"/>
        <v>20203</v>
      </c>
      <c r="C84" t="s">
        <v>16</v>
      </c>
      <c r="D84" t="s">
        <v>9</v>
      </c>
      <c r="E84" t="s">
        <v>8</v>
      </c>
      <c r="F84">
        <v>35</v>
      </c>
      <c r="G84">
        <v>37</v>
      </c>
      <c r="H84">
        <f>IF(statek7[[#This Row],[Z/W]]="Z",statek7[[#This Row],[ile ton]]*statek7[[#This Row],[cena za tone w talarach]],0)</f>
        <v>1295</v>
      </c>
      <c r="I84">
        <f>statek7[[#This Row],[ile_talarow]]-statek7[[#This Row],[ile_za_zaladunek]]</f>
        <v>18908</v>
      </c>
      <c r="J84">
        <f>IF(statek7[[#This Row],[Z/W]]="W",statek7[[#This Row],[ile ton]]*statek7[[#This Row],[cena za tone w talarach]],0)</f>
        <v>0</v>
      </c>
      <c r="K84">
        <f>statek7[[#This Row],[ile_talarow_po_zaladowaniu]]+statek7[[#This Row],[ile_za_wyładunek]]</f>
        <v>18908</v>
      </c>
      <c r="L84" s="10">
        <f>IF(statek7[[#This Row],[port]]&lt;&gt;C83,1,0)</f>
        <v>0</v>
      </c>
      <c r="M84" s="10">
        <f>IF(statek7[[#This Row],[czy_wyplynal]]=1,statek7[[#This Row],[ile_talarow]],0)</f>
        <v>0</v>
      </c>
    </row>
    <row r="85" spans="1:13" x14ac:dyDescent="0.25">
      <c r="A85" s="1">
        <v>42819</v>
      </c>
      <c r="B85">
        <f t="shared" si="1"/>
        <v>18908</v>
      </c>
      <c r="C85" t="s">
        <v>16</v>
      </c>
      <c r="D85" t="s">
        <v>12</v>
      </c>
      <c r="E85" t="s">
        <v>8</v>
      </c>
      <c r="F85">
        <v>40</v>
      </c>
      <c r="G85">
        <v>19</v>
      </c>
      <c r="H85">
        <f>IF(statek7[[#This Row],[Z/W]]="Z",statek7[[#This Row],[ile ton]]*statek7[[#This Row],[cena za tone w talarach]],0)</f>
        <v>760</v>
      </c>
      <c r="I85">
        <f>statek7[[#This Row],[ile_talarow]]-statek7[[#This Row],[ile_za_zaladunek]]</f>
        <v>18148</v>
      </c>
      <c r="J85">
        <f>IF(statek7[[#This Row],[Z/W]]="W",statek7[[#This Row],[ile ton]]*statek7[[#This Row],[cena za tone w talarach]],0)</f>
        <v>0</v>
      </c>
      <c r="K85">
        <f>statek7[[#This Row],[ile_talarow_po_zaladowaniu]]+statek7[[#This Row],[ile_za_wyładunek]]</f>
        <v>18148</v>
      </c>
      <c r="L85" s="10">
        <f>IF(statek7[[#This Row],[port]]&lt;&gt;C84,1,0)</f>
        <v>0</v>
      </c>
      <c r="M85" s="10">
        <f>IF(statek7[[#This Row],[czy_wyplynal]]=1,statek7[[#This Row],[ile_talarow]],0)</f>
        <v>0</v>
      </c>
    </row>
    <row r="86" spans="1:13" x14ac:dyDescent="0.25">
      <c r="A86" s="1">
        <v>42840</v>
      </c>
      <c r="B86">
        <f t="shared" si="1"/>
        <v>18148</v>
      </c>
      <c r="C86" t="s">
        <v>17</v>
      </c>
      <c r="D86" t="s">
        <v>11</v>
      </c>
      <c r="E86" t="s">
        <v>14</v>
      </c>
      <c r="F86">
        <v>21</v>
      </c>
      <c r="G86">
        <v>36</v>
      </c>
      <c r="H86">
        <f>IF(statek7[[#This Row],[Z/W]]="Z",statek7[[#This Row],[ile ton]]*statek7[[#This Row],[cena za tone w talarach]],0)</f>
        <v>0</v>
      </c>
      <c r="I86">
        <f>statek7[[#This Row],[ile_talarow]]-statek7[[#This Row],[ile_za_zaladunek]]</f>
        <v>18148</v>
      </c>
      <c r="J86">
        <f>IF(statek7[[#This Row],[Z/W]]="W",statek7[[#This Row],[ile ton]]*statek7[[#This Row],[cena za tone w talarach]],0)</f>
        <v>756</v>
      </c>
      <c r="K86">
        <f>statek7[[#This Row],[ile_talarow_po_zaladowaniu]]+statek7[[#This Row],[ile_za_wyładunek]]</f>
        <v>18904</v>
      </c>
      <c r="L86" s="10">
        <f>IF(statek7[[#This Row],[port]]&lt;&gt;C85,1,0)</f>
        <v>1</v>
      </c>
      <c r="M86" s="10">
        <f>IF(statek7[[#This Row],[czy_wyplynal]]=1,statek7[[#This Row],[ile_talarow]],0)</f>
        <v>18148</v>
      </c>
    </row>
    <row r="87" spans="1:13" x14ac:dyDescent="0.25">
      <c r="A87" s="1">
        <v>42840</v>
      </c>
      <c r="B87">
        <f t="shared" si="1"/>
        <v>18904</v>
      </c>
      <c r="C87" t="s">
        <v>17</v>
      </c>
      <c r="D87" t="s">
        <v>7</v>
      </c>
      <c r="E87" t="s">
        <v>14</v>
      </c>
      <c r="F87">
        <v>2</v>
      </c>
      <c r="G87">
        <v>97</v>
      </c>
      <c r="H87">
        <f>IF(statek7[[#This Row],[Z/W]]="Z",statek7[[#This Row],[ile ton]]*statek7[[#This Row],[cena za tone w talarach]],0)</f>
        <v>0</v>
      </c>
      <c r="I87">
        <f>statek7[[#This Row],[ile_talarow]]-statek7[[#This Row],[ile_za_zaladunek]]</f>
        <v>18904</v>
      </c>
      <c r="J87">
        <f>IF(statek7[[#This Row],[Z/W]]="W",statek7[[#This Row],[ile ton]]*statek7[[#This Row],[cena za tone w talarach]],0)</f>
        <v>194</v>
      </c>
      <c r="K87">
        <f>statek7[[#This Row],[ile_talarow_po_zaladowaniu]]+statek7[[#This Row],[ile_za_wyładunek]]</f>
        <v>19098</v>
      </c>
      <c r="L87" s="10">
        <f>IF(statek7[[#This Row],[port]]&lt;&gt;C86,1,0)</f>
        <v>0</v>
      </c>
      <c r="M87" s="10">
        <f>IF(statek7[[#This Row],[czy_wyplynal]]=1,statek7[[#This Row],[ile_talarow]],0)</f>
        <v>0</v>
      </c>
    </row>
    <row r="88" spans="1:13" x14ac:dyDescent="0.25">
      <c r="A88" s="1">
        <v>42840</v>
      </c>
      <c r="B88">
        <f t="shared" si="1"/>
        <v>19098</v>
      </c>
      <c r="C88" t="s">
        <v>17</v>
      </c>
      <c r="D88" t="s">
        <v>12</v>
      </c>
      <c r="E88" t="s">
        <v>8</v>
      </c>
      <c r="F88">
        <v>12</v>
      </c>
      <c r="G88">
        <v>20</v>
      </c>
      <c r="H88">
        <f>IF(statek7[[#This Row],[Z/W]]="Z",statek7[[#This Row],[ile ton]]*statek7[[#This Row],[cena za tone w talarach]],0)</f>
        <v>240</v>
      </c>
      <c r="I88">
        <f>statek7[[#This Row],[ile_talarow]]-statek7[[#This Row],[ile_za_zaladunek]]</f>
        <v>18858</v>
      </c>
      <c r="J88">
        <f>IF(statek7[[#This Row],[Z/W]]="W",statek7[[#This Row],[ile ton]]*statek7[[#This Row],[cena za tone w talarach]],0)</f>
        <v>0</v>
      </c>
      <c r="K88">
        <f>statek7[[#This Row],[ile_talarow_po_zaladowaniu]]+statek7[[#This Row],[ile_za_wyładunek]]</f>
        <v>18858</v>
      </c>
      <c r="L88" s="10">
        <f>IF(statek7[[#This Row],[port]]&lt;&gt;C87,1,0)</f>
        <v>0</v>
      </c>
      <c r="M88" s="10">
        <f>IF(statek7[[#This Row],[czy_wyplynal]]=1,statek7[[#This Row],[ile_talarow]],0)</f>
        <v>0</v>
      </c>
    </row>
    <row r="89" spans="1:13" x14ac:dyDescent="0.25">
      <c r="A89" s="1">
        <v>42840</v>
      </c>
      <c r="B89">
        <f t="shared" si="1"/>
        <v>18858</v>
      </c>
      <c r="C89" t="s">
        <v>17</v>
      </c>
      <c r="D89" t="s">
        <v>10</v>
      </c>
      <c r="E89" t="s">
        <v>8</v>
      </c>
      <c r="F89">
        <v>15</v>
      </c>
      <c r="G89">
        <v>8</v>
      </c>
      <c r="H89">
        <f>IF(statek7[[#This Row],[Z/W]]="Z",statek7[[#This Row],[ile ton]]*statek7[[#This Row],[cena za tone w talarach]],0)</f>
        <v>120</v>
      </c>
      <c r="I89">
        <f>statek7[[#This Row],[ile_talarow]]-statek7[[#This Row],[ile_za_zaladunek]]</f>
        <v>18738</v>
      </c>
      <c r="J89">
        <f>IF(statek7[[#This Row],[Z/W]]="W",statek7[[#This Row],[ile ton]]*statek7[[#This Row],[cena za tone w talarach]],0)</f>
        <v>0</v>
      </c>
      <c r="K89">
        <f>statek7[[#This Row],[ile_talarow_po_zaladowaniu]]+statek7[[#This Row],[ile_za_wyładunek]]</f>
        <v>18738</v>
      </c>
      <c r="L89" s="10">
        <f>IF(statek7[[#This Row],[port]]&lt;&gt;C88,1,0)</f>
        <v>0</v>
      </c>
      <c r="M89" s="10">
        <f>IF(statek7[[#This Row],[czy_wyplynal]]=1,statek7[[#This Row],[ile_talarow]],0)</f>
        <v>0</v>
      </c>
    </row>
    <row r="90" spans="1:13" x14ac:dyDescent="0.25">
      <c r="A90" s="1">
        <v>42840</v>
      </c>
      <c r="B90">
        <f t="shared" si="1"/>
        <v>18738</v>
      </c>
      <c r="C90" t="s">
        <v>17</v>
      </c>
      <c r="D90" t="s">
        <v>9</v>
      </c>
      <c r="E90" t="s">
        <v>8</v>
      </c>
      <c r="F90">
        <v>1</v>
      </c>
      <c r="G90">
        <v>40</v>
      </c>
      <c r="H90">
        <f>IF(statek7[[#This Row],[Z/W]]="Z",statek7[[#This Row],[ile ton]]*statek7[[#This Row],[cena za tone w talarach]],0)</f>
        <v>40</v>
      </c>
      <c r="I90">
        <f>statek7[[#This Row],[ile_talarow]]-statek7[[#This Row],[ile_za_zaladunek]]</f>
        <v>18698</v>
      </c>
      <c r="J90">
        <f>IF(statek7[[#This Row],[Z/W]]="W",statek7[[#This Row],[ile ton]]*statek7[[#This Row],[cena za tone w talarach]],0)</f>
        <v>0</v>
      </c>
      <c r="K90">
        <f>statek7[[#This Row],[ile_talarow_po_zaladowaniu]]+statek7[[#This Row],[ile_za_wyładunek]]</f>
        <v>18698</v>
      </c>
      <c r="L90" s="10">
        <f>IF(statek7[[#This Row],[port]]&lt;&gt;C89,1,0)</f>
        <v>0</v>
      </c>
      <c r="M90" s="10">
        <f>IF(statek7[[#This Row],[czy_wyplynal]]=1,statek7[[#This Row],[ile_talarow]],0)</f>
        <v>0</v>
      </c>
    </row>
    <row r="91" spans="1:13" x14ac:dyDescent="0.25">
      <c r="A91" s="1">
        <v>42864</v>
      </c>
      <c r="B91">
        <f t="shared" si="1"/>
        <v>18698</v>
      </c>
      <c r="C91" t="s">
        <v>18</v>
      </c>
      <c r="D91" t="s">
        <v>10</v>
      </c>
      <c r="E91" t="s">
        <v>14</v>
      </c>
      <c r="F91">
        <v>86</v>
      </c>
      <c r="G91">
        <v>12</v>
      </c>
      <c r="H91">
        <f>IF(statek7[[#This Row],[Z/W]]="Z",statek7[[#This Row],[ile ton]]*statek7[[#This Row],[cena za tone w talarach]],0)</f>
        <v>0</v>
      </c>
      <c r="I91">
        <f>statek7[[#This Row],[ile_talarow]]-statek7[[#This Row],[ile_za_zaladunek]]</f>
        <v>18698</v>
      </c>
      <c r="J91">
        <f>IF(statek7[[#This Row],[Z/W]]="W",statek7[[#This Row],[ile ton]]*statek7[[#This Row],[cena za tone w talarach]],0)</f>
        <v>1032</v>
      </c>
      <c r="K91">
        <f>statek7[[#This Row],[ile_talarow_po_zaladowaniu]]+statek7[[#This Row],[ile_za_wyładunek]]</f>
        <v>19730</v>
      </c>
      <c r="L91" s="10">
        <f>IF(statek7[[#This Row],[port]]&lt;&gt;C90,1,0)</f>
        <v>1</v>
      </c>
      <c r="M91" s="10">
        <f>IF(statek7[[#This Row],[czy_wyplynal]]=1,statek7[[#This Row],[ile_talarow]],0)</f>
        <v>18698</v>
      </c>
    </row>
    <row r="92" spans="1:13" x14ac:dyDescent="0.25">
      <c r="A92" s="1">
        <v>42864</v>
      </c>
      <c r="B92">
        <f t="shared" si="1"/>
        <v>19730</v>
      </c>
      <c r="C92" t="s">
        <v>18</v>
      </c>
      <c r="D92" t="s">
        <v>12</v>
      </c>
      <c r="E92" t="s">
        <v>14</v>
      </c>
      <c r="F92">
        <v>110</v>
      </c>
      <c r="G92">
        <v>31</v>
      </c>
      <c r="H92">
        <f>IF(statek7[[#This Row],[Z/W]]="Z",statek7[[#This Row],[ile ton]]*statek7[[#This Row],[cena za tone w talarach]],0)</f>
        <v>0</v>
      </c>
      <c r="I92">
        <f>statek7[[#This Row],[ile_talarow]]-statek7[[#This Row],[ile_za_zaladunek]]</f>
        <v>19730</v>
      </c>
      <c r="J92">
        <f>IF(statek7[[#This Row],[Z/W]]="W",statek7[[#This Row],[ile ton]]*statek7[[#This Row],[cena za tone w talarach]],0)</f>
        <v>3410</v>
      </c>
      <c r="K92">
        <f>statek7[[#This Row],[ile_talarow_po_zaladowaniu]]+statek7[[#This Row],[ile_za_wyładunek]]</f>
        <v>23140</v>
      </c>
      <c r="L92" s="10">
        <f>IF(statek7[[#This Row],[port]]&lt;&gt;C91,1,0)</f>
        <v>0</v>
      </c>
      <c r="M92" s="10">
        <f>IF(statek7[[#This Row],[czy_wyplynal]]=1,statek7[[#This Row],[ile_talarow]],0)</f>
        <v>0</v>
      </c>
    </row>
    <row r="93" spans="1:13" x14ac:dyDescent="0.25">
      <c r="A93" s="1">
        <v>42864</v>
      </c>
      <c r="B93">
        <f t="shared" si="1"/>
        <v>23140</v>
      </c>
      <c r="C93" t="s">
        <v>18</v>
      </c>
      <c r="D93" t="s">
        <v>9</v>
      </c>
      <c r="E93" t="s">
        <v>8</v>
      </c>
      <c r="F93">
        <v>33</v>
      </c>
      <c r="G93">
        <v>38</v>
      </c>
      <c r="H93">
        <f>IF(statek7[[#This Row],[Z/W]]="Z",statek7[[#This Row],[ile ton]]*statek7[[#This Row],[cena za tone w talarach]],0)</f>
        <v>1254</v>
      </c>
      <c r="I93">
        <f>statek7[[#This Row],[ile_talarow]]-statek7[[#This Row],[ile_za_zaladunek]]</f>
        <v>21886</v>
      </c>
      <c r="J93">
        <f>IF(statek7[[#This Row],[Z/W]]="W",statek7[[#This Row],[ile ton]]*statek7[[#This Row],[cena za tone w talarach]],0)</f>
        <v>0</v>
      </c>
      <c r="K93">
        <f>statek7[[#This Row],[ile_talarow_po_zaladowaniu]]+statek7[[#This Row],[ile_za_wyładunek]]</f>
        <v>21886</v>
      </c>
      <c r="L93" s="10">
        <f>IF(statek7[[#This Row],[port]]&lt;&gt;C92,1,0)</f>
        <v>0</v>
      </c>
      <c r="M93" s="10">
        <f>IF(statek7[[#This Row],[czy_wyplynal]]=1,statek7[[#This Row],[ile_talarow]],0)</f>
        <v>0</v>
      </c>
    </row>
    <row r="94" spans="1:13" x14ac:dyDescent="0.25">
      <c r="A94" s="1">
        <v>42864</v>
      </c>
      <c r="B94">
        <f t="shared" si="1"/>
        <v>21886</v>
      </c>
      <c r="C94" t="s">
        <v>18</v>
      </c>
      <c r="D94" t="s">
        <v>11</v>
      </c>
      <c r="E94" t="s">
        <v>8</v>
      </c>
      <c r="F94">
        <v>13</v>
      </c>
      <c r="G94">
        <v>23</v>
      </c>
      <c r="H94">
        <f>IF(statek7[[#This Row],[Z/W]]="Z",statek7[[#This Row],[ile ton]]*statek7[[#This Row],[cena za tone w talarach]],0)</f>
        <v>299</v>
      </c>
      <c r="I94">
        <f>statek7[[#This Row],[ile_talarow]]-statek7[[#This Row],[ile_za_zaladunek]]</f>
        <v>21587</v>
      </c>
      <c r="J94">
        <f>IF(statek7[[#This Row],[Z/W]]="W",statek7[[#This Row],[ile ton]]*statek7[[#This Row],[cena za tone w talarach]],0)</f>
        <v>0</v>
      </c>
      <c r="K94">
        <f>statek7[[#This Row],[ile_talarow_po_zaladowaniu]]+statek7[[#This Row],[ile_za_wyładunek]]</f>
        <v>21587</v>
      </c>
      <c r="L94" s="10">
        <f>IF(statek7[[#This Row],[port]]&lt;&gt;C93,1,0)</f>
        <v>0</v>
      </c>
      <c r="M94" s="10">
        <f>IF(statek7[[#This Row],[czy_wyplynal]]=1,statek7[[#This Row],[ile_talarow]],0)</f>
        <v>0</v>
      </c>
    </row>
    <row r="95" spans="1:13" x14ac:dyDescent="0.25">
      <c r="A95" s="1">
        <v>42864</v>
      </c>
      <c r="B95">
        <f t="shared" si="1"/>
        <v>21587</v>
      </c>
      <c r="C95" t="s">
        <v>18</v>
      </c>
      <c r="D95" t="s">
        <v>7</v>
      </c>
      <c r="E95" t="s">
        <v>8</v>
      </c>
      <c r="F95">
        <v>37</v>
      </c>
      <c r="G95">
        <v>61</v>
      </c>
      <c r="H95">
        <f>IF(statek7[[#This Row],[Z/W]]="Z",statek7[[#This Row],[ile ton]]*statek7[[#This Row],[cena za tone w talarach]],0)</f>
        <v>2257</v>
      </c>
      <c r="I95">
        <f>statek7[[#This Row],[ile_talarow]]-statek7[[#This Row],[ile_za_zaladunek]]</f>
        <v>19330</v>
      </c>
      <c r="J95">
        <f>IF(statek7[[#This Row],[Z/W]]="W",statek7[[#This Row],[ile ton]]*statek7[[#This Row],[cena za tone w talarach]],0)</f>
        <v>0</v>
      </c>
      <c r="K95">
        <f>statek7[[#This Row],[ile_talarow_po_zaladowaniu]]+statek7[[#This Row],[ile_za_wyładunek]]</f>
        <v>19330</v>
      </c>
      <c r="L95" s="10">
        <f>IF(statek7[[#This Row],[port]]&lt;&gt;C94,1,0)</f>
        <v>0</v>
      </c>
      <c r="M95" s="10">
        <f>IF(statek7[[#This Row],[czy_wyplynal]]=1,statek7[[#This Row],[ile_talarow]],0)</f>
        <v>0</v>
      </c>
    </row>
    <row r="96" spans="1:13" x14ac:dyDescent="0.25">
      <c r="A96" s="1">
        <v>42882</v>
      </c>
      <c r="B96">
        <f t="shared" si="1"/>
        <v>19330</v>
      </c>
      <c r="C96" t="s">
        <v>19</v>
      </c>
      <c r="D96" t="s">
        <v>10</v>
      </c>
      <c r="E96" t="s">
        <v>14</v>
      </c>
      <c r="F96">
        <v>1</v>
      </c>
      <c r="G96">
        <v>12</v>
      </c>
      <c r="H96">
        <f>IF(statek7[[#This Row],[Z/W]]="Z",statek7[[#This Row],[ile ton]]*statek7[[#This Row],[cena za tone w talarach]],0)</f>
        <v>0</v>
      </c>
      <c r="I96">
        <f>statek7[[#This Row],[ile_talarow]]-statek7[[#This Row],[ile_za_zaladunek]]</f>
        <v>19330</v>
      </c>
      <c r="J96">
        <f>IF(statek7[[#This Row],[Z/W]]="W",statek7[[#This Row],[ile ton]]*statek7[[#This Row],[cena za tone w talarach]],0)</f>
        <v>12</v>
      </c>
      <c r="K96">
        <f>statek7[[#This Row],[ile_talarow_po_zaladowaniu]]+statek7[[#This Row],[ile_za_wyładunek]]</f>
        <v>19342</v>
      </c>
      <c r="L96" s="10">
        <f>IF(statek7[[#This Row],[port]]&lt;&gt;C95,1,0)</f>
        <v>1</v>
      </c>
      <c r="M96" s="10">
        <f>IF(statek7[[#This Row],[czy_wyplynal]]=1,statek7[[#This Row],[ile_talarow]],0)</f>
        <v>19330</v>
      </c>
    </row>
    <row r="97" spans="1:13" x14ac:dyDescent="0.25">
      <c r="A97" s="1">
        <v>42882</v>
      </c>
      <c r="B97">
        <f t="shared" si="1"/>
        <v>19342</v>
      </c>
      <c r="C97" t="s">
        <v>19</v>
      </c>
      <c r="D97" t="s">
        <v>9</v>
      </c>
      <c r="E97" t="s">
        <v>14</v>
      </c>
      <c r="F97">
        <v>68</v>
      </c>
      <c r="G97">
        <v>59</v>
      </c>
      <c r="H97">
        <f>IF(statek7[[#This Row],[Z/W]]="Z",statek7[[#This Row],[ile ton]]*statek7[[#This Row],[cena za tone w talarach]],0)</f>
        <v>0</v>
      </c>
      <c r="I97">
        <f>statek7[[#This Row],[ile_talarow]]-statek7[[#This Row],[ile_za_zaladunek]]</f>
        <v>19342</v>
      </c>
      <c r="J97">
        <f>IF(statek7[[#This Row],[Z/W]]="W",statek7[[#This Row],[ile ton]]*statek7[[#This Row],[cena za tone w talarach]],0)</f>
        <v>4012</v>
      </c>
      <c r="K97">
        <f>statek7[[#This Row],[ile_talarow_po_zaladowaniu]]+statek7[[#This Row],[ile_za_wyładunek]]</f>
        <v>23354</v>
      </c>
      <c r="L97" s="10">
        <f>IF(statek7[[#This Row],[port]]&lt;&gt;C96,1,0)</f>
        <v>0</v>
      </c>
      <c r="M97" s="10">
        <f>IF(statek7[[#This Row],[czy_wyplynal]]=1,statek7[[#This Row],[ile_talarow]],0)</f>
        <v>0</v>
      </c>
    </row>
    <row r="98" spans="1:13" x14ac:dyDescent="0.25">
      <c r="A98" s="1">
        <v>42882</v>
      </c>
      <c r="B98">
        <f t="shared" si="1"/>
        <v>23354</v>
      </c>
      <c r="C98" t="s">
        <v>19</v>
      </c>
      <c r="D98" t="s">
        <v>7</v>
      </c>
      <c r="E98" t="s">
        <v>8</v>
      </c>
      <c r="F98">
        <v>35</v>
      </c>
      <c r="G98">
        <v>66</v>
      </c>
      <c r="H98">
        <f>IF(statek7[[#This Row],[Z/W]]="Z",statek7[[#This Row],[ile ton]]*statek7[[#This Row],[cena za tone w talarach]],0)</f>
        <v>2310</v>
      </c>
      <c r="I98">
        <f>statek7[[#This Row],[ile_talarow]]-statek7[[#This Row],[ile_za_zaladunek]]</f>
        <v>21044</v>
      </c>
      <c r="J98">
        <f>IF(statek7[[#This Row],[Z/W]]="W",statek7[[#This Row],[ile ton]]*statek7[[#This Row],[cena za tone w talarach]],0)</f>
        <v>0</v>
      </c>
      <c r="K98">
        <f>statek7[[#This Row],[ile_talarow_po_zaladowaniu]]+statek7[[#This Row],[ile_za_wyładunek]]</f>
        <v>21044</v>
      </c>
      <c r="L98" s="10">
        <f>IF(statek7[[#This Row],[port]]&lt;&gt;C97,1,0)</f>
        <v>0</v>
      </c>
      <c r="M98" s="10">
        <f>IF(statek7[[#This Row],[czy_wyplynal]]=1,statek7[[#This Row],[ile_talarow]],0)</f>
        <v>0</v>
      </c>
    </row>
    <row r="99" spans="1:13" x14ac:dyDescent="0.25">
      <c r="A99" s="1">
        <v>42882</v>
      </c>
      <c r="B99">
        <f t="shared" si="1"/>
        <v>21044</v>
      </c>
      <c r="C99" t="s">
        <v>19</v>
      </c>
      <c r="D99" t="s">
        <v>12</v>
      </c>
      <c r="E99" t="s">
        <v>8</v>
      </c>
      <c r="F99">
        <v>25</v>
      </c>
      <c r="G99">
        <v>21</v>
      </c>
      <c r="H99">
        <f>IF(statek7[[#This Row],[Z/W]]="Z",statek7[[#This Row],[ile ton]]*statek7[[#This Row],[cena za tone w talarach]],0)</f>
        <v>525</v>
      </c>
      <c r="I99">
        <f>statek7[[#This Row],[ile_talarow]]-statek7[[#This Row],[ile_za_zaladunek]]</f>
        <v>20519</v>
      </c>
      <c r="J99">
        <f>IF(statek7[[#This Row],[Z/W]]="W",statek7[[#This Row],[ile ton]]*statek7[[#This Row],[cena za tone w talarach]],0)</f>
        <v>0</v>
      </c>
      <c r="K99">
        <f>statek7[[#This Row],[ile_talarow_po_zaladowaniu]]+statek7[[#This Row],[ile_za_wyładunek]]</f>
        <v>20519</v>
      </c>
      <c r="L99" s="10">
        <f>IF(statek7[[#This Row],[port]]&lt;&gt;C98,1,0)</f>
        <v>0</v>
      </c>
      <c r="M99" s="10">
        <f>IF(statek7[[#This Row],[czy_wyplynal]]=1,statek7[[#This Row],[ile_talarow]],0)</f>
        <v>0</v>
      </c>
    </row>
    <row r="100" spans="1:13" x14ac:dyDescent="0.25">
      <c r="A100" s="1">
        <v>42882</v>
      </c>
      <c r="B100">
        <f t="shared" si="1"/>
        <v>20519</v>
      </c>
      <c r="C100" t="s">
        <v>19</v>
      </c>
      <c r="D100" t="s">
        <v>11</v>
      </c>
      <c r="E100" t="s">
        <v>8</v>
      </c>
      <c r="F100">
        <v>10</v>
      </c>
      <c r="G100">
        <v>25</v>
      </c>
      <c r="H100">
        <f>IF(statek7[[#This Row],[Z/W]]="Z",statek7[[#This Row],[ile ton]]*statek7[[#This Row],[cena za tone w talarach]],0)</f>
        <v>250</v>
      </c>
      <c r="I100">
        <f>statek7[[#This Row],[ile_talarow]]-statek7[[#This Row],[ile_za_zaladunek]]</f>
        <v>20269</v>
      </c>
      <c r="J100">
        <f>IF(statek7[[#This Row],[Z/W]]="W",statek7[[#This Row],[ile ton]]*statek7[[#This Row],[cena za tone w talarach]],0)</f>
        <v>0</v>
      </c>
      <c r="K100">
        <f>statek7[[#This Row],[ile_talarow_po_zaladowaniu]]+statek7[[#This Row],[ile_za_wyładunek]]</f>
        <v>20269</v>
      </c>
      <c r="L100" s="10">
        <f>IF(statek7[[#This Row],[port]]&lt;&gt;C99,1,0)</f>
        <v>0</v>
      </c>
      <c r="M100" s="10">
        <f>IF(statek7[[#This Row],[czy_wyplynal]]=1,statek7[[#This Row],[ile_talarow]],0)</f>
        <v>0</v>
      </c>
    </row>
    <row r="101" spans="1:13" x14ac:dyDescent="0.25">
      <c r="A101" s="1">
        <v>42904</v>
      </c>
      <c r="B101">
        <f t="shared" si="1"/>
        <v>20269</v>
      </c>
      <c r="C101" t="s">
        <v>20</v>
      </c>
      <c r="D101" t="s">
        <v>11</v>
      </c>
      <c r="E101" t="s">
        <v>14</v>
      </c>
      <c r="F101">
        <v>38</v>
      </c>
      <c r="G101">
        <v>37</v>
      </c>
      <c r="H101">
        <f>IF(statek7[[#This Row],[Z/W]]="Z",statek7[[#This Row],[ile ton]]*statek7[[#This Row],[cena za tone w talarach]],0)</f>
        <v>0</v>
      </c>
      <c r="I101">
        <f>statek7[[#This Row],[ile_talarow]]-statek7[[#This Row],[ile_za_zaladunek]]</f>
        <v>20269</v>
      </c>
      <c r="J101">
        <f>IF(statek7[[#This Row],[Z/W]]="W",statek7[[#This Row],[ile ton]]*statek7[[#This Row],[cena za tone w talarach]],0)</f>
        <v>1406</v>
      </c>
      <c r="K101">
        <f>statek7[[#This Row],[ile_talarow_po_zaladowaniu]]+statek7[[#This Row],[ile_za_wyładunek]]</f>
        <v>21675</v>
      </c>
      <c r="L101" s="10">
        <f>IF(statek7[[#This Row],[port]]&lt;&gt;C100,1,0)</f>
        <v>1</v>
      </c>
      <c r="M101" s="10">
        <f>IF(statek7[[#This Row],[czy_wyplynal]]=1,statek7[[#This Row],[ile_talarow]],0)</f>
        <v>20269</v>
      </c>
    </row>
    <row r="102" spans="1:13" x14ac:dyDescent="0.25">
      <c r="A102" s="1">
        <v>42904</v>
      </c>
      <c r="B102">
        <f t="shared" si="1"/>
        <v>21675</v>
      </c>
      <c r="C102" t="s">
        <v>20</v>
      </c>
      <c r="D102" t="s">
        <v>10</v>
      </c>
      <c r="E102" t="s">
        <v>8</v>
      </c>
      <c r="F102">
        <v>22</v>
      </c>
      <c r="G102">
        <v>8</v>
      </c>
      <c r="H102">
        <f>IF(statek7[[#This Row],[Z/W]]="Z",statek7[[#This Row],[ile ton]]*statek7[[#This Row],[cena za tone w talarach]],0)</f>
        <v>176</v>
      </c>
      <c r="I102">
        <f>statek7[[#This Row],[ile_talarow]]-statek7[[#This Row],[ile_za_zaladunek]]</f>
        <v>21499</v>
      </c>
      <c r="J102">
        <f>IF(statek7[[#This Row],[Z/W]]="W",statek7[[#This Row],[ile ton]]*statek7[[#This Row],[cena za tone w talarach]],0)</f>
        <v>0</v>
      </c>
      <c r="K102">
        <f>statek7[[#This Row],[ile_talarow_po_zaladowaniu]]+statek7[[#This Row],[ile_za_wyładunek]]</f>
        <v>21499</v>
      </c>
      <c r="L102" s="10">
        <f>IF(statek7[[#This Row],[port]]&lt;&gt;C101,1,0)</f>
        <v>0</v>
      </c>
      <c r="M102" s="10">
        <f>IF(statek7[[#This Row],[czy_wyplynal]]=1,statek7[[#This Row],[ile_talarow]],0)</f>
        <v>0</v>
      </c>
    </row>
    <row r="103" spans="1:13" x14ac:dyDescent="0.25">
      <c r="A103" s="1">
        <v>42904</v>
      </c>
      <c r="B103">
        <f t="shared" si="1"/>
        <v>21499</v>
      </c>
      <c r="C103" t="s">
        <v>20</v>
      </c>
      <c r="D103" t="s">
        <v>12</v>
      </c>
      <c r="E103" t="s">
        <v>8</v>
      </c>
      <c r="F103">
        <v>25</v>
      </c>
      <c r="G103">
        <v>20</v>
      </c>
      <c r="H103">
        <f>IF(statek7[[#This Row],[Z/W]]="Z",statek7[[#This Row],[ile ton]]*statek7[[#This Row],[cena za tone w talarach]],0)</f>
        <v>500</v>
      </c>
      <c r="I103">
        <f>statek7[[#This Row],[ile_talarow]]-statek7[[#This Row],[ile_za_zaladunek]]</f>
        <v>20999</v>
      </c>
      <c r="J103">
        <f>IF(statek7[[#This Row],[Z/W]]="W",statek7[[#This Row],[ile ton]]*statek7[[#This Row],[cena za tone w talarach]],0)</f>
        <v>0</v>
      </c>
      <c r="K103">
        <f>statek7[[#This Row],[ile_talarow_po_zaladowaniu]]+statek7[[#This Row],[ile_za_wyładunek]]</f>
        <v>20999</v>
      </c>
      <c r="L103" s="10">
        <f>IF(statek7[[#This Row],[port]]&lt;&gt;C102,1,0)</f>
        <v>0</v>
      </c>
      <c r="M103" s="10">
        <f>IF(statek7[[#This Row],[czy_wyplynal]]=1,statek7[[#This Row],[ile_talarow]],0)</f>
        <v>0</v>
      </c>
    </row>
    <row r="104" spans="1:13" x14ac:dyDescent="0.25">
      <c r="A104" s="1">
        <v>42904</v>
      </c>
      <c r="B104">
        <f t="shared" si="1"/>
        <v>20999</v>
      </c>
      <c r="C104" t="s">
        <v>20</v>
      </c>
      <c r="D104" t="s">
        <v>9</v>
      </c>
      <c r="E104" t="s">
        <v>8</v>
      </c>
      <c r="F104">
        <v>8</v>
      </c>
      <c r="G104">
        <v>39</v>
      </c>
      <c r="H104">
        <f>IF(statek7[[#This Row],[Z/W]]="Z",statek7[[#This Row],[ile ton]]*statek7[[#This Row],[cena za tone w talarach]],0)</f>
        <v>312</v>
      </c>
      <c r="I104">
        <f>statek7[[#This Row],[ile_talarow]]-statek7[[#This Row],[ile_za_zaladunek]]</f>
        <v>20687</v>
      </c>
      <c r="J104">
        <f>IF(statek7[[#This Row],[Z/W]]="W",statek7[[#This Row],[ile ton]]*statek7[[#This Row],[cena za tone w talarach]],0)</f>
        <v>0</v>
      </c>
      <c r="K104">
        <f>statek7[[#This Row],[ile_talarow_po_zaladowaniu]]+statek7[[#This Row],[ile_za_wyładunek]]</f>
        <v>20687</v>
      </c>
      <c r="L104" s="10">
        <f>IF(statek7[[#This Row],[port]]&lt;&gt;C103,1,0)</f>
        <v>0</v>
      </c>
      <c r="M104" s="10">
        <f>IF(statek7[[#This Row],[czy_wyplynal]]=1,statek7[[#This Row],[ile_talarow]],0)</f>
        <v>0</v>
      </c>
    </row>
    <row r="105" spans="1:13" x14ac:dyDescent="0.25">
      <c r="A105" s="1">
        <v>42904</v>
      </c>
      <c r="B105">
        <f t="shared" si="1"/>
        <v>20687</v>
      </c>
      <c r="C105" t="s">
        <v>20</v>
      </c>
      <c r="D105" t="s">
        <v>7</v>
      </c>
      <c r="E105" t="s">
        <v>8</v>
      </c>
      <c r="F105">
        <v>45</v>
      </c>
      <c r="G105">
        <v>62</v>
      </c>
      <c r="H105">
        <f>IF(statek7[[#This Row],[Z/W]]="Z",statek7[[#This Row],[ile ton]]*statek7[[#This Row],[cena za tone w talarach]],0)</f>
        <v>2790</v>
      </c>
      <c r="I105">
        <f>statek7[[#This Row],[ile_talarow]]-statek7[[#This Row],[ile_za_zaladunek]]</f>
        <v>17897</v>
      </c>
      <c r="J105">
        <f>IF(statek7[[#This Row],[Z/W]]="W",statek7[[#This Row],[ile ton]]*statek7[[#This Row],[cena za tone w talarach]],0)</f>
        <v>0</v>
      </c>
      <c r="K105">
        <f>statek7[[#This Row],[ile_talarow_po_zaladowaniu]]+statek7[[#This Row],[ile_za_wyładunek]]</f>
        <v>17897</v>
      </c>
      <c r="L105" s="10">
        <f>IF(statek7[[#This Row],[port]]&lt;&gt;C104,1,0)</f>
        <v>0</v>
      </c>
      <c r="M105" s="10">
        <f>IF(statek7[[#This Row],[czy_wyplynal]]=1,statek7[[#This Row],[ile_talarow]],0)</f>
        <v>0</v>
      </c>
    </row>
    <row r="106" spans="1:13" x14ac:dyDescent="0.25">
      <c r="A106" s="1">
        <v>42929</v>
      </c>
      <c r="B106">
        <f t="shared" si="1"/>
        <v>17897</v>
      </c>
      <c r="C106" t="s">
        <v>21</v>
      </c>
      <c r="D106" t="s">
        <v>7</v>
      </c>
      <c r="E106" t="s">
        <v>14</v>
      </c>
      <c r="F106">
        <v>116</v>
      </c>
      <c r="G106">
        <v>100</v>
      </c>
      <c r="H106">
        <f>IF(statek7[[#This Row],[Z/W]]="Z",statek7[[#This Row],[ile ton]]*statek7[[#This Row],[cena za tone w talarach]],0)</f>
        <v>0</v>
      </c>
      <c r="I106">
        <f>statek7[[#This Row],[ile_talarow]]-statek7[[#This Row],[ile_za_zaladunek]]</f>
        <v>17897</v>
      </c>
      <c r="J106">
        <f>IF(statek7[[#This Row],[Z/W]]="W",statek7[[#This Row],[ile ton]]*statek7[[#This Row],[cena za tone w talarach]],0)</f>
        <v>11600</v>
      </c>
      <c r="K106">
        <f>statek7[[#This Row],[ile_talarow_po_zaladowaniu]]+statek7[[#This Row],[ile_za_wyładunek]]</f>
        <v>29497</v>
      </c>
      <c r="L106" s="10">
        <f>IF(statek7[[#This Row],[port]]&lt;&gt;C105,1,0)</f>
        <v>1</v>
      </c>
      <c r="M106" s="10">
        <f>IF(statek7[[#This Row],[czy_wyplynal]]=1,statek7[[#This Row],[ile_talarow]],0)</f>
        <v>17897</v>
      </c>
    </row>
    <row r="107" spans="1:13" x14ac:dyDescent="0.25">
      <c r="A107" s="1">
        <v>42929</v>
      </c>
      <c r="B107">
        <f t="shared" si="1"/>
        <v>29497</v>
      </c>
      <c r="C107" t="s">
        <v>21</v>
      </c>
      <c r="D107" t="s">
        <v>12</v>
      </c>
      <c r="E107" t="s">
        <v>8</v>
      </c>
      <c r="F107">
        <v>29</v>
      </c>
      <c r="G107">
        <v>19</v>
      </c>
      <c r="H107">
        <f>IF(statek7[[#This Row],[Z/W]]="Z",statek7[[#This Row],[ile ton]]*statek7[[#This Row],[cena za tone w talarach]],0)</f>
        <v>551</v>
      </c>
      <c r="I107">
        <f>statek7[[#This Row],[ile_talarow]]-statek7[[#This Row],[ile_za_zaladunek]]</f>
        <v>28946</v>
      </c>
      <c r="J107">
        <f>IF(statek7[[#This Row],[Z/W]]="W",statek7[[#This Row],[ile ton]]*statek7[[#This Row],[cena za tone w talarach]],0)</f>
        <v>0</v>
      </c>
      <c r="K107">
        <f>statek7[[#This Row],[ile_talarow_po_zaladowaniu]]+statek7[[#This Row],[ile_za_wyładunek]]</f>
        <v>28946</v>
      </c>
      <c r="L107" s="10">
        <f>IF(statek7[[#This Row],[port]]&lt;&gt;C106,1,0)</f>
        <v>0</v>
      </c>
      <c r="M107" s="10">
        <f>IF(statek7[[#This Row],[czy_wyplynal]]=1,statek7[[#This Row],[ile_talarow]],0)</f>
        <v>0</v>
      </c>
    </row>
    <row r="108" spans="1:13" x14ac:dyDescent="0.25">
      <c r="A108" s="1">
        <v>42942</v>
      </c>
      <c r="B108">
        <f t="shared" si="1"/>
        <v>28946</v>
      </c>
      <c r="C108" t="s">
        <v>22</v>
      </c>
      <c r="D108" t="s">
        <v>11</v>
      </c>
      <c r="E108" t="s">
        <v>14</v>
      </c>
      <c r="F108">
        <v>5</v>
      </c>
      <c r="G108">
        <v>34</v>
      </c>
      <c r="H108">
        <f>IF(statek7[[#This Row],[Z/W]]="Z",statek7[[#This Row],[ile ton]]*statek7[[#This Row],[cena za tone w talarach]],0)</f>
        <v>0</v>
      </c>
      <c r="I108">
        <f>statek7[[#This Row],[ile_talarow]]-statek7[[#This Row],[ile_za_zaladunek]]</f>
        <v>28946</v>
      </c>
      <c r="J108">
        <f>IF(statek7[[#This Row],[Z/W]]="W",statek7[[#This Row],[ile ton]]*statek7[[#This Row],[cena za tone w talarach]],0)</f>
        <v>170</v>
      </c>
      <c r="K108">
        <f>statek7[[#This Row],[ile_talarow_po_zaladowaniu]]+statek7[[#This Row],[ile_za_wyładunek]]</f>
        <v>29116</v>
      </c>
      <c r="L108" s="10">
        <f>IF(statek7[[#This Row],[port]]&lt;&gt;C107,1,0)</f>
        <v>1</v>
      </c>
      <c r="M108" s="10">
        <f>IF(statek7[[#This Row],[czy_wyplynal]]=1,statek7[[#This Row],[ile_talarow]],0)</f>
        <v>28946</v>
      </c>
    </row>
    <row r="109" spans="1:13" x14ac:dyDescent="0.25">
      <c r="A109" s="1">
        <v>42942</v>
      </c>
      <c r="B109">
        <f t="shared" si="1"/>
        <v>29116</v>
      </c>
      <c r="C109" t="s">
        <v>22</v>
      </c>
      <c r="D109" t="s">
        <v>10</v>
      </c>
      <c r="E109" t="s">
        <v>14</v>
      </c>
      <c r="F109">
        <v>22</v>
      </c>
      <c r="G109">
        <v>11</v>
      </c>
      <c r="H109">
        <f>IF(statek7[[#This Row],[Z/W]]="Z",statek7[[#This Row],[ile ton]]*statek7[[#This Row],[cena za tone w talarach]],0)</f>
        <v>0</v>
      </c>
      <c r="I109">
        <f>statek7[[#This Row],[ile_talarow]]-statek7[[#This Row],[ile_za_zaladunek]]</f>
        <v>29116</v>
      </c>
      <c r="J109">
        <f>IF(statek7[[#This Row],[Z/W]]="W",statek7[[#This Row],[ile ton]]*statek7[[#This Row],[cena za tone w talarach]],0)</f>
        <v>242</v>
      </c>
      <c r="K109">
        <f>statek7[[#This Row],[ile_talarow_po_zaladowaniu]]+statek7[[#This Row],[ile_za_wyładunek]]</f>
        <v>29358</v>
      </c>
      <c r="L109" s="10">
        <f>IF(statek7[[#This Row],[port]]&lt;&gt;C108,1,0)</f>
        <v>0</v>
      </c>
      <c r="M109" s="10">
        <f>IF(statek7[[#This Row],[czy_wyplynal]]=1,statek7[[#This Row],[ile_talarow]],0)</f>
        <v>0</v>
      </c>
    </row>
    <row r="110" spans="1:13" x14ac:dyDescent="0.25">
      <c r="A110" s="1">
        <v>42942</v>
      </c>
      <c r="B110">
        <f t="shared" si="1"/>
        <v>29358</v>
      </c>
      <c r="C110" t="s">
        <v>22</v>
      </c>
      <c r="D110" t="s">
        <v>12</v>
      </c>
      <c r="E110" t="s">
        <v>8</v>
      </c>
      <c r="F110">
        <v>37</v>
      </c>
      <c r="G110">
        <v>22</v>
      </c>
      <c r="H110">
        <f>IF(statek7[[#This Row],[Z/W]]="Z",statek7[[#This Row],[ile ton]]*statek7[[#This Row],[cena za tone w talarach]],0)</f>
        <v>814</v>
      </c>
      <c r="I110">
        <f>statek7[[#This Row],[ile_talarow]]-statek7[[#This Row],[ile_za_zaladunek]]</f>
        <v>28544</v>
      </c>
      <c r="J110">
        <f>IF(statek7[[#This Row],[Z/W]]="W",statek7[[#This Row],[ile ton]]*statek7[[#This Row],[cena za tone w talarach]],0)</f>
        <v>0</v>
      </c>
      <c r="K110">
        <f>statek7[[#This Row],[ile_talarow_po_zaladowaniu]]+statek7[[#This Row],[ile_za_wyładunek]]</f>
        <v>28544</v>
      </c>
      <c r="L110" s="10">
        <f>IF(statek7[[#This Row],[port]]&lt;&gt;C109,1,0)</f>
        <v>0</v>
      </c>
      <c r="M110" s="10">
        <f>IF(statek7[[#This Row],[czy_wyplynal]]=1,statek7[[#This Row],[ile_talarow]],0)</f>
        <v>0</v>
      </c>
    </row>
    <row r="111" spans="1:13" x14ac:dyDescent="0.25">
      <c r="A111" s="1">
        <v>42942</v>
      </c>
      <c r="B111">
        <f t="shared" si="1"/>
        <v>28544</v>
      </c>
      <c r="C111" t="s">
        <v>22</v>
      </c>
      <c r="D111" t="s">
        <v>7</v>
      </c>
      <c r="E111" t="s">
        <v>8</v>
      </c>
      <c r="F111">
        <v>10</v>
      </c>
      <c r="G111">
        <v>70</v>
      </c>
      <c r="H111">
        <f>IF(statek7[[#This Row],[Z/W]]="Z",statek7[[#This Row],[ile ton]]*statek7[[#This Row],[cena za tone w talarach]],0)</f>
        <v>700</v>
      </c>
      <c r="I111">
        <f>statek7[[#This Row],[ile_talarow]]-statek7[[#This Row],[ile_za_zaladunek]]</f>
        <v>27844</v>
      </c>
      <c r="J111">
        <f>IF(statek7[[#This Row],[Z/W]]="W",statek7[[#This Row],[ile ton]]*statek7[[#This Row],[cena za tone w talarach]],0)</f>
        <v>0</v>
      </c>
      <c r="K111">
        <f>statek7[[#This Row],[ile_talarow_po_zaladowaniu]]+statek7[[#This Row],[ile_za_wyładunek]]</f>
        <v>27844</v>
      </c>
      <c r="L111" s="10">
        <f>IF(statek7[[#This Row],[port]]&lt;&gt;C110,1,0)</f>
        <v>0</v>
      </c>
      <c r="M111" s="10">
        <f>IF(statek7[[#This Row],[czy_wyplynal]]=1,statek7[[#This Row],[ile_talarow]],0)</f>
        <v>0</v>
      </c>
    </row>
    <row r="112" spans="1:13" x14ac:dyDescent="0.25">
      <c r="A112" s="1">
        <v>42942</v>
      </c>
      <c r="B112">
        <f t="shared" si="1"/>
        <v>27844</v>
      </c>
      <c r="C112" t="s">
        <v>22</v>
      </c>
      <c r="D112" t="s">
        <v>9</v>
      </c>
      <c r="E112" t="s">
        <v>8</v>
      </c>
      <c r="F112">
        <v>42</v>
      </c>
      <c r="G112">
        <v>44</v>
      </c>
      <c r="H112">
        <f>IF(statek7[[#This Row],[Z/W]]="Z",statek7[[#This Row],[ile ton]]*statek7[[#This Row],[cena za tone w talarach]],0)</f>
        <v>1848</v>
      </c>
      <c r="I112">
        <f>statek7[[#This Row],[ile_talarow]]-statek7[[#This Row],[ile_za_zaladunek]]</f>
        <v>25996</v>
      </c>
      <c r="J112">
        <f>IF(statek7[[#This Row],[Z/W]]="W",statek7[[#This Row],[ile ton]]*statek7[[#This Row],[cena za tone w talarach]],0)</f>
        <v>0</v>
      </c>
      <c r="K112">
        <f>statek7[[#This Row],[ile_talarow_po_zaladowaniu]]+statek7[[#This Row],[ile_za_wyładunek]]</f>
        <v>25996</v>
      </c>
      <c r="L112" s="10">
        <f>IF(statek7[[#This Row],[port]]&lt;&gt;C111,1,0)</f>
        <v>0</v>
      </c>
      <c r="M112" s="10">
        <f>IF(statek7[[#This Row],[czy_wyplynal]]=1,statek7[[#This Row],[ile_talarow]],0)</f>
        <v>0</v>
      </c>
    </row>
    <row r="113" spans="1:13" x14ac:dyDescent="0.25">
      <c r="A113" s="1">
        <v>42959</v>
      </c>
      <c r="B113">
        <f t="shared" si="1"/>
        <v>25996</v>
      </c>
      <c r="C113" t="s">
        <v>6</v>
      </c>
      <c r="D113" t="s">
        <v>7</v>
      </c>
      <c r="E113" t="s">
        <v>14</v>
      </c>
      <c r="F113">
        <v>11</v>
      </c>
      <c r="G113">
        <v>94</v>
      </c>
      <c r="H113">
        <f>IF(statek7[[#This Row],[Z/W]]="Z",statek7[[#This Row],[ile ton]]*statek7[[#This Row],[cena za tone w talarach]],0)</f>
        <v>0</v>
      </c>
      <c r="I113">
        <f>statek7[[#This Row],[ile_talarow]]-statek7[[#This Row],[ile_za_zaladunek]]</f>
        <v>25996</v>
      </c>
      <c r="J113">
        <f>IF(statek7[[#This Row],[Z/W]]="W",statek7[[#This Row],[ile ton]]*statek7[[#This Row],[cena za tone w talarach]],0)</f>
        <v>1034</v>
      </c>
      <c r="K113">
        <f>statek7[[#This Row],[ile_talarow_po_zaladowaniu]]+statek7[[#This Row],[ile_za_wyładunek]]</f>
        <v>27030</v>
      </c>
      <c r="L113" s="10">
        <f>IF(statek7[[#This Row],[port]]&lt;&gt;C112,1,0)</f>
        <v>1</v>
      </c>
      <c r="M113" s="10">
        <f>IF(statek7[[#This Row],[czy_wyplynal]]=1,statek7[[#This Row],[ile_talarow]],0)</f>
        <v>25996</v>
      </c>
    </row>
    <row r="114" spans="1:13" x14ac:dyDescent="0.25">
      <c r="A114" s="1">
        <v>42959</v>
      </c>
      <c r="B114">
        <f t="shared" si="1"/>
        <v>27030</v>
      </c>
      <c r="C114" t="s">
        <v>6</v>
      </c>
      <c r="D114" t="s">
        <v>9</v>
      </c>
      <c r="E114" t="s">
        <v>14</v>
      </c>
      <c r="F114">
        <v>48</v>
      </c>
      <c r="G114">
        <v>59</v>
      </c>
      <c r="H114">
        <f>IF(statek7[[#This Row],[Z/W]]="Z",statek7[[#This Row],[ile ton]]*statek7[[#This Row],[cena za tone w talarach]],0)</f>
        <v>0</v>
      </c>
      <c r="I114">
        <f>statek7[[#This Row],[ile_talarow]]-statek7[[#This Row],[ile_za_zaladunek]]</f>
        <v>27030</v>
      </c>
      <c r="J114">
        <f>IF(statek7[[#This Row],[Z/W]]="W",statek7[[#This Row],[ile ton]]*statek7[[#This Row],[cena za tone w talarach]],0)</f>
        <v>2832</v>
      </c>
      <c r="K114">
        <f>statek7[[#This Row],[ile_talarow_po_zaladowaniu]]+statek7[[#This Row],[ile_za_wyładunek]]</f>
        <v>29862</v>
      </c>
      <c r="L114" s="10">
        <f>IF(statek7[[#This Row],[port]]&lt;&gt;C113,1,0)</f>
        <v>0</v>
      </c>
      <c r="M114" s="10">
        <f>IF(statek7[[#This Row],[czy_wyplynal]]=1,statek7[[#This Row],[ile_talarow]],0)</f>
        <v>0</v>
      </c>
    </row>
    <row r="115" spans="1:13" x14ac:dyDescent="0.25">
      <c r="A115" s="1">
        <v>42959</v>
      </c>
      <c r="B115">
        <f t="shared" si="1"/>
        <v>29862</v>
      </c>
      <c r="C115" t="s">
        <v>6</v>
      </c>
      <c r="D115" t="s">
        <v>12</v>
      </c>
      <c r="E115" t="s">
        <v>8</v>
      </c>
      <c r="F115">
        <v>20</v>
      </c>
      <c r="G115">
        <v>21</v>
      </c>
      <c r="H115">
        <f>IF(statek7[[#This Row],[Z/W]]="Z",statek7[[#This Row],[ile ton]]*statek7[[#This Row],[cena za tone w talarach]],0)</f>
        <v>420</v>
      </c>
      <c r="I115">
        <f>statek7[[#This Row],[ile_talarow]]-statek7[[#This Row],[ile_za_zaladunek]]</f>
        <v>29442</v>
      </c>
      <c r="J115">
        <f>IF(statek7[[#This Row],[Z/W]]="W",statek7[[#This Row],[ile ton]]*statek7[[#This Row],[cena za tone w talarach]],0)</f>
        <v>0</v>
      </c>
      <c r="K115">
        <f>statek7[[#This Row],[ile_talarow_po_zaladowaniu]]+statek7[[#This Row],[ile_za_wyładunek]]</f>
        <v>29442</v>
      </c>
      <c r="L115" s="10">
        <f>IF(statek7[[#This Row],[port]]&lt;&gt;C114,1,0)</f>
        <v>0</v>
      </c>
      <c r="M115" s="10">
        <f>IF(statek7[[#This Row],[czy_wyplynal]]=1,statek7[[#This Row],[ile_talarow]],0)</f>
        <v>0</v>
      </c>
    </row>
    <row r="116" spans="1:13" x14ac:dyDescent="0.25">
      <c r="A116" s="1">
        <v>42959</v>
      </c>
      <c r="B116">
        <f t="shared" si="1"/>
        <v>29442</v>
      </c>
      <c r="C116" t="s">
        <v>6</v>
      </c>
      <c r="D116" t="s">
        <v>11</v>
      </c>
      <c r="E116" t="s">
        <v>8</v>
      </c>
      <c r="F116">
        <v>26</v>
      </c>
      <c r="G116">
        <v>25</v>
      </c>
      <c r="H116">
        <f>IF(statek7[[#This Row],[Z/W]]="Z",statek7[[#This Row],[ile ton]]*statek7[[#This Row],[cena za tone w talarach]],0)</f>
        <v>650</v>
      </c>
      <c r="I116">
        <f>statek7[[#This Row],[ile_talarow]]-statek7[[#This Row],[ile_za_zaladunek]]</f>
        <v>28792</v>
      </c>
      <c r="J116">
        <f>IF(statek7[[#This Row],[Z/W]]="W",statek7[[#This Row],[ile ton]]*statek7[[#This Row],[cena za tone w talarach]],0)</f>
        <v>0</v>
      </c>
      <c r="K116">
        <f>statek7[[#This Row],[ile_talarow_po_zaladowaniu]]+statek7[[#This Row],[ile_za_wyładunek]]</f>
        <v>28792</v>
      </c>
      <c r="L116" s="10">
        <f>IF(statek7[[#This Row],[port]]&lt;&gt;C115,1,0)</f>
        <v>0</v>
      </c>
      <c r="M116" s="10">
        <f>IF(statek7[[#This Row],[czy_wyplynal]]=1,statek7[[#This Row],[ile_talarow]],0)</f>
        <v>0</v>
      </c>
    </row>
    <row r="117" spans="1:13" x14ac:dyDescent="0.25">
      <c r="A117" s="1">
        <v>42974</v>
      </c>
      <c r="B117">
        <f t="shared" si="1"/>
        <v>28792</v>
      </c>
      <c r="C117" t="s">
        <v>13</v>
      </c>
      <c r="D117" t="s">
        <v>10</v>
      </c>
      <c r="E117" t="s">
        <v>8</v>
      </c>
      <c r="F117">
        <v>24</v>
      </c>
      <c r="G117">
        <v>9</v>
      </c>
      <c r="H117">
        <f>IF(statek7[[#This Row],[Z/W]]="Z",statek7[[#This Row],[ile ton]]*statek7[[#This Row],[cena za tone w talarach]],0)</f>
        <v>216</v>
      </c>
      <c r="I117">
        <f>statek7[[#This Row],[ile_talarow]]-statek7[[#This Row],[ile_za_zaladunek]]</f>
        <v>28576</v>
      </c>
      <c r="J117">
        <f>IF(statek7[[#This Row],[Z/W]]="W",statek7[[#This Row],[ile ton]]*statek7[[#This Row],[cena za tone w talarach]],0)</f>
        <v>0</v>
      </c>
      <c r="K117">
        <f>statek7[[#This Row],[ile_talarow_po_zaladowaniu]]+statek7[[#This Row],[ile_za_wyładunek]]</f>
        <v>28576</v>
      </c>
      <c r="L117" s="10">
        <f>IF(statek7[[#This Row],[port]]&lt;&gt;C116,1,0)</f>
        <v>1</v>
      </c>
      <c r="M117" s="10">
        <f>IF(statek7[[#This Row],[czy_wyplynal]]=1,statek7[[#This Row],[ile_talarow]],0)</f>
        <v>28792</v>
      </c>
    </row>
    <row r="118" spans="1:13" x14ac:dyDescent="0.25">
      <c r="A118" s="1">
        <v>42974</v>
      </c>
      <c r="B118">
        <f t="shared" si="1"/>
        <v>28576</v>
      </c>
      <c r="C118" t="s">
        <v>13</v>
      </c>
      <c r="D118" t="s">
        <v>7</v>
      </c>
      <c r="E118" t="s">
        <v>8</v>
      </c>
      <c r="F118">
        <v>38</v>
      </c>
      <c r="G118">
        <v>68</v>
      </c>
      <c r="H118">
        <f>IF(statek7[[#This Row],[Z/W]]="Z",statek7[[#This Row],[ile ton]]*statek7[[#This Row],[cena za tone w talarach]],0)</f>
        <v>2584</v>
      </c>
      <c r="I118">
        <f>statek7[[#This Row],[ile_talarow]]-statek7[[#This Row],[ile_za_zaladunek]]</f>
        <v>25992</v>
      </c>
      <c r="J118">
        <f>IF(statek7[[#This Row],[Z/W]]="W",statek7[[#This Row],[ile ton]]*statek7[[#This Row],[cena za tone w talarach]],0)</f>
        <v>0</v>
      </c>
      <c r="K118">
        <f>statek7[[#This Row],[ile_talarow_po_zaladowaniu]]+statek7[[#This Row],[ile_za_wyładunek]]</f>
        <v>25992</v>
      </c>
      <c r="L118" s="10">
        <f>IF(statek7[[#This Row],[port]]&lt;&gt;C117,1,0)</f>
        <v>0</v>
      </c>
      <c r="M118" s="10">
        <f>IF(statek7[[#This Row],[czy_wyplynal]]=1,statek7[[#This Row],[ile_talarow]],0)</f>
        <v>0</v>
      </c>
    </row>
    <row r="119" spans="1:13" x14ac:dyDescent="0.25">
      <c r="A119" s="1">
        <v>42974</v>
      </c>
      <c r="B119">
        <f t="shared" si="1"/>
        <v>25992</v>
      </c>
      <c r="C119" t="s">
        <v>13</v>
      </c>
      <c r="D119" t="s">
        <v>12</v>
      </c>
      <c r="E119" t="s">
        <v>8</v>
      </c>
      <c r="F119">
        <v>14</v>
      </c>
      <c r="G119">
        <v>21</v>
      </c>
      <c r="H119">
        <f>IF(statek7[[#This Row],[Z/W]]="Z",statek7[[#This Row],[ile ton]]*statek7[[#This Row],[cena za tone w talarach]],0)</f>
        <v>294</v>
      </c>
      <c r="I119">
        <f>statek7[[#This Row],[ile_talarow]]-statek7[[#This Row],[ile_za_zaladunek]]</f>
        <v>25698</v>
      </c>
      <c r="J119">
        <f>IF(statek7[[#This Row],[Z/W]]="W",statek7[[#This Row],[ile ton]]*statek7[[#This Row],[cena za tone w talarach]],0)</f>
        <v>0</v>
      </c>
      <c r="K119">
        <f>statek7[[#This Row],[ile_talarow_po_zaladowaniu]]+statek7[[#This Row],[ile_za_wyładunek]]</f>
        <v>25698</v>
      </c>
      <c r="L119" s="10">
        <f>IF(statek7[[#This Row],[port]]&lt;&gt;C118,1,0)</f>
        <v>0</v>
      </c>
      <c r="M119" s="10">
        <f>IF(statek7[[#This Row],[czy_wyplynal]]=1,statek7[[#This Row],[ile_talarow]],0)</f>
        <v>0</v>
      </c>
    </row>
    <row r="120" spans="1:13" x14ac:dyDescent="0.25">
      <c r="A120" s="1">
        <v>42974</v>
      </c>
      <c r="B120">
        <f t="shared" si="1"/>
        <v>25698</v>
      </c>
      <c r="C120" t="s">
        <v>13</v>
      </c>
      <c r="D120" t="s">
        <v>9</v>
      </c>
      <c r="E120" t="s">
        <v>8</v>
      </c>
      <c r="F120">
        <v>4</v>
      </c>
      <c r="G120">
        <v>43</v>
      </c>
      <c r="H120">
        <f>IF(statek7[[#This Row],[Z/W]]="Z",statek7[[#This Row],[ile ton]]*statek7[[#This Row],[cena za tone w talarach]],0)</f>
        <v>172</v>
      </c>
      <c r="I120">
        <f>statek7[[#This Row],[ile_talarow]]-statek7[[#This Row],[ile_za_zaladunek]]</f>
        <v>25526</v>
      </c>
      <c r="J120">
        <f>IF(statek7[[#This Row],[Z/W]]="W",statek7[[#This Row],[ile ton]]*statek7[[#This Row],[cena za tone w talarach]],0)</f>
        <v>0</v>
      </c>
      <c r="K120">
        <f>statek7[[#This Row],[ile_talarow_po_zaladowaniu]]+statek7[[#This Row],[ile_za_wyładunek]]</f>
        <v>25526</v>
      </c>
      <c r="L120" s="10">
        <f>IF(statek7[[#This Row],[port]]&lt;&gt;C119,1,0)</f>
        <v>0</v>
      </c>
      <c r="M120" s="10">
        <f>IF(statek7[[#This Row],[czy_wyplynal]]=1,statek7[[#This Row],[ile_talarow]],0)</f>
        <v>0</v>
      </c>
    </row>
    <row r="121" spans="1:13" x14ac:dyDescent="0.25">
      <c r="A121" s="1">
        <v>42993</v>
      </c>
      <c r="B121">
        <f t="shared" si="1"/>
        <v>25526</v>
      </c>
      <c r="C121" t="s">
        <v>15</v>
      </c>
      <c r="D121" t="s">
        <v>11</v>
      </c>
      <c r="E121" t="s">
        <v>14</v>
      </c>
      <c r="F121">
        <v>19</v>
      </c>
      <c r="G121">
        <v>36</v>
      </c>
      <c r="H121">
        <f>IF(statek7[[#This Row],[Z/W]]="Z",statek7[[#This Row],[ile ton]]*statek7[[#This Row],[cena za tone w talarach]],0)</f>
        <v>0</v>
      </c>
      <c r="I121">
        <f>statek7[[#This Row],[ile_talarow]]-statek7[[#This Row],[ile_za_zaladunek]]</f>
        <v>25526</v>
      </c>
      <c r="J121">
        <f>IF(statek7[[#This Row],[Z/W]]="W",statek7[[#This Row],[ile ton]]*statek7[[#This Row],[cena za tone w talarach]],0)</f>
        <v>684</v>
      </c>
      <c r="K121">
        <f>statek7[[#This Row],[ile_talarow_po_zaladowaniu]]+statek7[[#This Row],[ile_za_wyładunek]]</f>
        <v>26210</v>
      </c>
      <c r="L121" s="10">
        <f>IF(statek7[[#This Row],[port]]&lt;&gt;C120,1,0)</f>
        <v>1</v>
      </c>
      <c r="M121" s="10">
        <f>IF(statek7[[#This Row],[czy_wyplynal]]=1,statek7[[#This Row],[ile_talarow]],0)</f>
        <v>25526</v>
      </c>
    </row>
    <row r="122" spans="1:13" x14ac:dyDescent="0.25">
      <c r="A122" s="1">
        <v>42993</v>
      </c>
      <c r="B122">
        <f t="shared" si="1"/>
        <v>26210</v>
      </c>
      <c r="C122" t="s">
        <v>15</v>
      </c>
      <c r="D122" t="s">
        <v>7</v>
      </c>
      <c r="E122" t="s">
        <v>8</v>
      </c>
      <c r="F122">
        <v>30</v>
      </c>
      <c r="G122">
        <v>65</v>
      </c>
      <c r="H122">
        <f>IF(statek7[[#This Row],[Z/W]]="Z",statek7[[#This Row],[ile ton]]*statek7[[#This Row],[cena za tone w talarach]],0)</f>
        <v>1950</v>
      </c>
      <c r="I122">
        <f>statek7[[#This Row],[ile_talarow]]-statek7[[#This Row],[ile_za_zaladunek]]</f>
        <v>24260</v>
      </c>
      <c r="J122">
        <f>IF(statek7[[#This Row],[Z/W]]="W",statek7[[#This Row],[ile ton]]*statek7[[#This Row],[cena za tone w talarach]],0)</f>
        <v>0</v>
      </c>
      <c r="K122">
        <f>statek7[[#This Row],[ile_talarow_po_zaladowaniu]]+statek7[[#This Row],[ile_za_wyładunek]]</f>
        <v>24260</v>
      </c>
      <c r="L122" s="10">
        <f>IF(statek7[[#This Row],[port]]&lt;&gt;C121,1,0)</f>
        <v>0</v>
      </c>
      <c r="M122" s="10">
        <f>IF(statek7[[#This Row],[czy_wyplynal]]=1,statek7[[#This Row],[ile_talarow]],0)</f>
        <v>0</v>
      </c>
    </row>
    <row r="123" spans="1:13" x14ac:dyDescent="0.25">
      <c r="A123" s="1">
        <v>43019</v>
      </c>
      <c r="B123">
        <f t="shared" si="1"/>
        <v>24260</v>
      </c>
      <c r="C123" t="s">
        <v>16</v>
      </c>
      <c r="D123" t="s">
        <v>9</v>
      </c>
      <c r="E123" t="s">
        <v>14</v>
      </c>
      <c r="F123">
        <v>6</v>
      </c>
      <c r="G123">
        <v>63</v>
      </c>
      <c r="H123">
        <f>IF(statek7[[#This Row],[Z/W]]="Z",statek7[[#This Row],[ile ton]]*statek7[[#This Row],[cena za tone w talarach]],0)</f>
        <v>0</v>
      </c>
      <c r="I123">
        <f>statek7[[#This Row],[ile_talarow]]-statek7[[#This Row],[ile_za_zaladunek]]</f>
        <v>24260</v>
      </c>
      <c r="J123">
        <f>IF(statek7[[#This Row],[Z/W]]="W",statek7[[#This Row],[ile ton]]*statek7[[#This Row],[cena za tone w talarach]],0)</f>
        <v>378</v>
      </c>
      <c r="K123">
        <f>statek7[[#This Row],[ile_talarow_po_zaladowaniu]]+statek7[[#This Row],[ile_za_wyładunek]]</f>
        <v>24638</v>
      </c>
      <c r="L123" s="10">
        <f>IF(statek7[[#This Row],[port]]&lt;&gt;C122,1,0)</f>
        <v>1</v>
      </c>
      <c r="M123" s="10">
        <f>IF(statek7[[#This Row],[czy_wyplynal]]=1,statek7[[#This Row],[ile_talarow]],0)</f>
        <v>24260</v>
      </c>
    </row>
    <row r="124" spans="1:13" x14ac:dyDescent="0.25">
      <c r="A124" s="1">
        <v>43019</v>
      </c>
      <c r="B124">
        <f t="shared" si="1"/>
        <v>24638</v>
      </c>
      <c r="C124" t="s">
        <v>16</v>
      </c>
      <c r="D124" t="s">
        <v>7</v>
      </c>
      <c r="E124" t="s">
        <v>8</v>
      </c>
      <c r="F124">
        <v>43</v>
      </c>
      <c r="G124">
        <v>59</v>
      </c>
      <c r="H124">
        <f>IF(statek7[[#This Row],[Z/W]]="Z",statek7[[#This Row],[ile ton]]*statek7[[#This Row],[cena za tone w talarach]],0)</f>
        <v>2537</v>
      </c>
      <c r="I124">
        <f>statek7[[#This Row],[ile_talarow]]-statek7[[#This Row],[ile_za_zaladunek]]</f>
        <v>22101</v>
      </c>
      <c r="J124">
        <f>IF(statek7[[#This Row],[Z/W]]="W",statek7[[#This Row],[ile ton]]*statek7[[#This Row],[cena za tone w talarach]],0)</f>
        <v>0</v>
      </c>
      <c r="K124">
        <f>statek7[[#This Row],[ile_talarow_po_zaladowaniu]]+statek7[[#This Row],[ile_za_wyładunek]]</f>
        <v>22101</v>
      </c>
      <c r="L124" s="10">
        <f>IF(statek7[[#This Row],[port]]&lt;&gt;C123,1,0)</f>
        <v>0</v>
      </c>
      <c r="M124" s="10">
        <f>IF(statek7[[#This Row],[czy_wyplynal]]=1,statek7[[#This Row],[ile_talarow]],0)</f>
        <v>0</v>
      </c>
    </row>
    <row r="125" spans="1:13" x14ac:dyDescent="0.25">
      <c r="A125" s="1">
        <v>43040</v>
      </c>
      <c r="B125">
        <f t="shared" si="1"/>
        <v>22101</v>
      </c>
      <c r="C125" t="s">
        <v>17</v>
      </c>
      <c r="D125" t="s">
        <v>9</v>
      </c>
      <c r="E125" t="s">
        <v>14</v>
      </c>
      <c r="F125">
        <v>1</v>
      </c>
      <c r="G125">
        <v>61</v>
      </c>
      <c r="H125">
        <f>IF(statek7[[#This Row],[Z/W]]="Z",statek7[[#This Row],[ile ton]]*statek7[[#This Row],[cena za tone w talarach]],0)</f>
        <v>0</v>
      </c>
      <c r="I125">
        <f>statek7[[#This Row],[ile_talarow]]-statek7[[#This Row],[ile_za_zaladunek]]</f>
        <v>22101</v>
      </c>
      <c r="J125">
        <f>IF(statek7[[#This Row],[Z/W]]="W",statek7[[#This Row],[ile ton]]*statek7[[#This Row],[cena za tone w talarach]],0)</f>
        <v>61</v>
      </c>
      <c r="K125">
        <f>statek7[[#This Row],[ile_talarow_po_zaladowaniu]]+statek7[[#This Row],[ile_za_wyładunek]]</f>
        <v>22162</v>
      </c>
      <c r="L125" s="10">
        <f>IF(statek7[[#This Row],[port]]&lt;&gt;C124,1,0)</f>
        <v>1</v>
      </c>
      <c r="M125" s="10">
        <f>IF(statek7[[#This Row],[czy_wyplynal]]=1,statek7[[#This Row],[ile_talarow]],0)</f>
        <v>22101</v>
      </c>
    </row>
    <row r="126" spans="1:13" x14ac:dyDescent="0.25">
      <c r="A126" s="1">
        <v>43040</v>
      </c>
      <c r="B126">
        <f t="shared" si="1"/>
        <v>22162</v>
      </c>
      <c r="C126" t="s">
        <v>17</v>
      </c>
      <c r="D126" t="s">
        <v>12</v>
      </c>
      <c r="E126" t="s">
        <v>14</v>
      </c>
      <c r="F126">
        <v>147</v>
      </c>
      <c r="G126">
        <v>30</v>
      </c>
      <c r="H126">
        <f>IF(statek7[[#This Row],[Z/W]]="Z",statek7[[#This Row],[ile ton]]*statek7[[#This Row],[cena za tone w talarach]],0)</f>
        <v>0</v>
      </c>
      <c r="I126">
        <f>statek7[[#This Row],[ile_talarow]]-statek7[[#This Row],[ile_za_zaladunek]]</f>
        <v>22162</v>
      </c>
      <c r="J126">
        <f>IF(statek7[[#This Row],[Z/W]]="W",statek7[[#This Row],[ile ton]]*statek7[[#This Row],[cena za tone w talarach]],0)</f>
        <v>4410</v>
      </c>
      <c r="K126">
        <f>statek7[[#This Row],[ile_talarow_po_zaladowaniu]]+statek7[[#This Row],[ile_za_wyładunek]]</f>
        <v>26572</v>
      </c>
      <c r="L126" s="10">
        <f>IF(statek7[[#This Row],[port]]&lt;&gt;C125,1,0)</f>
        <v>0</v>
      </c>
      <c r="M126" s="10">
        <f>IF(statek7[[#This Row],[czy_wyplynal]]=1,statek7[[#This Row],[ile_talarow]],0)</f>
        <v>0</v>
      </c>
    </row>
    <row r="127" spans="1:13" x14ac:dyDescent="0.25">
      <c r="A127" s="1">
        <v>43040</v>
      </c>
      <c r="B127">
        <f t="shared" si="1"/>
        <v>26572</v>
      </c>
      <c r="C127" t="s">
        <v>17</v>
      </c>
      <c r="D127" t="s">
        <v>10</v>
      </c>
      <c r="E127" t="s">
        <v>8</v>
      </c>
      <c r="F127">
        <v>15</v>
      </c>
      <c r="G127">
        <v>8</v>
      </c>
      <c r="H127">
        <f>IF(statek7[[#This Row],[Z/W]]="Z",statek7[[#This Row],[ile ton]]*statek7[[#This Row],[cena za tone w talarach]],0)</f>
        <v>120</v>
      </c>
      <c r="I127">
        <f>statek7[[#This Row],[ile_talarow]]-statek7[[#This Row],[ile_za_zaladunek]]</f>
        <v>26452</v>
      </c>
      <c r="J127">
        <f>IF(statek7[[#This Row],[Z/W]]="W",statek7[[#This Row],[ile ton]]*statek7[[#This Row],[cena za tone w talarach]],0)</f>
        <v>0</v>
      </c>
      <c r="K127">
        <f>statek7[[#This Row],[ile_talarow_po_zaladowaniu]]+statek7[[#This Row],[ile_za_wyładunek]]</f>
        <v>26452</v>
      </c>
      <c r="L127" s="10">
        <f>IF(statek7[[#This Row],[port]]&lt;&gt;C126,1,0)</f>
        <v>0</v>
      </c>
      <c r="M127" s="10">
        <f>IF(statek7[[#This Row],[czy_wyplynal]]=1,statek7[[#This Row],[ile_talarow]],0)</f>
        <v>0</v>
      </c>
    </row>
    <row r="128" spans="1:13" x14ac:dyDescent="0.25">
      <c r="A128" s="1">
        <v>43040</v>
      </c>
      <c r="B128">
        <f t="shared" si="1"/>
        <v>26452</v>
      </c>
      <c r="C128" t="s">
        <v>17</v>
      </c>
      <c r="D128" t="s">
        <v>7</v>
      </c>
      <c r="E128" t="s">
        <v>8</v>
      </c>
      <c r="F128">
        <v>24</v>
      </c>
      <c r="G128">
        <v>63</v>
      </c>
      <c r="H128">
        <f>IF(statek7[[#This Row],[Z/W]]="Z",statek7[[#This Row],[ile ton]]*statek7[[#This Row],[cena za tone w talarach]],0)</f>
        <v>1512</v>
      </c>
      <c r="I128">
        <f>statek7[[#This Row],[ile_talarow]]-statek7[[#This Row],[ile_za_zaladunek]]</f>
        <v>24940</v>
      </c>
      <c r="J128">
        <f>IF(statek7[[#This Row],[Z/W]]="W",statek7[[#This Row],[ile ton]]*statek7[[#This Row],[cena za tone w talarach]],0)</f>
        <v>0</v>
      </c>
      <c r="K128">
        <f>statek7[[#This Row],[ile_talarow_po_zaladowaniu]]+statek7[[#This Row],[ile_za_wyładunek]]</f>
        <v>24940</v>
      </c>
      <c r="L128" s="10">
        <f>IF(statek7[[#This Row],[port]]&lt;&gt;C127,1,0)</f>
        <v>0</v>
      </c>
      <c r="M128" s="10">
        <f>IF(statek7[[#This Row],[czy_wyplynal]]=1,statek7[[#This Row],[ile_talarow]],0)</f>
        <v>0</v>
      </c>
    </row>
    <row r="129" spans="1:13" x14ac:dyDescent="0.25">
      <c r="A129" s="1">
        <v>43040</v>
      </c>
      <c r="B129">
        <f t="shared" si="1"/>
        <v>24940</v>
      </c>
      <c r="C129" t="s">
        <v>17</v>
      </c>
      <c r="D129" t="s">
        <v>11</v>
      </c>
      <c r="E129" t="s">
        <v>8</v>
      </c>
      <c r="F129">
        <v>19</v>
      </c>
      <c r="G129">
        <v>24</v>
      </c>
      <c r="H129">
        <f>IF(statek7[[#This Row],[Z/W]]="Z",statek7[[#This Row],[ile ton]]*statek7[[#This Row],[cena za tone w talarach]],0)</f>
        <v>456</v>
      </c>
      <c r="I129">
        <f>statek7[[#This Row],[ile_talarow]]-statek7[[#This Row],[ile_za_zaladunek]]</f>
        <v>24484</v>
      </c>
      <c r="J129">
        <f>IF(statek7[[#This Row],[Z/W]]="W",statek7[[#This Row],[ile ton]]*statek7[[#This Row],[cena za tone w talarach]],0)</f>
        <v>0</v>
      </c>
      <c r="K129">
        <f>statek7[[#This Row],[ile_talarow_po_zaladowaniu]]+statek7[[#This Row],[ile_za_wyładunek]]</f>
        <v>24484</v>
      </c>
      <c r="L129" s="10">
        <f>IF(statek7[[#This Row],[port]]&lt;&gt;C128,1,0)</f>
        <v>0</v>
      </c>
      <c r="M129" s="10">
        <f>IF(statek7[[#This Row],[czy_wyplynal]]=1,statek7[[#This Row],[ile_talarow]],0)</f>
        <v>0</v>
      </c>
    </row>
    <row r="130" spans="1:13" x14ac:dyDescent="0.25">
      <c r="A130" s="1">
        <v>43064</v>
      </c>
      <c r="B130">
        <f t="shared" si="1"/>
        <v>24484</v>
      </c>
      <c r="C130" t="s">
        <v>18</v>
      </c>
      <c r="D130" t="s">
        <v>7</v>
      </c>
      <c r="E130" t="s">
        <v>14</v>
      </c>
      <c r="F130">
        <v>134</v>
      </c>
      <c r="G130">
        <v>99</v>
      </c>
      <c r="H130">
        <f>IF(statek7[[#This Row],[Z/W]]="Z",statek7[[#This Row],[ile ton]]*statek7[[#This Row],[cena za tone w talarach]],0)</f>
        <v>0</v>
      </c>
      <c r="I130">
        <f>statek7[[#This Row],[ile_talarow]]-statek7[[#This Row],[ile_za_zaladunek]]</f>
        <v>24484</v>
      </c>
      <c r="J130">
        <f>IF(statek7[[#This Row],[Z/W]]="W",statek7[[#This Row],[ile ton]]*statek7[[#This Row],[cena za tone w talarach]],0)</f>
        <v>13266</v>
      </c>
      <c r="K130">
        <f>statek7[[#This Row],[ile_talarow_po_zaladowaniu]]+statek7[[#This Row],[ile_za_wyładunek]]</f>
        <v>37750</v>
      </c>
      <c r="L130" s="10">
        <f>IF(statek7[[#This Row],[port]]&lt;&gt;C129,1,0)</f>
        <v>1</v>
      </c>
      <c r="M130" s="10">
        <f>IF(statek7[[#This Row],[czy_wyplynal]]=1,statek7[[#This Row],[ile_talarow]],0)</f>
        <v>24484</v>
      </c>
    </row>
    <row r="131" spans="1:13" x14ac:dyDescent="0.25">
      <c r="A131" s="1">
        <v>43064</v>
      </c>
      <c r="B131">
        <f t="shared" si="1"/>
        <v>37750</v>
      </c>
      <c r="C131" t="s">
        <v>18</v>
      </c>
      <c r="D131" t="s">
        <v>9</v>
      </c>
      <c r="E131" t="s">
        <v>8</v>
      </c>
      <c r="F131">
        <v>12</v>
      </c>
      <c r="G131">
        <v>38</v>
      </c>
      <c r="H131">
        <f>IF(statek7[[#This Row],[Z/W]]="Z",statek7[[#This Row],[ile ton]]*statek7[[#This Row],[cena za tone w talarach]],0)</f>
        <v>456</v>
      </c>
      <c r="I131">
        <f>statek7[[#This Row],[ile_talarow]]-statek7[[#This Row],[ile_za_zaladunek]]</f>
        <v>37294</v>
      </c>
      <c r="J131">
        <f>IF(statek7[[#This Row],[Z/W]]="W",statek7[[#This Row],[ile ton]]*statek7[[#This Row],[cena za tone w talarach]],0)</f>
        <v>0</v>
      </c>
      <c r="K131">
        <f>statek7[[#This Row],[ile_talarow_po_zaladowaniu]]+statek7[[#This Row],[ile_za_wyładunek]]</f>
        <v>37294</v>
      </c>
      <c r="L131" s="10">
        <f>IF(statek7[[#This Row],[port]]&lt;&gt;C130,1,0)</f>
        <v>0</v>
      </c>
      <c r="M131" s="10">
        <f>IF(statek7[[#This Row],[czy_wyplynal]]=1,statek7[[#This Row],[ile_talarow]],0)</f>
        <v>0</v>
      </c>
    </row>
    <row r="132" spans="1:13" x14ac:dyDescent="0.25">
      <c r="A132" s="1">
        <v>43082</v>
      </c>
      <c r="B132">
        <f t="shared" ref="B132:B195" si="2">K131</f>
        <v>37294</v>
      </c>
      <c r="C132" t="s">
        <v>19</v>
      </c>
      <c r="D132" t="s">
        <v>12</v>
      </c>
      <c r="E132" t="s">
        <v>14</v>
      </c>
      <c r="F132">
        <v>4</v>
      </c>
      <c r="G132">
        <v>30</v>
      </c>
      <c r="H132">
        <f>IF(statek7[[#This Row],[Z/W]]="Z",statek7[[#This Row],[ile ton]]*statek7[[#This Row],[cena za tone w talarach]],0)</f>
        <v>0</v>
      </c>
      <c r="I132">
        <f>statek7[[#This Row],[ile_talarow]]-statek7[[#This Row],[ile_za_zaladunek]]</f>
        <v>37294</v>
      </c>
      <c r="J132">
        <f>IF(statek7[[#This Row],[Z/W]]="W",statek7[[#This Row],[ile ton]]*statek7[[#This Row],[cena za tone w talarach]],0)</f>
        <v>120</v>
      </c>
      <c r="K132">
        <f>statek7[[#This Row],[ile_talarow_po_zaladowaniu]]+statek7[[#This Row],[ile_za_wyładunek]]</f>
        <v>37414</v>
      </c>
      <c r="L132" s="10">
        <f>IF(statek7[[#This Row],[port]]&lt;&gt;C131,1,0)</f>
        <v>1</v>
      </c>
      <c r="M132" s="10">
        <f>IF(statek7[[#This Row],[czy_wyplynal]]=1,statek7[[#This Row],[ile_talarow]],0)</f>
        <v>37294</v>
      </c>
    </row>
    <row r="133" spans="1:13" x14ac:dyDescent="0.25">
      <c r="A133" s="1">
        <v>43082</v>
      </c>
      <c r="B133">
        <f t="shared" si="2"/>
        <v>37414</v>
      </c>
      <c r="C133" t="s">
        <v>19</v>
      </c>
      <c r="D133" t="s">
        <v>10</v>
      </c>
      <c r="E133" t="s">
        <v>8</v>
      </c>
      <c r="F133">
        <v>26</v>
      </c>
      <c r="G133">
        <v>8</v>
      </c>
      <c r="H133">
        <f>IF(statek7[[#This Row],[Z/W]]="Z",statek7[[#This Row],[ile ton]]*statek7[[#This Row],[cena za tone w talarach]],0)</f>
        <v>208</v>
      </c>
      <c r="I133">
        <f>statek7[[#This Row],[ile_talarow]]-statek7[[#This Row],[ile_za_zaladunek]]</f>
        <v>37206</v>
      </c>
      <c r="J133">
        <f>IF(statek7[[#This Row],[Z/W]]="W",statek7[[#This Row],[ile ton]]*statek7[[#This Row],[cena za tone w talarach]],0)</f>
        <v>0</v>
      </c>
      <c r="K133">
        <f>statek7[[#This Row],[ile_talarow_po_zaladowaniu]]+statek7[[#This Row],[ile_za_wyładunek]]</f>
        <v>37206</v>
      </c>
      <c r="L133" s="10">
        <f>IF(statek7[[#This Row],[port]]&lt;&gt;C132,1,0)</f>
        <v>0</v>
      </c>
      <c r="M133" s="10">
        <f>IF(statek7[[#This Row],[czy_wyplynal]]=1,statek7[[#This Row],[ile_talarow]],0)</f>
        <v>0</v>
      </c>
    </row>
    <row r="134" spans="1:13" x14ac:dyDescent="0.25">
      <c r="A134" s="1">
        <v>43082</v>
      </c>
      <c r="B134">
        <f t="shared" si="2"/>
        <v>37206</v>
      </c>
      <c r="C134" t="s">
        <v>19</v>
      </c>
      <c r="D134" t="s">
        <v>7</v>
      </c>
      <c r="E134" t="s">
        <v>8</v>
      </c>
      <c r="F134">
        <v>38</v>
      </c>
      <c r="G134">
        <v>66</v>
      </c>
      <c r="H134">
        <f>IF(statek7[[#This Row],[Z/W]]="Z",statek7[[#This Row],[ile ton]]*statek7[[#This Row],[cena za tone w talarach]],0)</f>
        <v>2508</v>
      </c>
      <c r="I134">
        <f>statek7[[#This Row],[ile_talarow]]-statek7[[#This Row],[ile_za_zaladunek]]</f>
        <v>34698</v>
      </c>
      <c r="J134">
        <f>IF(statek7[[#This Row],[Z/W]]="W",statek7[[#This Row],[ile ton]]*statek7[[#This Row],[cena za tone w talarach]],0)</f>
        <v>0</v>
      </c>
      <c r="K134">
        <f>statek7[[#This Row],[ile_talarow_po_zaladowaniu]]+statek7[[#This Row],[ile_za_wyładunek]]</f>
        <v>34698</v>
      </c>
      <c r="L134" s="10">
        <f>IF(statek7[[#This Row],[port]]&lt;&gt;C133,1,0)</f>
        <v>0</v>
      </c>
      <c r="M134" s="10">
        <f>IF(statek7[[#This Row],[czy_wyplynal]]=1,statek7[[#This Row],[ile_talarow]],0)</f>
        <v>0</v>
      </c>
    </row>
    <row r="135" spans="1:13" x14ac:dyDescent="0.25">
      <c r="A135" s="1">
        <v>43104</v>
      </c>
      <c r="B135">
        <f t="shared" si="2"/>
        <v>34698</v>
      </c>
      <c r="C135" t="s">
        <v>20</v>
      </c>
      <c r="D135" t="s">
        <v>7</v>
      </c>
      <c r="E135" t="s">
        <v>14</v>
      </c>
      <c r="F135">
        <v>38</v>
      </c>
      <c r="G135">
        <v>98</v>
      </c>
      <c r="H135">
        <f>IF(statek7[[#This Row],[Z/W]]="Z",statek7[[#This Row],[ile ton]]*statek7[[#This Row],[cena za tone w talarach]],0)</f>
        <v>0</v>
      </c>
      <c r="I135">
        <f>statek7[[#This Row],[ile_talarow]]-statek7[[#This Row],[ile_za_zaladunek]]</f>
        <v>34698</v>
      </c>
      <c r="J135">
        <f>IF(statek7[[#This Row],[Z/W]]="W",statek7[[#This Row],[ile ton]]*statek7[[#This Row],[cena za tone w talarach]],0)</f>
        <v>3724</v>
      </c>
      <c r="K135">
        <f>statek7[[#This Row],[ile_talarow_po_zaladowaniu]]+statek7[[#This Row],[ile_za_wyładunek]]</f>
        <v>38422</v>
      </c>
      <c r="L135" s="10">
        <f>IF(statek7[[#This Row],[port]]&lt;&gt;C134,1,0)</f>
        <v>1</v>
      </c>
      <c r="M135" s="10">
        <f>IF(statek7[[#This Row],[czy_wyplynal]]=1,statek7[[#This Row],[ile_talarow]],0)</f>
        <v>34698</v>
      </c>
    </row>
    <row r="136" spans="1:13" x14ac:dyDescent="0.25">
      <c r="A136" s="1">
        <v>43104</v>
      </c>
      <c r="B136">
        <f t="shared" si="2"/>
        <v>38422</v>
      </c>
      <c r="C136" t="s">
        <v>20</v>
      </c>
      <c r="D136" t="s">
        <v>11</v>
      </c>
      <c r="E136" t="s">
        <v>14</v>
      </c>
      <c r="F136">
        <v>44</v>
      </c>
      <c r="G136">
        <v>37</v>
      </c>
      <c r="H136">
        <f>IF(statek7[[#This Row],[Z/W]]="Z",statek7[[#This Row],[ile ton]]*statek7[[#This Row],[cena za tone w talarach]],0)</f>
        <v>0</v>
      </c>
      <c r="I136">
        <f>statek7[[#This Row],[ile_talarow]]-statek7[[#This Row],[ile_za_zaladunek]]</f>
        <v>38422</v>
      </c>
      <c r="J136">
        <f>IF(statek7[[#This Row],[Z/W]]="W",statek7[[#This Row],[ile ton]]*statek7[[#This Row],[cena za tone w talarach]],0)</f>
        <v>1628</v>
      </c>
      <c r="K136">
        <f>statek7[[#This Row],[ile_talarow_po_zaladowaniu]]+statek7[[#This Row],[ile_za_wyładunek]]</f>
        <v>40050</v>
      </c>
      <c r="L136" s="10">
        <f>IF(statek7[[#This Row],[port]]&lt;&gt;C135,1,0)</f>
        <v>0</v>
      </c>
      <c r="M136" s="10">
        <f>IF(statek7[[#This Row],[czy_wyplynal]]=1,statek7[[#This Row],[ile_talarow]],0)</f>
        <v>0</v>
      </c>
    </row>
    <row r="137" spans="1:13" x14ac:dyDescent="0.25">
      <c r="A137" s="1">
        <v>43104</v>
      </c>
      <c r="B137">
        <f t="shared" si="2"/>
        <v>40050</v>
      </c>
      <c r="C137" t="s">
        <v>20</v>
      </c>
      <c r="D137" t="s">
        <v>10</v>
      </c>
      <c r="E137" t="s">
        <v>8</v>
      </c>
      <c r="F137">
        <v>21</v>
      </c>
      <c r="G137">
        <v>8</v>
      </c>
      <c r="H137">
        <f>IF(statek7[[#This Row],[Z/W]]="Z",statek7[[#This Row],[ile ton]]*statek7[[#This Row],[cena za tone w talarach]],0)</f>
        <v>168</v>
      </c>
      <c r="I137">
        <f>statek7[[#This Row],[ile_talarow]]-statek7[[#This Row],[ile_za_zaladunek]]</f>
        <v>39882</v>
      </c>
      <c r="J137">
        <f>IF(statek7[[#This Row],[Z/W]]="W",statek7[[#This Row],[ile ton]]*statek7[[#This Row],[cena za tone w talarach]],0)</f>
        <v>0</v>
      </c>
      <c r="K137">
        <f>statek7[[#This Row],[ile_talarow_po_zaladowaniu]]+statek7[[#This Row],[ile_za_wyładunek]]</f>
        <v>39882</v>
      </c>
      <c r="L137" s="10">
        <f>IF(statek7[[#This Row],[port]]&lt;&gt;C136,1,0)</f>
        <v>0</v>
      </c>
      <c r="M137" s="10">
        <f>IF(statek7[[#This Row],[czy_wyplynal]]=1,statek7[[#This Row],[ile_talarow]],0)</f>
        <v>0</v>
      </c>
    </row>
    <row r="138" spans="1:13" x14ac:dyDescent="0.25">
      <c r="A138" s="1">
        <v>43104</v>
      </c>
      <c r="B138">
        <f t="shared" si="2"/>
        <v>39882</v>
      </c>
      <c r="C138" t="s">
        <v>20</v>
      </c>
      <c r="D138" t="s">
        <v>9</v>
      </c>
      <c r="E138" t="s">
        <v>8</v>
      </c>
      <c r="F138">
        <v>10</v>
      </c>
      <c r="G138">
        <v>39</v>
      </c>
      <c r="H138">
        <f>IF(statek7[[#This Row],[Z/W]]="Z",statek7[[#This Row],[ile ton]]*statek7[[#This Row],[cena za tone w talarach]],0)</f>
        <v>390</v>
      </c>
      <c r="I138">
        <f>statek7[[#This Row],[ile_talarow]]-statek7[[#This Row],[ile_za_zaladunek]]</f>
        <v>39492</v>
      </c>
      <c r="J138">
        <f>IF(statek7[[#This Row],[Z/W]]="W",statek7[[#This Row],[ile ton]]*statek7[[#This Row],[cena za tone w talarach]],0)</f>
        <v>0</v>
      </c>
      <c r="K138">
        <f>statek7[[#This Row],[ile_talarow_po_zaladowaniu]]+statek7[[#This Row],[ile_za_wyładunek]]</f>
        <v>39492</v>
      </c>
      <c r="L138" s="10">
        <f>IF(statek7[[#This Row],[port]]&lt;&gt;C137,1,0)</f>
        <v>0</v>
      </c>
      <c r="M138" s="10">
        <f>IF(statek7[[#This Row],[czy_wyplynal]]=1,statek7[[#This Row],[ile_talarow]],0)</f>
        <v>0</v>
      </c>
    </row>
    <row r="139" spans="1:13" x14ac:dyDescent="0.25">
      <c r="A139" s="1">
        <v>43129</v>
      </c>
      <c r="B139">
        <f t="shared" si="2"/>
        <v>39492</v>
      </c>
      <c r="C139" t="s">
        <v>21</v>
      </c>
      <c r="D139" t="s">
        <v>11</v>
      </c>
      <c r="E139" t="s">
        <v>14</v>
      </c>
      <c r="F139">
        <v>15</v>
      </c>
      <c r="G139">
        <v>38</v>
      </c>
      <c r="H139">
        <f>IF(statek7[[#This Row],[Z/W]]="Z",statek7[[#This Row],[ile ton]]*statek7[[#This Row],[cena za tone w talarach]],0)</f>
        <v>0</v>
      </c>
      <c r="I139">
        <f>statek7[[#This Row],[ile_talarow]]-statek7[[#This Row],[ile_za_zaladunek]]</f>
        <v>39492</v>
      </c>
      <c r="J139">
        <f>IF(statek7[[#This Row],[Z/W]]="W",statek7[[#This Row],[ile ton]]*statek7[[#This Row],[cena za tone w talarach]],0)</f>
        <v>570</v>
      </c>
      <c r="K139">
        <f>statek7[[#This Row],[ile_talarow_po_zaladowaniu]]+statek7[[#This Row],[ile_za_wyładunek]]</f>
        <v>40062</v>
      </c>
      <c r="L139" s="10">
        <f>IF(statek7[[#This Row],[port]]&lt;&gt;C138,1,0)</f>
        <v>1</v>
      </c>
      <c r="M139" s="10">
        <f>IF(statek7[[#This Row],[czy_wyplynal]]=1,statek7[[#This Row],[ile_talarow]],0)</f>
        <v>39492</v>
      </c>
    </row>
    <row r="140" spans="1:13" x14ac:dyDescent="0.25">
      <c r="A140" s="1">
        <v>43129</v>
      </c>
      <c r="B140">
        <f t="shared" si="2"/>
        <v>40062</v>
      </c>
      <c r="C140" t="s">
        <v>21</v>
      </c>
      <c r="D140" t="s">
        <v>9</v>
      </c>
      <c r="E140" t="s">
        <v>14</v>
      </c>
      <c r="F140">
        <v>22</v>
      </c>
      <c r="G140">
        <v>63</v>
      </c>
      <c r="H140">
        <f>IF(statek7[[#This Row],[Z/W]]="Z",statek7[[#This Row],[ile ton]]*statek7[[#This Row],[cena za tone w talarach]],0)</f>
        <v>0</v>
      </c>
      <c r="I140">
        <f>statek7[[#This Row],[ile_talarow]]-statek7[[#This Row],[ile_za_zaladunek]]</f>
        <v>40062</v>
      </c>
      <c r="J140">
        <f>IF(statek7[[#This Row],[Z/W]]="W",statek7[[#This Row],[ile ton]]*statek7[[#This Row],[cena za tone w talarach]],0)</f>
        <v>1386</v>
      </c>
      <c r="K140">
        <f>statek7[[#This Row],[ile_talarow_po_zaladowaniu]]+statek7[[#This Row],[ile_za_wyładunek]]</f>
        <v>41448</v>
      </c>
      <c r="L140" s="10">
        <f>IF(statek7[[#This Row],[port]]&lt;&gt;C139,1,0)</f>
        <v>0</v>
      </c>
      <c r="M140" s="10">
        <f>IF(statek7[[#This Row],[czy_wyplynal]]=1,statek7[[#This Row],[ile_talarow]],0)</f>
        <v>0</v>
      </c>
    </row>
    <row r="141" spans="1:13" x14ac:dyDescent="0.25">
      <c r="A141" s="1">
        <v>43129</v>
      </c>
      <c r="B141">
        <f t="shared" si="2"/>
        <v>41448</v>
      </c>
      <c r="C141" t="s">
        <v>21</v>
      </c>
      <c r="D141" t="s">
        <v>7</v>
      </c>
      <c r="E141" t="s">
        <v>8</v>
      </c>
      <c r="F141">
        <v>9</v>
      </c>
      <c r="G141">
        <v>60</v>
      </c>
      <c r="H141">
        <f>IF(statek7[[#This Row],[Z/W]]="Z",statek7[[#This Row],[ile ton]]*statek7[[#This Row],[cena za tone w talarach]],0)</f>
        <v>540</v>
      </c>
      <c r="I141">
        <f>statek7[[#This Row],[ile_talarow]]-statek7[[#This Row],[ile_za_zaladunek]]</f>
        <v>40908</v>
      </c>
      <c r="J141">
        <f>IF(statek7[[#This Row],[Z/W]]="W",statek7[[#This Row],[ile ton]]*statek7[[#This Row],[cena za tone w talarach]],0)</f>
        <v>0</v>
      </c>
      <c r="K141">
        <f>statek7[[#This Row],[ile_talarow_po_zaladowaniu]]+statek7[[#This Row],[ile_za_wyładunek]]</f>
        <v>40908</v>
      </c>
      <c r="L141" s="10">
        <f>IF(statek7[[#This Row],[port]]&lt;&gt;C140,1,0)</f>
        <v>0</v>
      </c>
      <c r="M141" s="10">
        <f>IF(statek7[[#This Row],[czy_wyplynal]]=1,statek7[[#This Row],[ile_talarow]],0)</f>
        <v>0</v>
      </c>
    </row>
    <row r="142" spans="1:13" x14ac:dyDescent="0.25">
      <c r="A142" s="1">
        <v>43129</v>
      </c>
      <c r="B142">
        <f t="shared" si="2"/>
        <v>40908</v>
      </c>
      <c r="C142" t="s">
        <v>21</v>
      </c>
      <c r="D142" t="s">
        <v>12</v>
      </c>
      <c r="E142" t="s">
        <v>8</v>
      </c>
      <c r="F142">
        <v>6</v>
      </c>
      <c r="G142">
        <v>19</v>
      </c>
      <c r="H142">
        <f>IF(statek7[[#This Row],[Z/W]]="Z",statek7[[#This Row],[ile ton]]*statek7[[#This Row],[cena za tone w talarach]],0)</f>
        <v>114</v>
      </c>
      <c r="I142">
        <f>statek7[[#This Row],[ile_talarow]]-statek7[[#This Row],[ile_za_zaladunek]]</f>
        <v>40794</v>
      </c>
      <c r="J142">
        <f>IF(statek7[[#This Row],[Z/W]]="W",statek7[[#This Row],[ile ton]]*statek7[[#This Row],[cena za tone w talarach]],0)</f>
        <v>0</v>
      </c>
      <c r="K142">
        <f>statek7[[#This Row],[ile_talarow_po_zaladowaniu]]+statek7[[#This Row],[ile_za_wyładunek]]</f>
        <v>40794</v>
      </c>
      <c r="L142" s="10">
        <f>IF(statek7[[#This Row],[port]]&lt;&gt;C141,1,0)</f>
        <v>0</v>
      </c>
      <c r="M142" s="10">
        <f>IF(statek7[[#This Row],[czy_wyplynal]]=1,statek7[[#This Row],[ile_talarow]],0)</f>
        <v>0</v>
      </c>
    </row>
    <row r="143" spans="1:13" x14ac:dyDescent="0.25">
      <c r="A143" s="1">
        <v>43129</v>
      </c>
      <c r="B143">
        <f t="shared" si="2"/>
        <v>40794</v>
      </c>
      <c r="C143" t="s">
        <v>21</v>
      </c>
      <c r="D143" t="s">
        <v>10</v>
      </c>
      <c r="E143" t="s">
        <v>8</v>
      </c>
      <c r="F143">
        <v>4</v>
      </c>
      <c r="G143">
        <v>8</v>
      </c>
      <c r="H143">
        <f>IF(statek7[[#This Row],[Z/W]]="Z",statek7[[#This Row],[ile ton]]*statek7[[#This Row],[cena za tone w talarach]],0)</f>
        <v>32</v>
      </c>
      <c r="I143">
        <f>statek7[[#This Row],[ile_talarow]]-statek7[[#This Row],[ile_za_zaladunek]]</f>
        <v>40762</v>
      </c>
      <c r="J143">
        <f>IF(statek7[[#This Row],[Z/W]]="W",statek7[[#This Row],[ile ton]]*statek7[[#This Row],[cena za tone w talarach]],0)</f>
        <v>0</v>
      </c>
      <c r="K143">
        <f>statek7[[#This Row],[ile_talarow_po_zaladowaniu]]+statek7[[#This Row],[ile_za_wyładunek]]</f>
        <v>40762</v>
      </c>
      <c r="L143" s="10">
        <f>IF(statek7[[#This Row],[port]]&lt;&gt;C142,1,0)</f>
        <v>0</v>
      </c>
      <c r="M143" s="10">
        <f>IF(statek7[[#This Row],[czy_wyplynal]]=1,statek7[[#This Row],[ile_talarow]],0)</f>
        <v>0</v>
      </c>
    </row>
    <row r="144" spans="1:13" x14ac:dyDescent="0.25">
      <c r="A144" s="1">
        <v>43130</v>
      </c>
      <c r="B144">
        <f t="shared" si="2"/>
        <v>40762</v>
      </c>
      <c r="C144" t="s">
        <v>22</v>
      </c>
      <c r="D144" t="s">
        <v>12</v>
      </c>
      <c r="E144" t="s">
        <v>14</v>
      </c>
      <c r="F144">
        <v>6</v>
      </c>
      <c r="G144">
        <v>25</v>
      </c>
      <c r="H144">
        <f>IF(statek7[[#This Row],[Z/W]]="Z",statek7[[#This Row],[ile ton]]*statek7[[#This Row],[cena za tone w talarach]],0)</f>
        <v>0</v>
      </c>
      <c r="I144">
        <f>statek7[[#This Row],[ile_talarow]]-statek7[[#This Row],[ile_za_zaladunek]]</f>
        <v>40762</v>
      </c>
      <c r="J144">
        <f>IF(statek7[[#This Row],[Z/W]]="W",statek7[[#This Row],[ile ton]]*statek7[[#This Row],[cena za tone w talarach]],0)</f>
        <v>150</v>
      </c>
      <c r="K144">
        <f>statek7[[#This Row],[ile_talarow_po_zaladowaniu]]+statek7[[#This Row],[ile_za_wyładunek]]</f>
        <v>40912</v>
      </c>
      <c r="L144" s="10">
        <f>IF(statek7[[#This Row],[port]]&lt;&gt;C143,1,0)</f>
        <v>1</v>
      </c>
      <c r="M144" s="10">
        <f>IF(statek7[[#This Row],[czy_wyplynal]]=1,statek7[[#This Row],[ile_talarow]],0)</f>
        <v>40762</v>
      </c>
    </row>
    <row r="145" spans="1:13" x14ac:dyDescent="0.25">
      <c r="A145" s="1">
        <v>43130</v>
      </c>
      <c r="B145">
        <f t="shared" si="2"/>
        <v>40912</v>
      </c>
      <c r="C145" t="s">
        <v>22</v>
      </c>
      <c r="D145" t="s">
        <v>7</v>
      </c>
      <c r="E145" t="s">
        <v>8</v>
      </c>
      <c r="F145">
        <v>48</v>
      </c>
      <c r="G145">
        <v>79</v>
      </c>
      <c r="H145">
        <f>IF(statek7[[#This Row],[Z/W]]="Z",statek7[[#This Row],[ile ton]]*statek7[[#This Row],[cena za tone w talarach]],0)</f>
        <v>3792</v>
      </c>
      <c r="I145">
        <f>statek7[[#This Row],[ile_talarow]]-statek7[[#This Row],[ile_za_zaladunek]]</f>
        <v>37120</v>
      </c>
      <c r="J145">
        <f>IF(statek7[[#This Row],[Z/W]]="W",statek7[[#This Row],[ile ton]]*statek7[[#This Row],[cena za tone w talarach]],0)</f>
        <v>0</v>
      </c>
      <c r="K145">
        <f>statek7[[#This Row],[ile_talarow_po_zaladowaniu]]+statek7[[#This Row],[ile_za_wyładunek]]</f>
        <v>37120</v>
      </c>
      <c r="L145" s="10">
        <f>IF(statek7[[#This Row],[port]]&lt;&gt;C144,1,0)</f>
        <v>0</v>
      </c>
      <c r="M145" s="10">
        <f>IF(statek7[[#This Row],[czy_wyplynal]]=1,statek7[[#This Row],[ile_talarow]],0)</f>
        <v>0</v>
      </c>
    </row>
    <row r="146" spans="1:13" x14ac:dyDescent="0.25">
      <c r="A146" s="1">
        <v>43147</v>
      </c>
      <c r="B146">
        <f t="shared" si="2"/>
        <v>37120</v>
      </c>
      <c r="C146" t="s">
        <v>6</v>
      </c>
      <c r="D146" t="s">
        <v>9</v>
      </c>
      <c r="E146" t="s">
        <v>8</v>
      </c>
      <c r="F146">
        <v>34</v>
      </c>
      <c r="G146">
        <v>42</v>
      </c>
      <c r="H146">
        <f>IF(statek7[[#This Row],[Z/W]]="Z",statek7[[#This Row],[ile ton]]*statek7[[#This Row],[cena za tone w talarach]],0)</f>
        <v>1428</v>
      </c>
      <c r="I146">
        <f>statek7[[#This Row],[ile_talarow]]-statek7[[#This Row],[ile_za_zaladunek]]</f>
        <v>35692</v>
      </c>
      <c r="J146">
        <f>IF(statek7[[#This Row],[Z/W]]="W",statek7[[#This Row],[ile ton]]*statek7[[#This Row],[cena za tone w talarach]],0)</f>
        <v>0</v>
      </c>
      <c r="K146">
        <f>statek7[[#This Row],[ile_talarow_po_zaladowaniu]]+statek7[[#This Row],[ile_za_wyładunek]]</f>
        <v>35692</v>
      </c>
      <c r="L146" s="10">
        <f>IF(statek7[[#This Row],[port]]&lt;&gt;C145,1,0)</f>
        <v>1</v>
      </c>
      <c r="M146" s="10">
        <f>IF(statek7[[#This Row],[czy_wyplynal]]=1,statek7[[#This Row],[ile_talarow]],0)</f>
        <v>37120</v>
      </c>
    </row>
    <row r="147" spans="1:13" x14ac:dyDescent="0.25">
      <c r="A147" s="1">
        <v>43147</v>
      </c>
      <c r="B147">
        <f t="shared" si="2"/>
        <v>35692</v>
      </c>
      <c r="C147" t="s">
        <v>6</v>
      </c>
      <c r="D147" t="s">
        <v>11</v>
      </c>
      <c r="E147" t="s">
        <v>14</v>
      </c>
      <c r="F147">
        <v>49</v>
      </c>
      <c r="G147">
        <v>35</v>
      </c>
      <c r="H147">
        <f>IF(statek7[[#This Row],[Z/W]]="Z",statek7[[#This Row],[ile ton]]*statek7[[#This Row],[cena za tone w talarach]],0)</f>
        <v>0</v>
      </c>
      <c r="I147">
        <f>statek7[[#This Row],[ile_talarow]]-statek7[[#This Row],[ile_za_zaladunek]]</f>
        <v>35692</v>
      </c>
      <c r="J147">
        <f>IF(statek7[[#This Row],[Z/W]]="W",statek7[[#This Row],[ile ton]]*statek7[[#This Row],[cena za tone w talarach]],0)</f>
        <v>1715</v>
      </c>
      <c r="K147">
        <f>statek7[[#This Row],[ile_talarow_po_zaladowaniu]]+statek7[[#This Row],[ile_za_wyładunek]]</f>
        <v>37407</v>
      </c>
      <c r="L147" s="10">
        <f>IF(statek7[[#This Row],[port]]&lt;&gt;C146,1,0)</f>
        <v>0</v>
      </c>
      <c r="M147" s="10">
        <f>IF(statek7[[#This Row],[czy_wyplynal]]=1,statek7[[#This Row],[ile_talarow]],0)</f>
        <v>0</v>
      </c>
    </row>
    <row r="148" spans="1:13" x14ac:dyDescent="0.25">
      <c r="A148" s="1">
        <v>43147</v>
      </c>
      <c r="B148">
        <f t="shared" si="2"/>
        <v>37407</v>
      </c>
      <c r="C148" t="s">
        <v>6</v>
      </c>
      <c r="D148" t="s">
        <v>10</v>
      </c>
      <c r="E148" t="s">
        <v>8</v>
      </c>
      <c r="F148">
        <v>10</v>
      </c>
      <c r="G148">
        <v>8</v>
      </c>
      <c r="H148">
        <f>IF(statek7[[#This Row],[Z/W]]="Z",statek7[[#This Row],[ile ton]]*statek7[[#This Row],[cena za tone w talarach]],0)</f>
        <v>80</v>
      </c>
      <c r="I148">
        <f>statek7[[#This Row],[ile_talarow]]-statek7[[#This Row],[ile_za_zaladunek]]</f>
        <v>37327</v>
      </c>
      <c r="J148">
        <f>IF(statek7[[#This Row],[Z/W]]="W",statek7[[#This Row],[ile ton]]*statek7[[#This Row],[cena za tone w talarach]],0)</f>
        <v>0</v>
      </c>
      <c r="K148">
        <f>statek7[[#This Row],[ile_talarow_po_zaladowaniu]]+statek7[[#This Row],[ile_za_wyładunek]]</f>
        <v>37327</v>
      </c>
      <c r="L148" s="10">
        <f>IF(statek7[[#This Row],[port]]&lt;&gt;C147,1,0)</f>
        <v>0</v>
      </c>
      <c r="M148" s="10">
        <f>IF(statek7[[#This Row],[czy_wyplynal]]=1,statek7[[#This Row],[ile_talarow]],0)</f>
        <v>0</v>
      </c>
    </row>
    <row r="149" spans="1:13" x14ac:dyDescent="0.25">
      <c r="A149" s="1">
        <v>43147</v>
      </c>
      <c r="B149">
        <f t="shared" si="2"/>
        <v>37327</v>
      </c>
      <c r="C149" t="s">
        <v>6</v>
      </c>
      <c r="D149" t="s">
        <v>12</v>
      </c>
      <c r="E149" t="s">
        <v>8</v>
      </c>
      <c r="F149">
        <v>47</v>
      </c>
      <c r="G149">
        <v>21</v>
      </c>
      <c r="H149">
        <f>IF(statek7[[#This Row],[Z/W]]="Z",statek7[[#This Row],[ile ton]]*statek7[[#This Row],[cena za tone w talarach]],0)</f>
        <v>987</v>
      </c>
      <c r="I149">
        <f>statek7[[#This Row],[ile_talarow]]-statek7[[#This Row],[ile_za_zaladunek]]</f>
        <v>36340</v>
      </c>
      <c r="J149">
        <f>IF(statek7[[#This Row],[Z/W]]="W",statek7[[#This Row],[ile ton]]*statek7[[#This Row],[cena za tone w talarach]],0)</f>
        <v>0</v>
      </c>
      <c r="K149">
        <f>statek7[[#This Row],[ile_talarow_po_zaladowaniu]]+statek7[[#This Row],[ile_za_wyładunek]]</f>
        <v>36340</v>
      </c>
      <c r="L149" s="10">
        <f>IF(statek7[[#This Row],[port]]&lt;&gt;C148,1,0)</f>
        <v>0</v>
      </c>
      <c r="M149" s="10">
        <f>IF(statek7[[#This Row],[czy_wyplynal]]=1,statek7[[#This Row],[ile_talarow]],0)</f>
        <v>0</v>
      </c>
    </row>
    <row r="150" spans="1:13" x14ac:dyDescent="0.25">
      <c r="A150" s="1">
        <v>43147</v>
      </c>
      <c r="B150">
        <f t="shared" si="2"/>
        <v>36340</v>
      </c>
      <c r="C150" t="s">
        <v>6</v>
      </c>
      <c r="D150" t="s">
        <v>7</v>
      </c>
      <c r="E150" t="s">
        <v>8</v>
      </c>
      <c r="F150">
        <v>48</v>
      </c>
      <c r="G150">
        <v>66</v>
      </c>
      <c r="H150">
        <f>IF(statek7[[#This Row],[Z/W]]="Z",statek7[[#This Row],[ile ton]]*statek7[[#This Row],[cena za tone w talarach]],0)</f>
        <v>3168</v>
      </c>
      <c r="I150">
        <f>statek7[[#This Row],[ile_talarow]]-statek7[[#This Row],[ile_za_zaladunek]]</f>
        <v>33172</v>
      </c>
      <c r="J150">
        <f>IF(statek7[[#This Row],[Z/W]]="W",statek7[[#This Row],[ile ton]]*statek7[[#This Row],[cena za tone w talarach]],0)</f>
        <v>0</v>
      </c>
      <c r="K150">
        <f>statek7[[#This Row],[ile_talarow_po_zaladowaniu]]+statek7[[#This Row],[ile_za_wyładunek]]</f>
        <v>33172</v>
      </c>
      <c r="L150" s="10">
        <f>IF(statek7[[#This Row],[port]]&lt;&gt;C149,1,0)</f>
        <v>0</v>
      </c>
      <c r="M150" s="10">
        <f>IF(statek7[[#This Row],[czy_wyplynal]]=1,statek7[[#This Row],[ile_talarow]],0)</f>
        <v>0</v>
      </c>
    </row>
    <row r="151" spans="1:13" x14ac:dyDescent="0.25">
      <c r="A151" s="1">
        <v>43162</v>
      </c>
      <c r="B151">
        <f t="shared" si="2"/>
        <v>33172</v>
      </c>
      <c r="C151" t="s">
        <v>13</v>
      </c>
      <c r="D151" t="s">
        <v>9</v>
      </c>
      <c r="E151" t="s">
        <v>14</v>
      </c>
      <c r="F151">
        <v>34</v>
      </c>
      <c r="G151">
        <v>58</v>
      </c>
      <c r="H151">
        <f>IF(statek7[[#This Row],[Z/W]]="Z",statek7[[#This Row],[ile ton]]*statek7[[#This Row],[cena za tone w talarach]],0)</f>
        <v>0</v>
      </c>
      <c r="I151">
        <f>statek7[[#This Row],[ile_talarow]]-statek7[[#This Row],[ile_za_zaladunek]]</f>
        <v>33172</v>
      </c>
      <c r="J151">
        <f>IF(statek7[[#This Row],[Z/W]]="W",statek7[[#This Row],[ile ton]]*statek7[[#This Row],[cena za tone w talarach]],0)</f>
        <v>1972</v>
      </c>
      <c r="K151">
        <f>statek7[[#This Row],[ile_talarow_po_zaladowaniu]]+statek7[[#This Row],[ile_za_wyładunek]]</f>
        <v>35144</v>
      </c>
      <c r="L151" s="10">
        <f>IF(statek7[[#This Row],[port]]&lt;&gt;C150,1,0)</f>
        <v>1</v>
      </c>
      <c r="M151" s="10">
        <f>IF(statek7[[#This Row],[czy_wyplynal]]=1,statek7[[#This Row],[ile_talarow]],0)</f>
        <v>33172</v>
      </c>
    </row>
    <row r="152" spans="1:13" x14ac:dyDescent="0.25">
      <c r="A152" s="1">
        <v>43162</v>
      </c>
      <c r="B152">
        <f t="shared" si="2"/>
        <v>35144</v>
      </c>
      <c r="C152" t="s">
        <v>13</v>
      </c>
      <c r="D152" t="s">
        <v>10</v>
      </c>
      <c r="E152" t="s">
        <v>8</v>
      </c>
      <c r="F152">
        <v>5</v>
      </c>
      <c r="G152">
        <v>9</v>
      </c>
      <c r="H152">
        <f>IF(statek7[[#This Row],[Z/W]]="Z",statek7[[#This Row],[ile ton]]*statek7[[#This Row],[cena za tone w talarach]],0)</f>
        <v>45</v>
      </c>
      <c r="I152">
        <f>statek7[[#This Row],[ile_talarow]]-statek7[[#This Row],[ile_za_zaladunek]]</f>
        <v>35099</v>
      </c>
      <c r="J152">
        <f>IF(statek7[[#This Row],[Z/W]]="W",statek7[[#This Row],[ile ton]]*statek7[[#This Row],[cena za tone w talarach]],0)</f>
        <v>0</v>
      </c>
      <c r="K152">
        <f>statek7[[#This Row],[ile_talarow_po_zaladowaniu]]+statek7[[#This Row],[ile_za_wyładunek]]</f>
        <v>35099</v>
      </c>
      <c r="L152" s="10">
        <f>IF(statek7[[#This Row],[port]]&lt;&gt;C151,1,0)</f>
        <v>0</v>
      </c>
      <c r="M152" s="10">
        <f>IF(statek7[[#This Row],[czy_wyplynal]]=1,statek7[[#This Row],[ile_talarow]],0)</f>
        <v>0</v>
      </c>
    </row>
    <row r="153" spans="1:13" x14ac:dyDescent="0.25">
      <c r="A153" s="1">
        <v>43181</v>
      </c>
      <c r="B153">
        <f t="shared" si="2"/>
        <v>35099</v>
      </c>
      <c r="C153" t="s">
        <v>15</v>
      </c>
      <c r="D153" t="s">
        <v>12</v>
      </c>
      <c r="E153" t="s">
        <v>14</v>
      </c>
      <c r="F153">
        <v>46</v>
      </c>
      <c r="G153">
        <v>30</v>
      </c>
      <c r="H153">
        <f>IF(statek7[[#This Row],[Z/W]]="Z",statek7[[#This Row],[ile ton]]*statek7[[#This Row],[cena za tone w talarach]],0)</f>
        <v>0</v>
      </c>
      <c r="I153">
        <f>statek7[[#This Row],[ile_talarow]]-statek7[[#This Row],[ile_za_zaladunek]]</f>
        <v>35099</v>
      </c>
      <c r="J153">
        <f>IF(statek7[[#This Row],[Z/W]]="W",statek7[[#This Row],[ile ton]]*statek7[[#This Row],[cena za tone w talarach]],0)</f>
        <v>1380</v>
      </c>
      <c r="K153">
        <f>statek7[[#This Row],[ile_talarow_po_zaladowaniu]]+statek7[[#This Row],[ile_za_wyładunek]]</f>
        <v>36479</v>
      </c>
      <c r="L153" s="10">
        <f>IF(statek7[[#This Row],[port]]&lt;&gt;C152,1,0)</f>
        <v>1</v>
      </c>
      <c r="M153" s="10">
        <f>IF(statek7[[#This Row],[czy_wyplynal]]=1,statek7[[#This Row],[ile_talarow]],0)</f>
        <v>35099</v>
      </c>
    </row>
    <row r="154" spans="1:13" x14ac:dyDescent="0.25">
      <c r="A154" s="1">
        <v>43181</v>
      </c>
      <c r="B154">
        <f t="shared" si="2"/>
        <v>36479</v>
      </c>
      <c r="C154" t="s">
        <v>15</v>
      </c>
      <c r="D154" t="s">
        <v>7</v>
      </c>
      <c r="E154" t="s">
        <v>8</v>
      </c>
      <c r="F154">
        <v>49</v>
      </c>
      <c r="G154">
        <v>65</v>
      </c>
      <c r="H154">
        <f>IF(statek7[[#This Row],[Z/W]]="Z",statek7[[#This Row],[ile ton]]*statek7[[#This Row],[cena za tone w talarach]],0)</f>
        <v>3185</v>
      </c>
      <c r="I154">
        <f>statek7[[#This Row],[ile_talarow]]-statek7[[#This Row],[ile_za_zaladunek]]</f>
        <v>33294</v>
      </c>
      <c r="J154">
        <f>IF(statek7[[#This Row],[Z/W]]="W",statek7[[#This Row],[ile ton]]*statek7[[#This Row],[cena za tone w talarach]],0)</f>
        <v>0</v>
      </c>
      <c r="K154">
        <f>statek7[[#This Row],[ile_talarow_po_zaladowaniu]]+statek7[[#This Row],[ile_za_wyładunek]]</f>
        <v>33294</v>
      </c>
      <c r="L154" s="10">
        <f>IF(statek7[[#This Row],[port]]&lt;&gt;C153,1,0)</f>
        <v>0</v>
      </c>
      <c r="M154" s="10">
        <f>IF(statek7[[#This Row],[czy_wyplynal]]=1,statek7[[#This Row],[ile_talarow]],0)</f>
        <v>0</v>
      </c>
    </row>
    <row r="155" spans="1:13" x14ac:dyDescent="0.25">
      <c r="A155" s="1">
        <v>43181</v>
      </c>
      <c r="B155">
        <f t="shared" si="2"/>
        <v>33294</v>
      </c>
      <c r="C155" t="s">
        <v>15</v>
      </c>
      <c r="D155" t="s">
        <v>10</v>
      </c>
      <c r="E155" t="s">
        <v>8</v>
      </c>
      <c r="F155">
        <v>16</v>
      </c>
      <c r="G155">
        <v>8</v>
      </c>
      <c r="H155">
        <f>IF(statek7[[#This Row],[Z/W]]="Z",statek7[[#This Row],[ile ton]]*statek7[[#This Row],[cena za tone w talarach]],0)</f>
        <v>128</v>
      </c>
      <c r="I155">
        <f>statek7[[#This Row],[ile_talarow]]-statek7[[#This Row],[ile_za_zaladunek]]</f>
        <v>33166</v>
      </c>
      <c r="J155">
        <f>IF(statek7[[#This Row],[Z/W]]="W",statek7[[#This Row],[ile ton]]*statek7[[#This Row],[cena za tone w talarach]],0)</f>
        <v>0</v>
      </c>
      <c r="K155">
        <f>statek7[[#This Row],[ile_talarow_po_zaladowaniu]]+statek7[[#This Row],[ile_za_wyładunek]]</f>
        <v>33166</v>
      </c>
      <c r="L155" s="10">
        <f>IF(statek7[[#This Row],[port]]&lt;&gt;C154,1,0)</f>
        <v>0</v>
      </c>
      <c r="M155" s="10">
        <f>IF(statek7[[#This Row],[czy_wyplynal]]=1,statek7[[#This Row],[ile_talarow]],0)</f>
        <v>0</v>
      </c>
    </row>
    <row r="156" spans="1:13" x14ac:dyDescent="0.25">
      <c r="A156" s="1">
        <v>43207</v>
      </c>
      <c r="B156">
        <f t="shared" si="2"/>
        <v>33166</v>
      </c>
      <c r="C156" t="s">
        <v>16</v>
      </c>
      <c r="D156" t="s">
        <v>9</v>
      </c>
      <c r="E156" t="s">
        <v>8</v>
      </c>
      <c r="F156">
        <v>5</v>
      </c>
      <c r="G156">
        <v>37</v>
      </c>
      <c r="H156">
        <f>IF(statek7[[#This Row],[Z/W]]="Z",statek7[[#This Row],[ile ton]]*statek7[[#This Row],[cena za tone w talarach]],0)</f>
        <v>185</v>
      </c>
      <c r="I156">
        <f>statek7[[#This Row],[ile_talarow]]-statek7[[#This Row],[ile_za_zaladunek]]</f>
        <v>32981</v>
      </c>
      <c r="J156">
        <f>IF(statek7[[#This Row],[Z/W]]="W",statek7[[#This Row],[ile ton]]*statek7[[#This Row],[cena za tone w talarach]],0)</f>
        <v>0</v>
      </c>
      <c r="K156">
        <f>statek7[[#This Row],[ile_talarow_po_zaladowaniu]]+statek7[[#This Row],[ile_za_wyładunek]]</f>
        <v>32981</v>
      </c>
      <c r="L156" s="10">
        <f>IF(statek7[[#This Row],[port]]&lt;&gt;C155,1,0)</f>
        <v>1</v>
      </c>
      <c r="M156" s="10">
        <f>IF(statek7[[#This Row],[czy_wyplynal]]=1,statek7[[#This Row],[ile_talarow]],0)</f>
        <v>33166</v>
      </c>
    </row>
    <row r="157" spans="1:13" x14ac:dyDescent="0.25">
      <c r="A157" s="1">
        <v>43207</v>
      </c>
      <c r="B157">
        <f t="shared" si="2"/>
        <v>32981</v>
      </c>
      <c r="C157" t="s">
        <v>16</v>
      </c>
      <c r="D157" t="s">
        <v>12</v>
      </c>
      <c r="E157" t="s">
        <v>14</v>
      </c>
      <c r="F157">
        <v>1</v>
      </c>
      <c r="G157">
        <v>32</v>
      </c>
      <c r="H157">
        <f>IF(statek7[[#This Row],[Z/W]]="Z",statek7[[#This Row],[ile ton]]*statek7[[#This Row],[cena za tone w talarach]],0)</f>
        <v>0</v>
      </c>
      <c r="I157">
        <f>statek7[[#This Row],[ile_talarow]]-statek7[[#This Row],[ile_za_zaladunek]]</f>
        <v>32981</v>
      </c>
      <c r="J157">
        <f>IF(statek7[[#This Row],[Z/W]]="W",statek7[[#This Row],[ile ton]]*statek7[[#This Row],[cena za tone w talarach]],0)</f>
        <v>32</v>
      </c>
      <c r="K157">
        <f>statek7[[#This Row],[ile_talarow_po_zaladowaniu]]+statek7[[#This Row],[ile_za_wyładunek]]</f>
        <v>33013</v>
      </c>
      <c r="L157" s="10">
        <f>IF(statek7[[#This Row],[port]]&lt;&gt;C156,1,0)</f>
        <v>0</v>
      </c>
      <c r="M157" s="10">
        <f>IF(statek7[[#This Row],[czy_wyplynal]]=1,statek7[[#This Row],[ile_talarow]],0)</f>
        <v>0</v>
      </c>
    </row>
    <row r="158" spans="1:13" x14ac:dyDescent="0.25">
      <c r="A158" s="1">
        <v>43207</v>
      </c>
      <c r="B158">
        <f t="shared" si="2"/>
        <v>33013</v>
      </c>
      <c r="C158" t="s">
        <v>16</v>
      </c>
      <c r="D158" t="s">
        <v>10</v>
      </c>
      <c r="E158" t="s">
        <v>8</v>
      </c>
      <c r="F158">
        <v>34</v>
      </c>
      <c r="G158">
        <v>7</v>
      </c>
      <c r="H158">
        <f>IF(statek7[[#This Row],[Z/W]]="Z",statek7[[#This Row],[ile ton]]*statek7[[#This Row],[cena za tone w talarach]],0)</f>
        <v>238</v>
      </c>
      <c r="I158">
        <f>statek7[[#This Row],[ile_talarow]]-statek7[[#This Row],[ile_za_zaladunek]]</f>
        <v>32775</v>
      </c>
      <c r="J158">
        <f>IF(statek7[[#This Row],[Z/W]]="W",statek7[[#This Row],[ile ton]]*statek7[[#This Row],[cena za tone w talarach]],0)</f>
        <v>0</v>
      </c>
      <c r="K158">
        <f>statek7[[#This Row],[ile_talarow_po_zaladowaniu]]+statek7[[#This Row],[ile_za_wyładunek]]</f>
        <v>32775</v>
      </c>
      <c r="L158" s="10">
        <f>IF(statek7[[#This Row],[port]]&lt;&gt;C157,1,0)</f>
        <v>0</v>
      </c>
      <c r="M158" s="10">
        <f>IF(statek7[[#This Row],[czy_wyplynal]]=1,statek7[[#This Row],[ile_talarow]],0)</f>
        <v>0</v>
      </c>
    </row>
    <row r="159" spans="1:13" x14ac:dyDescent="0.25">
      <c r="A159" s="1">
        <v>43207</v>
      </c>
      <c r="B159">
        <f t="shared" si="2"/>
        <v>32775</v>
      </c>
      <c r="C159" t="s">
        <v>16</v>
      </c>
      <c r="D159" t="s">
        <v>7</v>
      </c>
      <c r="E159" t="s">
        <v>8</v>
      </c>
      <c r="F159">
        <v>29</v>
      </c>
      <c r="G159">
        <v>59</v>
      </c>
      <c r="H159">
        <f>IF(statek7[[#This Row],[Z/W]]="Z",statek7[[#This Row],[ile ton]]*statek7[[#This Row],[cena za tone w talarach]],0)</f>
        <v>1711</v>
      </c>
      <c r="I159">
        <f>statek7[[#This Row],[ile_talarow]]-statek7[[#This Row],[ile_za_zaladunek]]</f>
        <v>31064</v>
      </c>
      <c r="J159">
        <f>IF(statek7[[#This Row],[Z/W]]="W",statek7[[#This Row],[ile ton]]*statek7[[#This Row],[cena za tone w talarach]],0)</f>
        <v>0</v>
      </c>
      <c r="K159">
        <f>statek7[[#This Row],[ile_talarow_po_zaladowaniu]]+statek7[[#This Row],[ile_za_wyładunek]]</f>
        <v>31064</v>
      </c>
      <c r="L159" s="10">
        <f>IF(statek7[[#This Row],[port]]&lt;&gt;C158,1,0)</f>
        <v>0</v>
      </c>
      <c r="M159" s="10">
        <f>IF(statek7[[#This Row],[czy_wyplynal]]=1,statek7[[#This Row],[ile_talarow]],0)</f>
        <v>0</v>
      </c>
    </row>
    <row r="160" spans="1:13" x14ac:dyDescent="0.25">
      <c r="A160" s="1">
        <v>43228</v>
      </c>
      <c r="B160">
        <f t="shared" si="2"/>
        <v>31064</v>
      </c>
      <c r="C160" t="s">
        <v>17</v>
      </c>
      <c r="D160" t="s">
        <v>11</v>
      </c>
      <c r="E160" t="s">
        <v>8</v>
      </c>
      <c r="F160">
        <v>34</v>
      </c>
      <c r="G160">
        <v>24</v>
      </c>
      <c r="H160">
        <f>IF(statek7[[#This Row],[Z/W]]="Z",statek7[[#This Row],[ile ton]]*statek7[[#This Row],[cena za tone w talarach]],0)</f>
        <v>816</v>
      </c>
      <c r="I160">
        <f>statek7[[#This Row],[ile_talarow]]-statek7[[#This Row],[ile_za_zaladunek]]</f>
        <v>30248</v>
      </c>
      <c r="J160">
        <f>IF(statek7[[#This Row],[Z/W]]="W",statek7[[#This Row],[ile ton]]*statek7[[#This Row],[cena za tone w talarach]],0)</f>
        <v>0</v>
      </c>
      <c r="K160">
        <f>statek7[[#This Row],[ile_talarow_po_zaladowaniu]]+statek7[[#This Row],[ile_za_wyładunek]]</f>
        <v>30248</v>
      </c>
      <c r="L160" s="10">
        <f>IF(statek7[[#This Row],[port]]&lt;&gt;C159,1,0)</f>
        <v>1</v>
      </c>
      <c r="M160" s="10">
        <f>IF(statek7[[#This Row],[czy_wyplynal]]=1,statek7[[#This Row],[ile_talarow]],0)</f>
        <v>31064</v>
      </c>
    </row>
    <row r="161" spans="1:13" x14ac:dyDescent="0.25">
      <c r="A161" s="1">
        <v>43228</v>
      </c>
      <c r="B161">
        <f t="shared" si="2"/>
        <v>30248</v>
      </c>
      <c r="C161" t="s">
        <v>17</v>
      </c>
      <c r="D161" t="s">
        <v>12</v>
      </c>
      <c r="E161" t="s">
        <v>8</v>
      </c>
      <c r="F161">
        <v>27</v>
      </c>
      <c r="G161">
        <v>20</v>
      </c>
      <c r="H161">
        <f>IF(statek7[[#This Row],[Z/W]]="Z",statek7[[#This Row],[ile ton]]*statek7[[#This Row],[cena za tone w talarach]],0)</f>
        <v>540</v>
      </c>
      <c r="I161">
        <f>statek7[[#This Row],[ile_talarow]]-statek7[[#This Row],[ile_za_zaladunek]]</f>
        <v>29708</v>
      </c>
      <c r="J161">
        <f>IF(statek7[[#This Row],[Z/W]]="W",statek7[[#This Row],[ile ton]]*statek7[[#This Row],[cena za tone w talarach]],0)</f>
        <v>0</v>
      </c>
      <c r="K161">
        <f>statek7[[#This Row],[ile_talarow_po_zaladowaniu]]+statek7[[#This Row],[ile_za_wyładunek]]</f>
        <v>29708</v>
      </c>
      <c r="L161" s="10">
        <f>IF(statek7[[#This Row],[port]]&lt;&gt;C160,1,0)</f>
        <v>0</v>
      </c>
      <c r="M161" s="10">
        <f>IF(statek7[[#This Row],[czy_wyplynal]]=1,statek7[[#This Row],[ile_talarow]],0)</f>
        <v>0</v>
      </c>
    </row>
    <row r="162" spans="1:13" x14ac:dyDescent="0.25">
      <c r="A162" s="1">
        <v>43228</v>
      </c>
      <c r="B162">
        <f t="shared" si="2"/>
        <v>29708</v>
      </c>
      <c r="C162" t="s">
        <v>17</v>
      </c>
      <c r="D162" t="s">
        <v>10</v>
      </c>
      <c r="E162" t="s">
        <v>8</v>
      </c>
      <c r="F162">
        <v>40</v>
      </c>
      <c r="G162">
        <v>8</v>
      </c>
      <c r="H162">
        <f>IF(statek7[[#This Row],[Z/W]]="Z",statek7[[#This Row],[ile ton]]*statek7[[#This Row],[cena za tone w talarach]],0)</f>
        <v>320</v>
      </c>
      <c r="I162">
        <f>statek7[[#This Row],[ile_talarow]]-statek7[[#This Row],[ile_za_zaladunek]]</f>
        <v>29388</v>
      </c>
      <c r="J162">
        <f>IF(statek7[[#This Row],[Z/W]]="W",statek7[[#This Row],[ile ton]]*statek7[[#This Row],[cena za tone w talarach]],0)</f>
        <v>0</v>
      </c>
      <c r="K162">
        <f>statek7[[#This Row],[ile_talarow_po_zaladowaniu]]+statek7[[#This Row],[ile_za_wyładunek]]</f>
        <v>29388</v>
      </c>
      <c r="L162" s="10">
        <f>IF(statek7[[#This Row],[port]]&lt;&gt;C161,1,0)</f>
        <v>0</v>
      </c>
      <c r="M162" s="10">
        <f>IF(statek7[[#This Row],[czy_wyplynal]]=1,statek7[[#This Row],[ile_talarow]],0)</f>
        <v>0</v>
      </c>
    </row>
    <row r="163" spans="1:13" x14ac:dyDescent="0.25">
      <c r="A163" s="1">
        <v>43252</v>
      </c>
      <c r="B163">
        <f t="shared" si="2"/>
        <v>29388</v>
      </c>
      <c r="C163" t="s">
        <v>18</v>
      </c>
      <c r="D163" t="s">
        <v>7</v>
      </c>
      <c r="E163" t="s">
        <v>14</v>
      </c>
      <c r="F163">
        <v>184</v>
      </c>
      <c r="G163">
        <v>99</v>
      </c>
      <c r="H163">
        <f>IF(statek7[[#This Row],[Z/W]]="Z",statek7[[#This Row],[ile ton]]*statek7[[#This Row],[cena za tone w talarach]],0)</f>
        <v>0</v>
      </c>
      <c r="I163">
        <f>statek7[[#This Row],[ile_talarow]]-statek7[[#This Row],[ile_za_zaladunek]]</f>
        <v>29388</v>
      </c>
      <c r="J163">
        <f>IF(statek7[[#This Row],[Z/W]]="W",statek7[[#This Row],[ile ton]]*statek7[[#This Row],[cena za tone w talarach]],0)</f>
        <v>18216</v>
      </c>
      <c r="K163">
        <f>statek7[[#This Row],[ile_talarow_po_zaladowaniu]]+statek7[[#This Row],[ile_za_wyładunek]]</f>
        <v>47604</v>
      </c>
      <c r="L163" s="10">
        <f>IF(statek7[[#This Row],[port]]&lt;&gt;C162,1,0)</f>
        <v>1</v>
      </c>
      <c r="M163" s="10">
        <f>IF(statek7[[#This Row],[czy_wyplynal]]=1,statek7[[#This Row],[ile_talarow]],0)</f>
        <v>29388</v>
      </c>
    </row>
    <row r="164" spans="1:13" x14ac:dyDescent="0.25">
      <c r="A164" s="1">
        <v>43252</v>
      </c>
      <c r="B164">
        <f t="shared" si="2"/>
        <v>47604</v>
      </c>
      <c r="C164" t="s">
        <v>18</v>
      </c>
      <c r="D164" t="s">
        <v>9</v>
      </c>
      <c r="E164" t="s">
        <v>8</v>
      </c>
      <c r="F164">
        <v>48</v>
      </c>
      <c r="G164">
        <v>38</v>
      </c>
      <c r="H164">
        <f>IF(statek7[[#This Row],[Z/W]]="Z",statek7[[#This Row],[ile ton]]*statek7[[#This Row],[cena za tone w talarach]],0)</f>
        <v>1824</v>
      </c>
      <c r="I164">
        <f>statek7[[#This Row],[ile_talarow]]-statek7[[#This Row],[ile_za_zaladunek]]</f>
        <v>45780</v>
      </c>
      <c r="J164">
        <f>IF(statek7[[#This Row],[Z/W]]="W",statek7[[#This Row],[ile ton]]*statek7[[#This Row],[cena za tone w talarach]],0)</f>
        <v>0</v>
      </c>
      <c r="K164">
        <f>statek7[[#This Row],[ile_talarow_po_zaladowaniu]]+statek7[[#This Row],[ile_za_wyładunek]]</f>
        <v>45780</v>
      </c>
      <c r="L164" s="10">
        <f>IF(statek7[[#This Row],[port]]&lt;&gt;C163,1,0)</f>
        <v>0</v>
      </c>
      <c r="M164" s="10">
        <f>IF(statek7[[#This Row],[czy_wyplynal]]=1,statek7[[#This Row],[ile_talarow]],0)</f>
        <v>0</v>
      </c>
    </row>
    <row r="165" spans="1:13" x14ac:dyDescent="0.25">
      <c r="A165" s="1">
        <v>43252</v>
      </c>
      <c r="B165">
        <f t="shared" si="2"/>
        <v>45780</v>
      </c>
      <c r="C165" t="s">
        <v>18</v>
      </c>
      <c r="D165" t="s">
        <v>11</v>
      </c>
      <c r="E165" t="s">
        <v>8</v>
      </c>
      <c r="F165">
        <v>21</v>
      </c>
      <c r="G165">
        <v>23</v>
      </c>
      <c r="H165">
        <f>IF(statek7[[#This Row],[Z/W]]="Z",statek7[[#This Row],[ile ton]]*statek7[[#This Row],[cena za tone w talarach]],0)</f>
        <v>483</v>
      </c>
      <c r="I165">
        <f>statek7[[#This Row],[ile_talarow]]-statek7[[#This Row],[ile_za_zaladunek]]</f>
        <v>45297</v>
      </c>
      <c r="J165">
        <f>IF(statek7[[#This Row],[Z/W]]="W",statek7[[#This Row],[ile ton]]*statek7[[#This Row],[cena za tone w talarach]],0)</f>
        <v>0</v>
      </c>
      <c r="K165">
        <f>statek7[[#This Row],[ile_talarow_po_zaladowaniu]]+statek7[[#This Row],[ile_za_wyładunek]]</f>
        <v>45297</v>
      </c>
      <c r="L165" s="10">
        <f>IF(statek7[[#This Row],[port]]&lt;&gt;C164,1,0)</f>
        <v>0</v>
      </c>
      <c r="M165" s="10">
        <f>IF(statek7[[#This Row],[czy_wyplynal]]=1,statek7[[#This Row],[ile_talarow]],0)</f>
        <v>0</v>
      </c>
    </row>
    <row r="166" spans="1:13" x14ac:dyDescent="0.25">
      <c r="A166" s="1">
        <v>43270</v>
      </c>
      <c r="B166">
        <f t="shared" si="2"/>
        <v>45297</v>
      </c>
      <c r="C166" t="s">
        <v>19</v>
      </c>
      <c r="D166" t="s">
        <v>7</v>
      </c>
      <c r="E166" t="s">
        <v>8</v>
      </c>
      <c r="F166">
        <v>47</v>
      </c>
      <c r="G166">
        <v>66</v>
      </c>
      <c r="H166">
        <f>IF(statek7[[#This Row],[Z/W]]="Z",statek7[[#This Row],[ile ton]]*statek7[[#This Row],[cena za tone w talarach]],0)</f>
        <v>3102</v>
      </c>
      <c r="I166">
        <f>statek7[[#This Row],[ile_talarow]]-statek7[[#This Row],[ile_za_zaladunek]]</f>
        <v>42195</v>
      </c>
      <c r="J166">
        <f>IF(statek7[[#This Row],[Z/W]]="W",statek7[[#This Row],[ile ton]]*statek7[[#This Row],[cena za tone w talarach]],0)</f>
        <v>0</v>
      </c>
      <c r="K166">
        <f>statek7[[#This Row],[ile_talarow_po_zaladowaniu]]+statek7[[#This Row],[ile_za_wyładunek]]</f>
        <v>42195</v>
      </c>
      <c r="L166" s="10">
        <f>IF(statek7[[#This Row],[port]]&lt;&gt;C165,1,0)</f>
        <v>1</v>
      </c>
      <c r="M166" s="10">
        <f>IF(statek7[[#This Row],[czy_wyplynal]]=1,statek7[[#This Row],[ile_talarow]],0)</f>
        <v>45297</v>
      </c>
    </row>
    <row r="167" spans="1:13" x14ac:dyDescent="0.25">
      <c r="A167" s="1">
        <v>43270</v>
      </c>
      <c r="B167">
        <f t="shared" si="2"/>
        <v>42195</v>
      </c>
      <c r="C167" t="s">
        <v>19</v>
      </c>
      <c r="D167" t="s">
        <v>11</v>
      </c>
      <c r="E167" t="s">
        <v>8</v>
      </c>
      <c r="F167">
        <v>6</v>
      </c>
      <c r="G167">
        <v>25</v>
      </c>
      <c r="H167">
        <f>IF(statek7[[#This Row],[Z/W]]="Z",statek7[[#This Row],[ile ton]]*statek7[[#This Row],[cena za tone w talarach]],0)</f>
        <v>150</v>
      </c>
      <c r="I167">
        <f>statek7[[#This Row],[ile_talarow]]-statek7[[#This Row],[ile_za_zaladunek]]</f>
        <v>42045</v>
      </c>
      <c r="J167">
        <f>IF(statek7[[#This Row],[Z/W]]="W",statek7[[#This Row],[ile ton]]*statek7[[#This Row],[cena za tone w talarach]],0)</f>
        <v>0</v>
      </c>
      <c r="K167">
        <f>statek7[[#This Row],[ile_talarow_po_zaladowaniu]]+statek7[[#This Row],[ile_za_wyładunek]]</f>
        <v>42045</v>
      </c>
      <c r="L167" s="10">
        <f>IF(statek7[[#This Row],[port]]&lt;&gt;C166,1,0)</f>
        <v>0</v>
      </c>
      <c r="M167" s="10">
        <f>IF(statek7[[#This Row],[czy_wyplynal]]=1,statek7[[#This Row],[ile_talarow]],0)</f>
        <v>0</v>
      </c>
    </row>
    <row r="168" spans="1:13" x14ac:dyDescent="0.25">
      <c r="A168" s="1">
        <v>43270</v>
      </c>
      <c r="B168">
        <f t="shared" si="2"/>
        <v>42045</v>
      </c>
      <c r="C168" t="s">
        <v>19</v>
      </c>
      <c r="D168" t="s">
        <v>9</v>
      </c>
      <c r="E168" t="s">
        <v>8</v>
      </c>
      <c r="F168">
        <v>47</v>
      </c>
      <c r="G168">
        <v>41</v>
      </c>
      <c r="H168">
        <f>IF(statek7[[#This Row],[Z/W]]="Z",statek7[[#This Row],[ile ton]]*statek7[[#This Row],[cena za tone w talarach]],0)</f>
        <v>1927</v>
      </c>
      <c r="I168">
        <f>statek7[[#This Row],[ile_talarow]]-statek7[[#This Row],[ile_za_zaladunek]]</f>
        <v>40118</v>
      </c>
      <c r="J168">
        <f>IF(statek7[[#This Row],[Z/W]]="W",statek7[[#This Row],[ile ton]]*statek7[[#This Row],[cena za tone w talarach]],0)</f>
        <v>0</v>
      </c>
      <c r="K168">
        <f>statek7[[#This Row],[ile_talarow_po_zaladowaniu]]+statek7[[#This Row],[ile_za_wyładunek]]</f>
        <v>40118</v>
      </c>
      <c r="L168" s="10">
        <f>IF(statek7[[#This Row],[port]]&lt;&gt;C167,1,0)</f>
        <v>0</v>
      </c>
      <c r="M168" s="10">
        <f>IF(statek7[[#This Row],[czy_wyplynal]]=1,statek7[[#This Row],[ile_talarow]],0)</f>
        <v>0</v>
      </c>
    </row>
    <row r="169" spans="1:13" x14ac:dyDescent="0.25">
      <c r="A169" s="1">
        <v>43292</v>
      </c>
      <c r="B169">
        <f t="shared" si="2"/>
        <v>40118</v>
      </c>
      <c r="C169" t="s">
        <v>20</v>
      </c>
      <c r="D169" t="s">
        <v>10</v>
      </c>
      <c r="E169" t="s">
        <v>14</v>
      </c>
      <c r="F169">
        <v>192</v>
      </c>
      <c r="G169">
        <v>12</v>
      </c>
      <c r="H169">
        <f>IF(statek7[[#This Row],[Z/W]]="Z",statek7[[#This Row],[ile ton]]*statek7[[#This Row],[cena za tone w talarach]],0)</f>
        <v>0</v>
      </c>
      <c r="I169">
        <f>statek7[[#This Row],[ile_talarow]]-statek7[[#This Row],[ile_za_zaladunek]]</f>
        <v>40118</v>
      </c>
      <c r="J169">
        <f>IF(statek7[[#This Row],[Z/W]]="W",statek7[[#This Row],[ile ton]]*statek7[[#This Row],[cena za tone w talarach]],0)</f>
        <v>2304</v>
      </c>
      <c r="K169">
        <f>statek7[[#This Row],[ile_talarow_po_zaladowaniu]]+statek7[[#This Row],[ile_za_wyładunek]]</f>
        <v>42422</v>
      </c>
      <c r="L169" s="10">
        <f>IF(statek7[[#This Row],[port]]&lt;&gt;C168,1,0)</f>
        <v>1</v>
      </c>
      <c r="M169" s="10">
        <f>IF(statek7[[#This Row],[czy_wyplynal]]=1,statek7[[#This Row],[ile_talarow]],0)</f>
        <v>40118</v>
      </c>
    </row>
    <row r="170" spans="1:13" x14ac:dyDescent="0.25">
      <c r="A170" s="1">
        <v>43292</v>
      </c>
      <c r="B170">
        <f t="shared" si="2"/>
        <v>42422</v>
      </c>
      <c r="C170" t="s">
        <v>20</v>
      </c>
      <c r="D170" t="s">
        <v>11</v>
      </c>
      <c r="E170" t="s">
        <v>14</v>
      </c>
      <c r="F170">
        <v>48</v>
      </c>
      <c r="G170">
        <v>37</v>
      </c>
      <c r="H170">
        <f>IF(statek7[[#This Row],[Z/W]]="Z",statek7[[#This Row],[ile ton]]*statek7[[#This Row],[cena za tone w talarach]],0)</f>
        <v>0</v>
      </c>
      <c r="I170">
        <f>statek7[[#This Row],[ile_talarow]]-statek7[[#This Row],[ile_za_zaladunek]]</f>
        <v>42422</v>
      </c>
      <c r="J170">
        <f>IF(statek7[[#This Row],[Z/W]]="W",statek7[[#This Row],[ile ton]]*statek7[[#This Row],[cena za tone w talarach]],0)</f>
        <v>1776</v>
      </c>
      <c r="K170">
        <f>statek7[[#This Row],[ile_talarow_po_zaladowaniu]]+statek7[[#This Row],[ile_za_wyładunek]]</f>
        <v>44198</v>
      </c>
      <c r="L170" s="10">
        <f>IF(statek7[[#This Row],[port]]&lt;&gt;C169,1,0)</f>
        <v>0</v>
      </c>
      <c r="M170" s="10">
        <f>IF(statek7[[#This Row],[czy_wyplynal]]=1,statek7[[#This Row],[ile_talarow]],0)</f>
        <v>0</v>
      </c>
    </row>
    <row r="171" spans="1:13" x14ac:dyDescent="0.25">
      <c r="A171" s="1">
        <v>43292</v>
      </c>
      <c r="B171">
        <f t="shared" si="2"/>
        <v>44198</v>
      </c>
      <c r="C171" t="s">
        <v>20</v>
      </c>
      <c r="D171" t="s">
        <v>7</v>
      </c>
      <c r="E171" t="s">
        <v>8</v>
      </c>
      <c r="F171">
        <v>18</v>
      </c>
      <c r="G171">
        <v>62</v>
      </c>
      <c r="H171">
        <f>IF(statek7[[#This Row],[Z/W]]="Z",statek7[[#This Row],[ile ton]]*statek7[[#This Row],[cena za tone w talarach]],0)</f>
        <v>1116</v>
      </c>
      <c r="I171">
        <f>statek7[[#This Row],[ile_talarow]]-statek7[[#This Row],[ile_za_zaladunek]]</f>
        <v>43082</v>
      </c>
      <c r="J171">
        <f>IF(statek7[[#This Row],[Z/W]]="W",statek7[[#This Row],[ile ton]]*statek7[[#This Row],[cena za tone w talarach]],0)</f>
        <v>0</v>
      </c>
      <c r="K171">
        <f>statek7[[#This Row],[ile_talarow_po_zaladowaniu]]+statek7[[#This Row],[ile_za_wyładunek]]</f>
        <v>43082</v>
      </c>
      <c r="L171" s="10">
        <f>IF(statek7[[#This Row],[port]]&lt;&gt;C170,1,0)</f>
        <v>0</v>
      </c>
      <c r="M171" s="10">
        <f>IF(statek7[[#This Row],[czy_wyplynal]]=1,statek7[[#This Row],[ile_talarow]],0)</f>
        <v>0</v>
      </c>
    </row>
    <row r="172" spans="1:13" x14ac:dyDescent="0.25">
      <c r="A172" s="1">
        <v>43292</v>
      </c>
      <c r="B172">
        <f t="shared" si="2"/>
        <v>43082</v>
      </c>
      <c r="C172" t="s">
        <v>20</v>
      </c>
      <c r="D172" t="s">
        <v>9</v>
      </c>
      <c r="E172" t="s">
        <v>8</v>
      </c>
      <c r="F172">
        <v>25</v>
      </c>
      <c r="G172">
        <v>39</v>
      </c>
      <c r="H172">
        <f>IF(statek7[[#This Row],[Z/W]]="Z",statek7[[#This Row],[ile ton]]*statek7[[#This Row],[cena za tone w talarach]],0)</f>
        <v>975</v>
      </c>
      <c r="I172">
        <f>statek7[[#This Row],[ile_talarow]]-statek7[[#This Row],[ile_za_zaladunek]]</f>
        <v>42107</v>
      </c>
      <c r="J172">
        <f>IF(statek7[[#This Row],[Z/W]]="W",statek7[[#This Row],[ile ton]]*statek7[[#This Row],[cena za tone w talarach]],0)</f>
        <v>0</v>
      </c>
      <c r="K172">
        <f>statek7[[#This Row],[ile_talarow_po_zaladowaniu]]+statek7[[#This Row],[ile_za_wyładunek]]</f>
        <v>42107</v>
      </c>
      <c r="L172" s="10">
        <f>IF(statek7[[#This Row],[port]]&lt;&gt;C171,1,0)</f>
        <v>0</v>
      </c>
      <c r="M172" s="10">
        <f>IF(statek7[[#This Row],[czy_wyplynal]]=1,statek7[[#This Row],[ile_talarow]],0)</f>
        <v>0</v>
      </c>
    </row>
    <row r="173" spans="1:13" x14ac:dyDescent="0.25">
      <c r="A173" s="1">
        <v>43292</v>
      </c>
      <c r="B173">
        <f t="shared" si="2"/>
        <v>42107</v>
      </c>
      <c r="C173" t="s">
        <v>20</v>
      </c>
      <c r="D173" t="s">
        <v>12</v>
      </c>
      <c r="E173" t="s">
        <v>8</v>
      </c>
      <c r="F173">
        <v>2</v>
      </c>
      <c r="G173">
        <v>20</v>
      </c>
      <c r="H173">
        <f>IF(statek7[[#This Row],[Z/W]]="Z",statek7[[#This Row],[ile ton]]*statek7[[#This Row],[cena za tone w talarach]],0)</f>
        <v>40</v>
      </c>
      <c r="I173">
        <f>statek7[[#This Row],[ile_talarow]]-statek7[[#This Row],[ile_za_zaladunek]]</f>
        <v>42067</v>
      </c>
      <c r="J173">
        <f>IF(statek7[[#This Row],[Z/W]]="W",statek7[[#This Row],[ile ton]]*statek7[[#This Row],[cena za tone w talarach]],0)</f>
        <v>0</v>
      </c>
      <c r="K173">
        <f>statek7[[#This Row],[ile_talarow_po_zaladowaniu]]+statek7[[#This Row],[ile_za_wyładunek]]</f>
        <v>42067</v>
      </c>
      <c r="L173" s="10">
        <f>IF(statek7[[#This Row],[port]]&lt;&gt;C172,1,0)</f>
        <v>0</v>
      </c>
      <c r="M173" s="10">
        <f>IF(statek7[[#This Row],[czy_wyplynal]]=1,statek7[[#This Row],[ile_talarow]],0)</f>
        <v>0</v>
      </c>
    </row>
    <row r="174" spans="1:13" x14ac:dyDescent="0.25">
      <c r="A174" s="1">
        <v>43317</v>
      </c>
      <c r="B174">
        <f t="shared" si="2"/>
        <v>42067</v>
      </c>
      <c r="C174" t="s">
        <v>21</v>
      </c>
      <c r="D174" t="s">
        <v>11</v>
      </c>
      <c r="E174" t="s">
        <v>14</v>
      </c>
      <c r="F174">
        <v>13</v>
      </c>
      <c r="G174">
        <v>38</v>
      </c>
      <c r="H174">
        <f>IF(statek7[[#This Row],[Z/W]]="Z",statek7[[#This Row],[ile ton]]*statek7[[#This Row],[cena za tone w talarach]],0)</f>
        <v>0</v>
      </c>
      <c r="I174">
        <f>statek7[[#This Row],[ile_talarow]]-statek7[[#This Row],[ile_za_zaladunek]]</f>
        <v>42067</v>
      </c>
      <c r="J174">
        <f>IF(statek7[[#This Row],[Z/W]]="W",statek7[[#This Row],[ile ton]]*statek7[[#This Row],[cena za tone w talarach]],0)</f>
        <v>494</v>
      </c>
      <c r="K174">
        <f>statek7[[#This Row],[ile_talarow_po_zaladowaniu]]+statek7[[#This Row],[ile_za_wyładunek]]</f>
        <v>42561</v>
      </c>
      <c r="L174" s="10">
        <f>IF(statek7[[#This Row],[port]]&lt;&gt;C173,1,0)</f>
        <v>1</v>
      </c>
      <c r="M174" s="10">
        <f>IF(statek7[[#This Row],[czy_wyplynal]]=1,statek7[[#This Row],[ile_talarow]],0)</f>
        <v>42067</v>
      </c>
    </row>
    <row r="175" spans="1:13" x14ac:dyDescent="0.25">
      <c r="A175" s="1">
        <v>43317</v>
      </c>
      <c r="B175">
        <f t="shared" si="2"/>
        <v>42561</v>
      </c>
      <c r="C175" t="s">
        <v>21</v>
      </c>
      <c r="D175" t="s">
        <v>9</v>
      </c>
      <c r="E175" t="s">
        <v>14</v>
      </c>
      <c r="F175">
        <v>121</v>
      </c>
      <c r="G175">
        <v>63</v>
      </c>
      <c r="H175">
        <f>IF(statek7[[#This Row],[Z/W]]="Z",statek7[[#This Row],[ile ton]]*statek7[[#This Row],[cena za tone w talarach]],0)</f>
        <v>0</v>
      </c>
      <c r="I175">
        <f>statek7[[#This Row],[ile_talarow]]-statek7[[#This Row],[ile_za_zaladunek]]</f>
        <v>42561</v>
      </c>
      <c r="J175">
        <f>IF(statek7[[#This Row],[Z/W]]="W",statek7[[#This Row],[ile ton]]*statek7[[#This Row],[cena za tone w talarach]],0)</f>
        <v>7623</v>
      </c>
      <c r="K175">
        <f>statek7[[#This Row],[ile_talarow_po_zaladowaniu]]+statek7[[#This Row],[ile_za_wyładunek]]</f>
        <v>50184</v>
      </c>
      <c r="L175" s="10">
        <f>IF(statek7[[#This Row],[port]]&lt;&gt;C174,1,0)</f>
        <v>0</v>
      </c>
      <c r="M175" s="10">
        <f>IF(statek7[[#This Row],[czy_wyplynal]]=1,statek7[[#This Row],[ile_talarow]],0)</f>
        <v>0</v>
      </c>
    </row>
    <row r="176" spans="1:13" x14ac:dyDescent="0.25">
      <c r="A176" s="1">
        <v>43317</v>
      </c>
      <c r="B176">
        <f t="shared" si="2"/>
        <v>50184</v>
      </c>
      <c r="C176" t="s">
        <v>21</v>
      </c>
      <c r="D176" t="s">
        <v>12</v>
      </c>
      <c r="E176" t="s">
        <v>8</v>
      </c>
      <c r="F176">
        <v>30</v>
      </c>
      <c r="G176">
        <v>19</v>
      </c>
      <c r="H176">
        <f>IF(statek7[[#This Row],[Z/W]]="Z",statek7[[#This Row],[ile ton]]*statek7[[#This Row],[cena za tone w talarach]],0)</f>
        <v>570</v>
      </c>
      <c r="I176">
        <f>statek7[[#This Row],[ile_talarow]]-statek7[[#This Row],[ile_za_zaladunek]]</f>
        <v>49614</v>
      </c>
      <c r="J176">
        <f>IF(statek7[[#This Row],[Z/W]]="W",statek7[[#This Row],[ile ton]]*statek7[[#This Row],[cena za tone w talarach]],0)</f>
        <v>0</v>
      </c>
      <c r="K176">
        <f>statek7[[#This Row],[ile_talarow_po_zaladowaniu]]+statek7[[#This Row],[ile_za_wyładunek]]</f>
        <v>49614</v>
      </c>
      <c r="L176" s="10">
        <f>IF(statek7[[#This Row],[port]]&lt;&gt;C175,1,0)</f>
        <v>0</v>
      </c>
      <c r="M176" s="10">
        <f>IF(statek7[[#This Row],[czy_wyplynal]]=1,statek7[[#This Row],[ile_talarow]],0)</f>
        <v>0</v>
      </c>
    </row>
    <row r="177" spans="1:13" x14ac:dyDescent="0.25">
      <c r="A177" s="1">
        <v>43317</v>
      </c>
      <c r="B177">
        <f t="shared" si="2"/>
        <v>49614</v>
      </c>
      <c r="C177" t="s">
        <v>21</v>
      </c>
      <c r="D177" t="s">
        <v>10</v>
      </c>
      <c r="E177" t="s">
        <v>8</v>
      </c>
      <c r="F177">
        <v>46</v>
      </c>
      <c r="G177">
        <v>8</v>
      </c>
      <c r="H177">
        <f>IF(statek7[[#This Row],[Z/W]]="Z",statek7[[#This Row],[ile ton]]*statek7[[#This Row],[cena za tone w talarach]],0)</f>
        <v>368</v>
      </c>
      <c r="I177">
        <f>statek7[[#This Row],[ile_talarow]]-statek7[[#This Row],[ile_za_zaladunek]]</f>
        <v>49246</v>
      </c>
      <c r="J177">
        <f>IF(statek7[[#This Row],[Z/W]]="W",statek7[[#This Row],[ile ton]]*statek7[[#This Row],[cena za tone w talarach]],0)</f>
        <v>0</v>
      </c>
      <c r="K177">
        <f>statek7[[#This Row],[ile_talarow_po_zaladowaniu]]+statek7[[#This Row],[ile_za_wyładunek]]</f>
        <v>49246</v>
      </c>
      <c r="L177" s="10">
        <f>IF(statek7[[#This Row],[port]]&lt;&gt;C176,1,0)</f>
        <v>0</v>
      </c>
      <c r="M177" s="10">
        <f>IF(statek7[[#This Row],[czy_wyplynal]]=1,statek7[[#This Row],[ile_talarow]],0)</f>
        <v>0</v>
      </c>
    </row>
    <row r="178" spans="1:13" x14ac:dyDescent="0.25">
      <c r="A178" s="1">
        <v>43330</v>
      </c>
      <c r="B178">
        <f t="shared" si="2"/>
        <v>49246</v>
      </c>
      <c r="C178" t="s">
        <v>22</v>
      </c>
      <c r="D178" t="s">
        <v>10</v>
      </c>
      <c r="E178" t="s">
        <v>14</v>
      </c>
      <c r="F178">
        <v>49</v>
      </c>
      <c r="G178">
        <v>11</v>
      </c>
      <c r="H178">
        <f>IF(statek7[[#This Row],[Z/W]]="Z",statek7[[#This Row],[ile ton]]*statek7[[#This Row],[cena za tone w talarach]],0)</f>
        <v>0</v>
      </c>
      <c r="I178">
        <f>statek7[[#This Row],[ile_talarow]]-statek7[[#This Row],[ile_za_zaladunek]]</f>
        <v>49246</v>
      </c>
      <c r="J178">
        <f>IF(statek7[[#This Row],[Z/W]]="W",statek7[[#This Row],[ile ton]]*statek7[[#This Row],[cena za tone w talarach]],0)</f>
        <v>539</v>
      </c>
      <c r="K178">
        <f>statek7[[#This Row],[ile_talarow_po_zaladowaniu]]+statek7[[#This Row],[ile_za_wyładunek]]</f>
        <v>49785</v>
      </c>
      <c r="L178" s="10">
        <f>IF(statek7[[#This Row],[port]]&lt;&gt;C177,1,0)</f>
        <v>1</v>
      </c>
      <c r="M178" s="10">
        <f>IF(statek7[[#This Row],[czy_wyplynal]]=1,statek7[[#This Row],[ile_talarow]],0)</f>
        <v>49246</v>
      </c>
    </row>
    <row r="179" spans="1:13" x14ac:dyDescent="0.25">
      <c r="A179" s="1">
        <v>43330</v>
      </c>
      <c r="B179">
        <f t="shared" si="2"/>
        <v>49785</v>
      </c>
      <c r="C179" t="s">
        <v>22</v>
      </c>
      <c r="D179" t="s">
        <v>7</v>
      </c>
      <c r="E179" t="s">
        <v>14</v>
      </c>
      <c r="F179">
        <v>61</v>
      </c>
      <c r="G179">
        <v>90</v>
      </c>
      <c r="H179">
        <f>IF(statek7[[#This Row],[Z/W]]="Z",statek7[[#This Row],[ile ton]]*statek7[[#This Row],[cena za tone w talarach]],0)</f>
        <v>0</v>
      </c>
      <c r="I179">
        <f>statek7[[#This Row],[ile_talarow]]-statek7[[#This Row],[ile_za_zaladunek]]</f>
        <v>49785</v>
      </c>
      <c r="J179">
        <f>IF(statek7[[#This Row],[Z/W]]="W",statek7[[#This Row],[ile ton]]*statek7[[#This Row],[cena za tone w talarach]],0)</f>
        <v>5490</v>
      </c>
      <c r="K179">
        <f>statek7[[#This Row],[ile_talarow_po_zaladowaniu]]+statek7[[#This Row],[ile_za_wyładunek]]</f>
        <v>55275</v>
      </c>
      <c r="L179" s="10">
        <f>IF(statek7[[#This Row],[port]]&lt;&gt;C178,1,0)</f>
        <v>0</v>
      </c>
      <c r="M179" s="10">
        <f>IF(statek7[[#This Row],[czy_wyplynal]]=1,statek7[[#This Row],[ile_talarow]],0)</f>
        <v>0</v>
      </c>
    </row>
    <row r="180" spans="1:13" x14ac:dyDescent="0.25">
      <c r="A180" s="1">
        <v>43330</v>
      </c>
      <c r="B180">
        <f t="shared" si="2"/>
        <v>55275</v>
      </c>
      <c r="C180" t="s">
        <v>22</v>
      </c>
      <c r="D180" t="s">
        <v>12</v>
      </c>
      <c r="E180" t="s">
        <v>8</v>
      </c>
      <c r="F180">
        <v>19</v>
      </c>
      <c r="G180">
        <v>22</v>
      </c>
      <c r="H180">
        <f>IF(statek7[[#This Row],[Z/W]]="Z",statek7[[#This Row],[ile ton]]*statek7[[#This Row],[cena za tone w talarach]],0)</f>
        <v>418</v>
      </c>
      <c r="I180">
        <f>statek7[[#This Row],[ile_talarow]]-statek7[[#This Row],[ile_za_zaladunek]]</f>
        <v>54857</v>
      </c>
      <c r="J180">
        <f>IF(statek7[[#This Row],[Z/W]]="W",statek7[[#This Row],[ile ton]]*statek7[[#This Row],[cena za tone w talarach]],0)</f>
        <v>0</v>
      </c>
      <c r="K180">
        <f>statek7[[#This Row],[ile_talarow_po_zaladowaniu]]+statek7[[#This Row],[ile_za_wyładunek]]</f>
        <v>54857</v>
      </c>
      <c r="L180" s="10">
        <f>IF(statek7[[#This Row],[port]]&lt;&gt;C179,1,0)</f>
        <v>0</v>
      </c>
      <c r="M180" s="10">
        <f>IF(statek7[[#This Row],[czy_wyplynal]]=1,statek7[[#This Row],[ile_talarow]],0)</f>
        <v>0</v>
      </c>
    </row>
    <row r="181" spans="1:13" x14ac:dyDescent="0.25">
      <c r="A181" s="1">
        <v>43330</v>
      </c>
      <c r="B181">
        <f t="shared" si="2"/>
        <v>54857</v>
      </c>
      <c r="C181" t="s">
        <v>22</v>
      </c>
      <c r="D181" t="s">
        <v>9</v>
      </c>
      <c r="E181" t="s">
        <v>8</v>
      </c>
      <c r="F181">
        <v>22</v>
      </c>
      <c r="G181">
        <v>44</v>
      </c>
      <c r="H181">
        <f>IF(statek7[[#This Row],[Z/W]]="Z",statek7[[#This Row],[ile ton]]*statek7[[#This Row],[cena za tone w talarach]],0)</f>
        <v>968</v>
      </c>
      <c r="I181">
        <f>statek7[[#This Row],[ile_talarow]]-statek7[[#This Row],[ile_za_zaladunek]]</f>
        <v>53889</v>
      </c>
      <c r="J181">
        <f>IF(statek7[[#This Row],[Z/W]]="W",statek7[[#This Row],[ile ton]]*statek7[[#This Row],[cena za tone w talarach]],0)</f>
        <v>0</v>
      </c>
      <c r="K181">
        <f>statek7[[#This Row],[ile_talarow_po_zaladowaniu]]+statek7[[#This Row],[ile_za_wyładunek]]</f>
        <v>53889</v>
      </c>
      <c r="L181" s="10">
        <f>IF(statek7[[#This Row],[port]]&lt;&gt;C180,1,0)</f>
        <v>0</v>
      </c>
      <c r="M181" s="10">
        <f>IF(statek7[[#This Row],[czy_wyplynal]]=1,statek7[[#This Row],[ile_talarow]],0)</f>
        <v>0</v>
      </c>
    </row>
    <row r="182" spans="1:13" x14ac:dyDescent="0.25">
      <c r="A182" s="1">
        <v>43347</v>
      </c>
      <c r="B182">
        <f t="shared" si="2"/>
        <v>53889</v>
      </c>
      <c r="C182" t="s">
        <v>6</v>
      </c>
      <c r="D182" t="s">
        <v>11</v>
      </c>
      <c r="E182" t="s">
        <v>8</v>
      </c>
      <c r="F182">
        <v>9</v>
      </c>
      <c r="G182">
        <v>25</v>
      </c>
      <c r="H182">
        <f>IF(statek7[[#This Row],[Z/W]]="Z",statek7[[#This Row],[ile ton]]*statek7[[#This Row],[cena za tone w talarach]],0)</f>
        <v>225</v>
      </c>
      <c r="I182">
        <f>statek7[[#This Row],[ile_talarow]]-statek7[[#This Row],[ile_za_zaladunek]]</f>
        <v>53664</v>
      </c>
      <c r="J182">
        <f>IF(statek7[[#This Row],[Z/W]]="W",statek7[[#This Row],[ile ton]]*statek7[[#This Row],[cena za tone w talarach]],0)</f>
        <v>0</v>
      </c>
      <c r="K182">
        <f>statek7[[#This Row],[ile_talarow_po_zaladowaniu]]+statek7[[#This Row],[ile_za_wyładunek]]</f>
        <v>53664</v>
      </c>
      <c r="L182" s="10">
        <f>IF(statek7[[#This Row],[port]]&lt;&gt;C181,1,0)</f>
        <v>1</v>
      </c>
      <c r="M182" s="10">
        <f>IF(statek7[[#This Row],[czy_wyplynal]]=1,statek7[[#This Row],[ile_talarow]],0)</f>
        <v>53889</v>
      </c>
    </row>
    <row r="183" spans="1:13" x14ac:dyDescent="0.25">
      <c r="A183" s="1">
        <v>43347</v>
      </c>
      <c r="B183">
        <f t="shared" si="2"/>
        <v>53664</v>
      </c>
      <c r="C183" t="s">
        <v>6</v>
      </c>
      <c r="D183" t="s">
        <v>7</v>
      </c>
      <c r="E183" t="s">
        <v>14</v>
      </c>
      <c r="F183">
        <v>4</v>
      </c>
      <c r="G183">
        <v>94</v>
      </c>
      <c r="H183">
        <f>IF(statek7[[#This Row],[Z/W]]="Z",statek7[[#This Row],[ile ton]]*statek7[[#This Row],[cena za tone w talarach]],0)</f>
        <v>0</v>
      </c>
      <c r="I183">
        <f>statek7[[#This Row],[ile_talarow]]-statek7[[#This Row],[ile_za_zaladunek]]</f>
        <v>53664</v>
      </c>
      <c r="J183">
        <f>IF(statek7[[#This Row],[Z/W]]="W",statek7[[#This Row],[ile ton]]*statek7[[#This Row],[cena za tone w talarach]],0)</f>
        <v>376</v>
      </c>
      <c r="K183">
        <f>statek7[[#This Row],[ile_talarow_po_zaladowaniu]]+statek7[[#This Row],[ile_za_wyładunek]]</f>
        <v>54040</v>
      </c>
      <c r="L183" s="10">
        <f>IF(statek7[[#This Row],[port]]&lt;&gt;C182,1,0)</f>
        <v>0</v>
      </c>
      <c r="M183" s="10">
        <f>IF(statek7[[#This Row],[czy_wyplynal]]=1,statek7[[#This Row],[ile_talarow]],0)</f>
        <v>0</v>
      </c>
    </row>
    <row r="184" spans="1:13" x14ac:dyDescent="0.25">
      <c r="A184" s="1">
        <v>43347</v>
      </c>
      <c r="B184">
        <f t="shared" si="2"/>
        <v>54040</v>
      </c>
      <c r="C184" t="s">
        <v>6</v>
      </c>
      <c r="D184" t="s">
        <v>12</v>
      </c>
      <c r="E184" t="s">
        <v>8</v>
      </c>
      <c r="F184">
        <v>8</v>
      </c>
      <c r="G184">
        <v>21</v>
      </c>
      <c r="H184">
        <f>IF(statek7[[#This Row],[Z/W]]="Z",statek7[[#This Row],[ile ton]]*statek7[[#This Row],[cena za tone w talarach]],0)</f>
        <v>168</v>
      </c>
      <c r="I184">
        <f>statek7[[#This Row],[ile_talarow]]-statek7[[#This Row],[ile_za_zaladunek]]</f>
        <v>53872</v>
      </c>
      <c r="J184">
        <f>IF(statek7[[#This Row],[Z/W]]="W",statek7[[#This Row],[ile ton]]*statek7[[#This Row],[cena za tone w talarach]],0)</f>
        <v>0</v>
      </c>
      <c r="K184">
        <f>statek7[[#This Row],[ile_talarow_po_zaladowaniu]]+statek7[[#This Row],[ile_za_wyładunek]]</f>
        <v>53872</v>
      </c>
      <c r="L184" s="10">
        <f>IF(statek7[[#This Row],[port]]&lt;&gt;C183,1,0)</f>
        <v>0</v>
      </c>
      <c r="M184" s="10">
        <f>IF(statek7[[#This Row],[czy_wyplynal]]=1,statek7[[#This Row],[ile_talarow]],0)</f>
        <v>0</v>
      </c>
    </row>
    <row r="185" spans="1:13" x14ac:dyDescent="0.25">
      <c r="A185" s="1">
        <v>43347</v>
      </c>
      <c r="B185">
        <f t="shared" si="2"/>
        <v>53872</v>
      </c>
      <c r="C185" t="s">
        <v>6</v>
      </c>
      <c r="D185" t="s">
        <v>10</v>
      </c>
      <c r="E185" t="s">
        <v>8</v>
      </c>
      <c r="F185">
        <v>47</v>
      </c>
      <c r="G185">
        <v>8</v>
      </c>
      <c r="H185">
        <f>IF(statek7[[#This Row],[Z/W]]="Z",statek7[[#This Row],[ile ton]]*statek7[[#This Row],[cena za tone w talarach]],0)</f>
        <v>376</v>
      </c>
      <c r="I185">
        <f>statek7[[#This Row],[ile_talarow]]-statek7[[#This Row],[ile_za_zaladunek]]</f>
        <v>53496</v>
      </c>
      <c r="J185">
        <f>IF(statek7[[#This Row],[Z/W]]="W",statek7[[#This Row],[ile ton]]*statek7[[#This Row],[cena za tone w talarach]],0)</f>
        <v>0</v>
      </c>
      <c r="K185">
        <f>statek7[[#This Row],[ile_talarow_po_zaladowaniu]]+statek7[[#This Row],[ile_za_wyładunek]]</f>
        <v>53496</v>
      </c>
      <c r="L185" s="10">
        <f>IF(statek7[[#This Row],[port]]&lt;&gt;C184,1,0)</f>
        <v>0</v>
      </c>
      <c r="M185" s="10">
        <f>IF(statek7[[#This Row],[czy_wyplynal]]=1,statek7[[#This Row],[ile_talarow]],0)</f>
        <v>0</v>
      </c>
    </row>
    <row r="186" spans="1:13" x14ac:dyDescent="0.25">
      <c r="A186" s="1">
        <v>43362</v>
      </c>
      <c r="B186">
        <f t="shared" si="2"/>
        <v>53496</v>
      </c>
      <c r="C186" t="s">
        <v>13</v>
      </c>
      <c r="D186" t="s">
        <v>12</v>
      </c>
      <c r="E186" t="s">
        <v>14</v>
      </c>
      <c r="F186">
        <v>82</v>
      </c>
      <c r="G186">
        <v>29</v>
      </c>
      <c r="H186">
        <f>IF(statek7[[#This Row],[Z/W]]="Z",statek7[[#This Row],[ile ton]]*statek7[[#This Row],[cena za tone w talarach]],0)</f>
        <v>0</v>
      </c>
      <c r="I186">
        <f>statek7[[#This Row],[ile_talarow]]-statek7[[#This Row],[ile_za_zaladunek]]</f>
        <v>53496</v>
      </c>
      <c r="J186">
        <f>IF(statek7[[#This Row],[Z/W]]="W",statek7[[#This Row],[ile ton]]*statek7[[#This Row],[cena za tone w talarach]],0)</f>
        <v>2378</v>
      </c>
      <c r="K186">
        <f>statek7[[#This Row],[ile_talarow_po_zaladowaniu]]+statek7[[#This Row],[ile_za_wyładunek]]</f>
        <v>55874</v>
      </c>
      <c r="L186" s="10">
        <f>IF(statek7[[#This Row],[port]]&lt;&gt;C185,1,0)</f>
        <v>1</v>
      </c>
      <c r="M186" s="10">
        <f>IF(statek7[[#This Row],[czy_wyplynal]]=1,statek7[[#This Row],[ile_talarow]],0)</f>
        <v>53496</v>
      </c>
    </row>
    <row r="187" spans="1:13" x14ac:dyDescent="0.25">
      <c r="A187" s="1">
        <v>43362</v>
      </c>
      <c r="B187">
        <f t="shared" si="2"/>
        <v>55874</v>
      </c>
      <c r="C187" t="s">
        <v>13</v>
      </c>
      <c r="D187" t="s">
        <v>9</v>
      </c>
      <c r="E187" t="s">
        <v>14</v>
      </c>
      <c r="F187">
        <v>26</v>
      </c>
      <c r="G187">
        <v>58</v>
      </c>
      <c r="H187">
        <f>IF(statek7[[#This Row],[Z/W]]="Z",statek7[[#This Row],[ile ton]]*statek7[[#This Row],[cena za tone w talarach]],0)</f>
        <v>0</v>
      </c>
      <c r="I187">
        <f>statek7[[#This Row],[ile_talarow]]-statek7[[#This Row],[ile_za_zaladunek]]</f>
        <v>55874</v>
      </c>
      <c r="J187">
        <f>IF(statek7[[#This Row],[Z/W]]="W",statek7[[#This Row],[ile ton]]*statek7[[#This Row],[cena za tone w talarach]],0)</f>
        <v>1508</v>
      </c>
      <c r="K187">
        <f>statek7[[#This Row],[ile_talarow_po_zaladowaniu]]+statek7[[#This Row],[ile_za_wyładunek]]</f>
        <v>57382</v>
      </c>
      <c r="L187" s="10">
        <f>IF(statek7[[#This Row],[port]]&lt;&gt;C186,1,0)</f>
        <v>0</v>
      </c>
      <c r="M187" s="10">
        <f>IF(statek7[[#This Row],[czy_wyplynal]]=1,statek7[[#This Row],[ile_talarow]],0)</f>
        <v>0</v>
      </c>
    </row>
    <row r="188" spans="1:13" x14ac:dyDescent="0.25">
      <c r="A188" s="1">
        <v>43362</v>
      </c>
      <c r="B188">
        <f t="shared" si="2"/>
        <v>57382</v>
      </c>
      <c r="C188" t="s">
        <v>13</v>
      </c>
      <c r="D188" t="s">
        <v>10</v>
      </c>
      <c r="E188" t="s">
        <v>8</v>
      </c>
      <c r="F188">
        <v>24</v>
      </c>
      <c r="G188">
        <v>9</v>
      </c>
      <c r="H188">
        <f>IF(statek7[[#This Row],[Z/W]]="Z",statek7[[#This Row],[ile ton]]*statek7[[#This Row],[cena za tone w talarach]],0)</f>
        <v>216</v>
      </c>
      <c r="I188">
        <f>statek7[[#This Row],[ile_talarow]]-statek7[[#This Row],[ile_za_zaladunek]]</f>
        <v>57166</v>
      </c>
      <c r="J188">
        <f>IF(statek7[[#This Row],[Z/W]]="W",statek7[[#This Row],[ile ton]]*statek7[[#This Row],[cena za tone w talarach]],0)</f>
        <v>0</v>
      </c>
      <c r="K188">
        <f>statek7[[#This Row],[ile_talarow_po_zaladowaniu]]+statek7[[#This Row],[ile_za_wyładunek]]</f>
        <v>57166</v>
      </c>
      <c r="L188" s="10">
        <f>IF(statek7[[#This Row],[port]]&lt;&gt;C187,1,0)</f>
        <v>0</v>
      </c>
      <c r="M188" s="10">
        <f>IF(statek7[[#This Row],[czy_wyplynal]]=1,statek7[[#This Row],[ile_talarow]],0)</f>
        <v>0</v>
      </c>
    </row>
    <row r="189" spans="1:13" x14ac:dyDescent="0.25">
      <c r="A189" s="1">
        <v>43362</v>
      </c>
      <c r="B189">
        <f t="shared" si="2"/>
        <v>57166</v>
      </c>
      <c r="C189" t="s">
        <v>13</v>
      </c>
      <c r="D189" t="s">
        <v>11</v>
      </c>
      <c r="E189" t="s">
        <v>8</v>
      </c>
      <c r="F189">
        <v>36</v>
      </c>
      <c r="G189">
        <v>26</v>
      </c>
      <c r="H189">
        <f>IF(statek7[[#This Row],[Z/W]]="Z",statek7[[#This Row],[ile ton]]*statek7[[#This Row],[cena za tone w talarach]],0)</f>
        <v>936</v>
      </c>
      <c r="I189">
        <f>statek7[[#This Row],[ile_talarow]]-statek7[[#This Row],[ile_za_zaladunek]]</f>
        <v>56230</v>
      </c>
      <c r="J189">
        <f>IF(statek7[[#This Row],[Z/W]]="W",statek7[[#This Row],[ile ton]]*statek7[[#This Row],[cena za tone w talarach]],0)</f>
        <v>0</v>
      </c>
      <c r="K189">
        <f>statek7[[#This Row],[ile_talarow_po_zaladowaniu]]+statek7[[#This Row],[ile_za_wyładunek]]</f>
        <v>56230</v>
      </c>
      <c r="L189" s="10">
        <f>IF(statek7[[#This Row],[port]]&lt;&gt;C188,1,0)</f>
        <v>0</v>
      </c>
      <c r="M189" s="10">
        <f>IF(statek7[[#This Row],[czy_wyplynal]]=1,statek7[[#This Row],[ile_talarow]],0)</f>
        <v>0</v>
      </c>
    </row>
    <row r="190" spans="1:13" x14ac:dyDescent="0.25">
      <c r="A190" s="1">
        <v>43362</v>
      </c>
      <c r="B190">
        <f t="shared" si="2"/>
        <v>56230</v>
      </c>
      <c r="C190" t="s">
        <v>13</v>
      </c>
      <c r="D190" t="s">
        <v>7</v>
      </c>
      <c r="E190" t="s">
        <v>8</v>
      </c>
      <c r="F190">
        <v>6</v>
      </c>
      <c r="G190">
        <v>68</v>
      </c>
      <c r="H190">
        <f>IF(statek7[[#This Row],[Z/W]]="Z",statek7[[#This Row],[ile ton]]*statek7[[#This Row],[cena za tone w talarach]],0)</f>
        <v>408</v>
      </c>
      <c r="I190">
        <f>statek7[[#This Row],[ile_talarow]]-statek7[[#This Row],[ile_za_zaladunek]]</f>
        <v>55822</v>
      </c>
      <c r="J190">
        <f>IF(statek7[[#This Row],[Z/W]]="W",statek7[[#This Row],[ile ton]]*statek7[[#This Row],[cena za tone w talarach]],0)</f>
        <v>0</v>
      </c>
      <c r="K190">
        <f>statek7[[#This Row],[ile_talarow_po_zaladowaniu]]+statek7[[#This Row],[ile_za_wyładunek]]</f>
        <v>55822</v>
      </c>
      <c r="L190" s="10">
        <f>IF(statek7[[#This Row],[port]]&lt;&gt;C189,1,0)</f>
        <v>0</v>
      </c>
      <c r="M190" s="10">
        <f>IF(statek7[[#This Row],[czy_wyplynal]]=1,statek7[[#This Row],[ile_talarow]],0)</f>
        <v>0</v>
      </c>
    </row>
    <row r="191" spans="1:13" x14ac:dyDescent="0.25">
      <c r="A191" s="1">
        <v>43381</v>
      </c>
      <c r="B191">
        <f t="shared" si="2"/>
        <v>55822</v>
      </c>
      <c r="C191" t="s">
        <v>15</v>
      </c>
      <c r="D191" t="s">
        <v>11</v>
      </c>
      <c r="E191" t="s">
        <v>14</v>
      </c>
      <c r="F191">
        <v>45</v>
      </c>
      <c r="G191">
        <v>36</v>
      </c>
      <c r="H191">
        <f>IF(statek7[[#This Row],[Z/W]]="Z",statek7[[#This Row],[ile ton]]*statek7[[#This Row],[cena za tone w talarach]],0)</f>
        <v>0</v>
      </c>
      <c r="I191">
        <f>statek7[[#This Row],[ile_talarow]]-statek7[[#This Row],[ile_za_zaladunek]]</f>
        <v>55822</v>
      </c>
      <c r="J191">
        <f>IF(statek7[[#This Row],[Z/W]]="W",statek7[[#This Row],[ile ton]]*statek7[[#This Row],[cena za tone w talarach]],0)</f>
        <v>1620</v>
      </c>
      <c r="K191">
        <f>statek7[[#This Row],[ile_talarow_po_zaladowaniu]]+statek7[[#This Row],[ile_za_wyładunek]]</f>
        <v>57442</v>
      </c>
      <c r="L191" s="10">
        <f>IF(statek7[[#This Row],[port]]&lt;&gt;C190,1,0)</f>
        <v>1</v>
      </c>
      <c r="M191" s="10">
        <f>IF(statek7[[#This Row],[czy_wyplynal]]=1,statek7[[#This Row],[ile_talarow]],0)</f>
        <v>55822</v>
      </c>
    </row>
    <row r="192" spans="1:13" x14ac:dyDescent="0.25">
      <c r="A192" s="1">
        <v>43381</v>
      </c>
      <c r="B192">
        <f t="shared" si="2"/>
        <v>57442</v>
      </c>
      <c r="C192" t="s">
        <v>15</v>
      </c>
      <c r="D192" t="s">
        <v>10</v>
      </c>
      <c r="E192" t="s">
        <v>8</v>
      </c>
      <c r="F192">
        <v>18</v>
      </c>
      <c r="G192">
        <v>8</v>
      </c>
      <c r="H192">
        <f>IF(statek7[[#This Row],[Z/W]]="Z",statek7[[#This Row],[ile ton]]*statek7[[#This Row],[cena za tone w talarach]],0)</f>
        <v>144</v>
      </c>
      <c r="I192">
        <f>statek7[[#This Row],[ile_talarow]]-statek7[[#This Row],[ile_za_zaladunek]]</f>
        <v>57298</v>
      </c>
      <c r="J192">
        <f>IF(statek7[[#This Row],[Z/W]]="W",statek7[[#This Row],[ile ton]]*statek7[[#This Row],[cena za tone w talarach]],0)</f>
        <v>0</v>
      </c>
      <c r="K192">
        <f>statek7[[#This Row],[ile_talarow_po_zaladowaniu]]+statek7[[#This Row],[ile_za_wyładunek]]</f>
        <v>57298</v>
      </c>
      <c r="L192" s="10">
        <f>IF(statek7[[#This Row],[port]]&lt;&gt;C191,1,0)</f>
        <v>0</v>
      </c>
      <c r="M192" s="10">
        <f>IF(statek7[[#This Row],[czy_wyplynal]]=1,statek7[[#This Row],[ile_talarow]],0)</f>
        <v>0</v>
      </c>
    </row>
    <row r="193" spans="1:13" x14ac:dyDescent="0.25">
      <c r="A193" s="1">
        <v>43381</v>
      </c>
      <c r="B193">
        <f t="shared" si="2"/>
        <v>57298</v>
      </c>
      <c r="C193" t="s">
        <v>15</v>
      </c>
      <c r="D193" t="s">
        <v>9</v>
      </c>
      <c r="E193" t="s">
        <v>8</v>
      </c>
      <c r="F193">
        <v>20</v>
      </c>
      <c r="G193">
        <v>41</v>
      </c>
      <c r="H193">
        <f>IF(statek7[[#This Row],[Z/W]]="Z",statek7[[#This Row],[ile ton]]*statek7[[#This Row],[cena za tone w talarach]],0)</f>
        <v>820</v>
      </c>
      <c r="I193">
        <f>statek7[[#This Row],[ile_talarow]]-statek7[[#This Row],[ile_za_zaladunek]]</f>
        <v>56478</v>
      </c>
      <c r="J193">
        <f>IF(statek7[[#This Row],[Z/W]]="W",statek7[[#This Row],[ile ton]]*statek7[[#This Row],[cena za tone w talarach]],0)</f>
        <v>0</v>
      </c>
      <c r="K193">
        <f>statek7[[#This Row],[ile_talarow_po_zaladowaniu]]+statek7[[#This Row],[ile_za_wyładunek]]</f>
        <v>56478</v>
      </c>
      <c r="L193" s="10">
        <f>IF(statek7[[#This Row],[port]]&lt;&gt;C192,1,0)</f>
        <v>0</v>
      </c>
      <c r="M193" s="10">
        <f>IF(statek7[[#This Row],[czy_wyplynal]]=1,statek7[[#This Row],[ile_talarow]],0)</f>
        <v>0</v>
      </c>
    </row>
    <row r="194" spans="1:13" x14ac:dyDescent="0.25">
      <c r="A194" s="1">
        <v>43407</v>
      </c>
      <c r="B194">
        <f t="shared" si="2"/>
        <v>56478</v>
      </c>
      <c r="C194" t="s">
        <v>16</v>
      </c>
      <c r="D194" t="s">
        <v>12</v>
      </c>
      <c r="E194" t="s">
        <v>14</v>
      </c>
      <c r="F194">
        <v>4</v>
      </c>
      <c r="G194">
        <v>32</v>
      </c>
      <c r="H194">
        <f>IF(statek7[[#This Row],[Z/W]]="Z",statek7[[#This Row],[ile ton]]*statek7[[#This Row],[cena za tone w talarach]],0)</f>
        <v>0</v>
      </c>
      <c r="I194">
        <f>statek7[[#This Row],[ile_talarow]]-statek7[[#This Row],[ile_za_zaladunek]]</f>
        <v>56478</v>
      </c>
      <c r="J194">
        <f>IF(statek7[[#This Row],[Z/W]]="W",statek7[[#This Row],[ile ton]]*statek7[[#This Row],[cena za tone w talarach]],0)</f>
        <v>128</v>
      </c>
      <c r="K194">
        <f>statek7[[#This Row],[ile_talarow_po_zaladowaniu]]+statek7[[#This Row],[ile_za_wyładunek]]</f>
        <v>56606</v>
      </c>
      <c r="L194" s="10">
        <f>IF(statek7[[#This Row],[port]]&lt;&gt;C193,1,0)</f>
        <v>1</v>
      </c>
      <c r="M194" s="10">
        <f>IF(statek7[[#This Row],[czy_wyplynal]]=1,statek7[[#This Row],[ile_talarow]],0)</f>
        <v>56478</v>
      </c>
    </row>
    <row r="195" spans="1:13" x14ac:dyDescent="0.25">
      <c r="A195" s="1">
        <v>43407</v>
      </c>
      <c r="B195">
        <f t="shared" si="2"/>
        <v>56606</v>
      </c>
      <c r="C195" t="s">
        <v>16</v>
      </c>
      <c r="D195" t="s">
        <v>9</v>
      </c>
      <c r="E195" t="s">
        <v>8</v>
      </c>
      <c r="F195">
        <v>48</v>
      </c>
      <c r="G195">
        <v>37</v>
      </c>
      <c r="H195">
        <f>IF(statek7[[#This Row],[Z/W]]="Z",statek7[[#This Row],[ile ton]]*statek7[[#This Row],[cena za tone w talarach]],0)</f>
        <v>1776</v>
      </c>
      <c r="I195">
        <f>statek7[[#This Row],[ile_talarow]]-statek7[[#This Row],[ile_za_zaladunek]]</f>
        <v>54830</v>
      </c>
      <c r="J195">
        <f>IF(statek7[[#This Row],[Z/W]]="W",statek7[[#This Row],[ile ton]]*statek7[[#This Row],[cena za tone w talarach]],0)</f>
        <v>0</v>
      </c>
      <c r="K195">
        <f>statek7[[#This Row],[ile_talarow_po_zaladowaniu]]+statek7[[#This Row],[ile_za_wyładunek]]</f>
        <v>54830</v>
      </c>
      <c r="L195" s="10">
        <f>IF(statek7[[#This Row],[port]]&lt;&gt;C194,1,0)</f>
        <v>0</v>
      </c>
      <c r="M195" s="10">
        <f>IF(statek7[[#This Row],[czy_wyplynal]]=1,statek7[[#This Row],[ile_talarow]],0)</f>
        <v>0</v>
      </c>
    </row>
    <row r="196" spans="1:13" x14ac:dyDescent="0.25">
      <c r="A196" s="1">
        <v>43428</v>
      </c>
      <c r="B196">
        <f t="shared" ref="B196:B203" si="3">K195</f>
        <v>54830</v>
      </c>
      <c r="C196" t="s">
        <v>17</v>
      </c>
      <c r="D196" t="s">
        <v>9</v>
      </c>
      <c r="E196" t="s">
        <v>14</v>
      </c>
      <c r="F196">
        <v>64</v>
      </c>
      <c r="G196">
        <v>61</v>
      </c>
      <c r="H196">
        <f>IF(statek7[[#This Row],[Z/W]]="Z",statek7[[#This Row],[ile ton]]*statek7[[#This Row],[cena za tone w talarach]],0)</f>
        <v>0</v>
      </c>
      <c r="I196">
        <f>statek7[[#This Row],[ile_talarow]]-statek7[[#This Row],[ile_za_zaladunek]]</f>
        <v>54830</v>
      </c>
      <c r="J196">
        <f>IF(statek7[[#This Row],[Z/W]]="W",statek7[[#This Row],[ile ton]]*statek7[[#This Row],[cena za tone w talarach]],0)</f>
        <v>3904</v>
      </c>
      <c r="K196">
        <f>statek7[[#This Row],[ile_talarow_po_zaladowaniu]]+statek7[[#This Row],[ile_za_wyładunek]]</f>
        <v>58734</v>
      </c>
      <c r="L196" s="10">
        <f>IF(statek7[[#This Row],[port]]&lt;&gt;C195,1,0)</f>
        <v>1</v>
      </c>
      <c r="M196" s="10">
        <f>IF(statek7[[#This Row],[czy_wyplynal]]=1,statek7[[#This Row],[ile_talarow]],0)</f>
        <v>54830</v>
      </c>
    </row>
    <row r="197" spans="1:13" x14ac:dyDescent="0.25">
      <c r="A197" s="1">
        <v>43428</v>
      </c>
      <c r="B197">
        <f t="shared" si="3"/>
        <v>58734</v>
      </c>
      <c r="C197" t="s">
        <v>17</v>
      </c>
      <c r="D197" t="s">
        <v>7</v>
      </c>
      <c r="E197" t="s">
        <v>8</v>
      </c>
      <c r="F197">
        <v>43</v>
      </c>
      <c r="G197">
        <v>63</v>
      </c>
      <c r="H197">
        <f>IF(statek7[[#This Row],[Z/W]]="Z",statek7[[#This Row],[ile ton]]*statek7[[#This Row],[cena za tone w talarach]],0)</f>
        <v>2709</v>
      </c>
      <c r="I197">
        <f>statek7[[#This Row],[ile_talarow]]-statek7[[#This Row],[ile_za_zaladunek]]</f>
        <v>56025</v>
      </c>
      <c r="J197">
        <f>IF(statek7[[#This Row],[Z/W]]="W",statek7[[#This Row],[ile ton]]*statek7[[#This Row],[cena za tone w talarach]],0)</f>
        <v>0</v>
      </c>
      <c r="K197">
        <f>statek7[[#This Row],[ile_talarow_po_zaladowaniu]]+statek7[[#This Row],[ile_za_wyładunek]]</f>
        <v>56025</v>
      </c>
      <c r="L197" s="10">
        <f>IF(statek7[[#This Row],[port]]&lt;&gt;C196,1,0)</f>
        <v>0</v>
      </c>
      <c r="M197" s="10">
        <f>IF(statek7[[#This Row],[czy_wyplynal]]=1,statek7[[#This Row],[ile_talarow]],0)</f>
        <v>0</v>
      </c>
    </row>
    <row r="198" spans="1:13" x14ac:dyDescent="0.25">
      <c r="A198" s="1">
        <v>43428</v>
      </c>
      <c r="B198">
        <f t="shared" si="3"/>
        <v>56025</v>
      </c>
      <c r="C198" t="s">
        <v>17</v>
      </c>
      <c r="D198" t="s">
        <v>11</v>
      </c>
      <c r="E198" t="s">
        <v>8</v>
      </c>
      <c r="F198">
        <v>24</v>
      </c>
      <c r="G198">
        <v>24</v>
      </c>
      <c r="H198">
        <f>IF(statek7[[#This Row],[Z/W]]="Z",statek7[[#This Row],[ile ton]]*statek7[[#This Row],[cena za tone w talarach]],0)</f>
        <v>576</v>
      </c>
      <c r="I198">
        <f>statek7[[#This Row],[ile_talarow]]-statek7[[#This Row],[ile_za_zaladunek]]</f>
        <v>55449</v>
      </c>
      <c r="J198">
        <f>IF(statek7[[#This Row],[Z/W]]="W",statek7[[#This Row],[ile ton]]*statek7[[#This Row],[cena za tone w talarach]],0)</f>
        <v>0</v>
      </c>
      <c r="K198">
        <f>statek7[[#This Row],[ile_talarow_po_zaladowaniu]]+statek7[[#This Row],[ile_za_wyładunek]]</f>
        <v>55449</v>
      </c>
      <c r="L198" s="10">
        <f>IF(statek7[[#This Row],[port]]&lt;&gt;C197,1,0)</f>
        <v>0</v>
      </c>
      <c r="M198" s="10">
        <f>IF(statek7[[#This Row],[czy_wyplynal]]=1,statek7[[#This Row],[ile_talarow]],0)</f>
        <v>0</v>
      </c>
    </row>
    <row r="199" spans="1:13" x14ac:dyDescent="0.25">
      <c r="A199" s="1">
        <v>43452</v>
      </c>
      <c r="B199">
        <f t="shared" si="3"/>
        <v>55449</v>
      </c>
      <c r="C199" t="s">
        <v>18</v>
      </c>
      <c r="D199" t="s">
        <v>9</v>
      </c>
      <c r="E199" t="s">
        <v>14</v>
      </c>
      <c r="F199">
        <v>4</v>
      </c>
      <c r="G199">
        <v>62</v>
      </c>
      <c r="H199">
        <f>IF(statek7[[#This Row],[Z/W]]="Z",statek7[[#This Row],[ile ton]]*statek7[[#This Row],[cena za tone w talarach]],0)</f>
        <v>0</v>
      </c>
      <c r="I199">
        <f>statek7[[#This Row],[ile_talarow]]-statek7[[#This Row],[ile_za_zaladunek]]</f>
        <v>55449</v>
      </c>
      <c r="J199">
        <f>IF(statek7[[#This Row],[Z/W]]="W",statek7[[#This Row],[ile ton]]*statek7[[#This Row],[cena za tone w talarach]],0)</f>
        <v>248</v>
      </c>
      <c r="K199">
        <f>statek7[[#This Row],[ile_talarow_po_zaladowaniu]]+statek7[[#This Row],[ile_za_wyładunek]]</f>
        <v>55697</v>
      </c>
      <c r="L199" s="10">
        <f>IF(statek7[[#This Row],[port]]&lt;&gt;C198,1,0)</f>
        <v>1</v>
      </c>
      <c r="M199" s="10">
        <f>IF(statek7[[#This Row],[czy_wyplynal]]=1,statek7[[#This Row],[ile_talarow]],0)</f>
        <v>55449</v>
      </c>
    </row>
    <row r="200" spans="1:13" x14ac:dyDescent="0.25">
      <c r="A200" s="1">
        <v>43452</v>
      </c>
      <c r="B200">
        <f t="shared" si="3"/>
        <v>55697</v>
      </c>
      <c r="C200" t="s">
        <v>18</v>
      </c>
      <c r="D200" t="s">
        <v>12</v>
      </c>
      <c r="E200" t="s">
        <v>8</v>
      </c>
      <c r="F200">
        <v>35</v>
      </c>
      <c r="G200">
        <v>19</v>
      </c>
      <c r="H200">
        <f>IF(statek7[[#This Row],[Z/W]]="Z",statek7[[#This Row],[ile ton]]*statek7[[#This Row],[cena za tone w talarach]],0)</f>
        <v>665</v>
      </c>
      <c r="I200">
        <f>statek7[[#This Row],[ile_talarow]]-statek7[[#This Row],[ile_za_zaladunek]]</f>
        <v>55032</v>
      </c>
      <c r="J200">
        <f>IF(statek7[[#This Row],[Z/W]]="W",statek7[[#This Row],[ile ton]]*statek7[[#This Row],[cena za tone w talarach]],0)</f>
        <v>0</v>
      </c>
      <c r="K200">
        <f>statek7[[#This Row],[ile_talarow_po_zaladowaniu]]+statek7[[#This Row],[ile_za_wyładunek]]</f>
        <v>55032</v>
      </c>
      <c r="L200" s="10">
        <f>IF(statek7[[#This Row],[port]]&lt;&gt;C199,1,0)</f>
        <v>0</v>
      </c>
      <c r="M200" s="10">
        <f>IF(statek7[[#This Row],[czy_wyplynal]]=1,statek7[[#This Row],[ile_talarow]],0)</f>
        <v>0</v>
      </c>
    </row>
    <row r="201" spans="1:13" x14ac:dyDescent="0.25">
      <c r="A201" s="1">
        <v>43452</v>
      </c>
      <c r="B201">
        <f t="shared" si="3"/>
        <v>55032</v>
      </c>
      <c r="C201" t="s">
        <v>18</v>
      </c>
      <c r="D201" t="s">
        <v>10</v>
      </c>
      <c r="E201" t="s">
        <v>8</v>
      </c>
      <c r="F201">
        <v>41</v>
      </c>
      <c r="G201">
        <v>8</v>
      </c>
      <c r="H201">
        <f>IF(statek7[[#This Row],[Z/W]]="Z",statek7[[#This Row],[ile ton]]*statek7[[#This Row],[cena za tone w talarach]],0)</f>
        <v>328</v>
      </c>
      <c r="I201">
        <f>statek7[[#This Row],[ile_talarow]]-statek7[[#This Row],[ile_za_zaladunek]]</f>
        <v>54704</v>
      </c>
      <c r="J201">
        <f>IF(statek7[[#This Row],[Z/W]]="W",statek7[[#This Row],[ile ton]]*statek7[[#This Row],[cena za tone w talarach]],0)</f>
        <v>0</v>
      </c>
      <c r="K201">
        <f>statek7[[#This Row],[ile_talarow_po_zaladowaniu]]+statek7[[#This Row],[ile_za_wyładunek]]</f>
        <v>54704</v>
      </c>
      <c r="L201" s="10">
        <f>IF(statek7[[#This Row],[port]]&lt;&gt;C200,1,0)</f>
        <v>0</v>
      </c>
      <c r="M201" s="10">
        <f>IF(statek7[[#This Row],[czy_wyplynal]]=1,statek7[[#This Row],[ile_talarow]],0)</f>
        <v>0</v>
      </c>
    </row>
    <row r="202" spans="1:13" x14ac:dyDescent="0.25">
      <c r="A202" s="1">
        <v>43452</v>
      </c>
      <c r="B202">
        <f t="shared" si="3"/>
        <v>54704</v>
      </c>
      <c r="C202" t="s">
        <v>18</v>
      </c>
      <c r="D202" t="s">
        <v>7</v>
      </c>
      <c r="E202" t="s">
        <v>8</v>
      </c>
      <c r="F202">
        <v>23</v>
      </c>
      <c r="G202">
        <v>61</v>
      </c>
      <c r="H202">
        <f>IF(statek7[[#This Row],[Z/W]]="Z",statek7[[#This Row],[ile ton]]*statek7[[#This Row],[cena za tone w talarach]],0)</f>
        <v>1403</v>
      </c>
      <c r="I202">
        <f>statek7[[#This Row],[ile_talarow]]-statek7[[#This Row],[ile_za_zaladunek]]</f>
        <v>53301</v>
      </c>
      <c r="J202">
        <f>IF(statek7[[#This Row],[Z/W]]="W",statek7[[#This Row],[ile ton]]*statek7[[#This Row],[cena za tone w talarach]],0)</f>
        <v>0</v>
      </c>
      <c r="K202">
        <f>statek7[[#This Row],[ile_talarow_po_zaladowaniu]]+statek7[[#This Row],[ile_za_wyładunek]]</f>
        <v>53301</v>
      </c>
      <c r="L202" s="10">
        <f>IF(statek7[[#This Row],[port]]&lt;&gt;C201,1,0)</f>
        <v>0</v>
      </c>
      <c r="M202" s="10">
        <f>IF(statek7[[#This Row],[czy_wyplynal]]=1,statek7[[#This Row],[ile_talarow]],0)</f>
        <v>0</v>
      </c>
    </row>
    <row r="203" spans="1:13" x14ac:dyDescent="0.25">
      <c r="A203" s="1">
        <v>43452</v>
      </c>
      <c r="B203">
        <f t="shared" si="3"/>
        <v>53301</v>
      </c>
      <c r="C203" t="s">
        <v>18</v>
      </c>
      <c r="D203" t="s">
        <v>11</v>
      </c>
      <c r="E203" t="s">
        <v>8</v>
      </c>
      <c r="F203">
        <v>46</v>
      </c>
      <c r="G203">
        <v>23</v>
      </c>
      <c r="H203">
        <f>IF(statek7[[#This Row],[Z/W]]="Z",statek7[[#This Row],[ile ton]]*statek7[[#This Row],[cena za tone w talarach]],0)</f>
        <v>1058</v>
      </c>
      <c r="I203">
        <f>statek7[[#This Row],[ile_talarow]]-statek7[[#This Row],[ile_za_zaladunek]]</f>
        <v>52243</v>
      </c>
      <c r="J203">
        <f>IF(statek7[[#This Row],[Z/W]]="W",statek7[[#This Row],[ile ton]]*statek7[[#This Row],[cena za tone w talarach]],0)</f>
        <v>0</v>
      </c>
      <c r="K203">
        <f>statek7[[#This Row],[ile_talarow_po_zaladowaniu]]+statek7[[#This Row],[ile_za_wyładunek]]</f>
        <v>52243</v>
      </c>
      <c r="L203" s="10">
        <f>IF(statek7[[#This Row],[port]]&lt;&gt;C202,1,0)</f>
        <v>0</v>
      </c>
      <c r="M203" s="10">
        <f>IF(statek7[[#This Row],[czy_wyplynal]]=1,statek7[[#This Row],[ile_talarow]],0)</f>
        <v>0</v>
      </c>
    </row>
  </sheetData>
  <conditionalFormatting sqref="K1:K1048576">
    <cfRule type="cellIs" dxfId="2" priority="2" operator="equal">
      <formula>552335</formula>
    </cfRule>
  </conditionalFormatting>
  <conditionalFormatting sqref="M1:M1048576">
    <cfRule type="cellIs" dxfId="0" priority="1" operator="equal">
      <formula>550079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CF59-C9B9-400E-BACF-A298254F1284}">
  <dimension ref="A1:N203"/>
  <sheetViews>
    <sheetView topLeftCell="G46" zoomScale="85" zoomScaleNormal="85" workbookViewId="0">
      <selection activeCell="P34" sqref="P34"/>
    </sheetView>
  </sheetViews>
  <sheetFormatPr defaultColWidth="11.5703125" defaultRowHeight="15" x14ac:dyDescent="0.25"/>
  <cols>
    <col min="1" max="1" width="10.140625" bestFit="1" customWidth="1"/>
    <col min="2" max="2" width="11.42578125" bestFit="1" customWidth="1"/>
    <col min="3" max="3" width="8.42578125" bestFit="1" customWidth="1"/>
    <col min="4" max="4" width="7.140625" bestFit="1" customWidth="1"/>
    <col min="5" max="5" width="9" bestFit="1" customWidth="1"/>
    <col min="6" max="6" width="24.140625" bestFit="1" customWidth="1"/>
    <col min="7" max="7" width="24.140625" customWidth="1"/>
    <col min="12" max="12" width="17.7109375" bestFit="1" customWidth="1"/>
    <col min="13" max="13" width="21.85546875" bestFit="1" customWidth="1"/>
    <col min="14" max="14" width="22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37</v>
      </c>
      <c r="I1" t="s">
        <v>38</v>
      </c>
      <c r="J1" t="s">
        <v>39</v>
      </c>
      <c r="L1" s="2" t="s">
        <v>23</v>
      </c>
      <c r="M1" t="s">
        <v>40</v>
      </c>
      <c r="N1" t="s">
        <v>41</v>
      </c>
    </row>
    <row r="2" spans="1:14" x14ac:dyDescent="0.2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G2">
        <f>MONTH(statek6[[#This Row],[data]])</f>
        <v>1</v>
      </c>
      <c r="H2" t="str">
        <f>_xlfn.CONCAT(YEAR(statek6[[#This Row],[data]]),"-",IF(statek6[[#This Row],[Kolumna1]]&lt;10,_xlfn.CONCAT("0",statek6[[#This Row],[Kolumna1]]),statek6[[#This Row],[Kolumna1]]))</f>
        <v>2016-01</v>
      </c>
      <c r="I2">
        <f>IF(AND(statek6[[#This Row],[Z/W]]="Z",statek6[[#This Row],[towar]]="T5"),statek6[[#This Row],[ile ton]],0)</f>
        <v>0</v>
      </c>
      <c r="J2">
        <f>IF(AND(statek6[[#This Row],[Z/W]]="W",statek6[[#This Row],[towar]]="T5"),statek6[[#This Row],[ile ton]],0)</f>
        <v>0</v>
      </c>
      <c r="L2" s="3" t="s">
        <v>42</v>
      </c>
      <c r="M2">
        <v>76</v>
      </c>
      <c r="N2">
        <v>32</v>
      </c>
    </row>
    <row r="3" spans="1:14" x14ac:dyDescent="0.2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G3">
        <f>MONTH(statek6[[#This Row],[data]])</f>
        <v>1</v>
      </c>
      <c r="H3" t="str">
        <f>_xlfn.CONCAT(YEAR(statek6[[#This Row],[data]]),"-",IF(statek6[[#This Row],[Kolumna1]]&lt;10,_xlfn.CONCAT("0",statek6[[#This Row],[Kolumna1]]),statek6[[#This Row],[Kolumna1]]))</f>
        <v>2016-01</v>
      </c>
      <c r="I3">
        <f>IF(AND(statek6[[#This Row],[Z/W]]="Z",statek6[[#This Row],[towar]]="T5"),statek6[[#This Row],[ile ton]],0)</f>
        <v>32</v>
      </c>
      <c r="J3">
        <f>IF(AND(statek6[[#This Row],[Z/W]]="W",statek6[[#This Row],[towar]]="T5"),statek6[[#This Row],[ile ton]],0)</f>
        <v>0</v>
      </c>
      <c r="L3" s="3" t="s">
        <v>43</v>
      </c>
      <c r="M3">
        <v>8</v>
      </c>
      <c r="N3">
        <v>0</v>
      </c>
    </row>
    <row r="4" spans="1:14" x14ac:dyDescent="0.2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G4">
        <f>MONTH(statek6[[#This Row],[data]])</f>
        <v>1</v>
      </c>
      <c r="H4" t="str">
        <f>_xlfn.CONCAT(YEAR(statek6[[#This Row],[data]]),"-",IF(statek6[[#This Row],[Kolumna1]]&lt;10,_xlfn.CONCAT("0",statek6[[#This Row],[Kolumna1]]),statek6[[#This Row],[Kolumna1]]))</f>
        <v>2016-01</v>
      </c>
      <c r="I4">
        <f>IF(AND(statek6[[#This Row],[Z/W]]="Z",statek6[[#This Row],[towar]]="T5"),statek6[[#This Row],[ile ton]],0)</f>
        <v>0</v>
      </c>
      <c r="J4">
        <f>IF(AND(statek6[[#This Row],[Z/W]]="W",statek6[[#This Row],[towar]]="T5"),statek6[[#This Row],[ile ton]],0)</f>
        <v>0</v>
      </c>
      <c r="L4" s="3" t="s">
        <v>44</v>
      </c>
      <c r="M4">
        <v>0</v>
      </c>
      <c r="N4">
        <v>50</v>
      </c>
    </row>
    <row r="5" spans="1:14" x14ac:dyDescent="0.2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G5">
        <f>MONTH(statek6[[#This Row],[data]])</f>
        <v>1</v>
      </c>
      <c r="H5" t="str">
        <f>_xlfn.CONCAT(YEAR(statek6[[#This Row],[data]]),"-",IF(statek6[[#This Row],[Kolumna1]]&lt;10,_xlfn.CONCAT("0",statek6[[#This Row],[Kolumna1]]),statek6[[#This Row],[Kolumna1]]))</f>
        <v>2016-01</v>
      </c>
      <c r="I5">
        <f>IF(AND(statek6[[#This Row],[Z/W]]="Z",statek6[[#This Row],[towar]]="T5"),statek6[[#This Row],[ile ton]],0)</f>
        <v>0</v>
      </c>
      <c r="J5">
        <f>IF(AND(statek6[[#This Row],[Z/W]]="W",statek6[[#This Row],[towar]]="T5"),statek6[[#This Row],[ile ton]],0)</f>
        <v>0</v>
      </c>
      <c r="L5" s="3" t="s">
        <v>45</v>
      </c>
      <c r="M5">
        <v>68</v>
      </c>
      <c r="N5">
        <v>0</v>
      </c>
    </row>
    <row r="6" spans="1:14" x14ac:dyDescent="0.2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G6">
        <f>MONTH(statek6[[#This Row],[data]])</f>
        <v>1</v>
      </c>
      <c r="H6" t="str">
        <f>_xlfn.CONCAT(YEAR(statek6[[#This Row],[data]]),"-",IF(statek6[[#This Row],[Kolumna1]]&lt;10,_xlfn.CONCAT("0",statek6[[#This Row],[Kolumna1]]),statek6[[#This Row],[Kolumna1]]))</f>
        <v>2016-01</v>
      </c>
      <c r="I6">
        <f>IF(AND(statek6[[#This Row],[Z/W]]="Z",statek6[[#This Row],[towar]]="T5"),statek6[[#This Row],[ile ton]],0)</f>
        <v>0</v>
      </c>
      <c r="J6">
        <f>IF(AND(statek6[[#This Row],[Z/W]]="W",statek6[[#This Row],[towar]]="T5"),statek6[[#This Row],[ile ton]],0)</f>
        <v>0</v>
      </c>
      <c r="L6" s="3" t="s">
        <v>46</v>
      </c>
      <c r="M6">
        <v>0</v>
      </c>
      <c r="N6">
        <v>0</v>
      </c>
    </row>
    <row r="7" spans="1:14" x14ac:dyDescent="0.2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G7">
        <f>MONTH(statek6[[#This Row],[data]])</f>
        <v>1</v>
      </c>
      <c r="H7" t="str">
        <f>_xlfn.CONCAT(YEAR(statek6[[#This Row],[data]]),"-",IF(statek6[[#This Row],[Kolumna1]]&lt;10,_xlfn.CONCAT("0",statek6[[#This Row],[Kolumna1]]),statek6[[#This Row],[Kolumna1]]))</f>
        <v>2016-01</v>
      </c>
      <c r="I7">
        <f>IF(AND(statek6[[#This Row],[Z/W]]="Z",statek6[[#This Row],[towar]]="T5"),statek6[[#This Row],[ile ton]],0)</f>
        <v>0</v>
      </c>
      <c r="J7">
        <f>IF(AND(statek6[[#This Row],[Z/W]]="W",statek6[[#This Row],[towar]]="T5"),statek6[[#This Row],[ile ton]],0)</f>
        <v>32</v>
      </c>
      <c r="L7" s="3" t="s">
        <v>47</v>
      </c>
      <c r="M7">
        <v>42</v>
      </c>
      <c r="N7">
        <v>0</v>
      </c>
    </row>
    <row r="8" spans="1:14" x14ac:dyDescent="0.2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G8">
        <f>MONTH(statek6[[#This Row],[data]])</f>
        <v>1</v>
      </c>
      <c r="H8" t="str">
        <f>_xlfn.CONCAT(YEAR(statek6[[#This Row],[data]]),"-",IF(statek6[[#This Row],[Kolumna1]]&lt;10,_xlfn.CONCAT("0",statek6[[#This Row],[Kolumna1]]),statek6[[#This Row],[Kolumna1]]))</f>
        <v>2016-01</v>
      </c>
      <c r="I8">
        <f>IF(AND(statek6[[#This Row],[Z/W]]="Z",statek6[[#This Row],[towar]]="T5"),statek6[[#This Row],[ile ton]],0)</f>
        <v>0</v>
      </c>
      <c r="J8">
        <f>IF(AND(statek6[[#This Row],[Z/W]]="W",statek6[[#This Row],[towar]]="T5"),statek6[[#This Row],[ile ton]],0)</f>
        <v>0</v>
      </c>
      <c r="L8" s="3" t="s">
        <v>48</v>
      </c>
      <c r="M8">
        <v>83</v>
      </c>
      <c r="N8">
        <v>0</v>
      </c>
    </row>
    <row r="9" spans="1:14" x14ac:dyDescent="0.2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G9">
        <f>MONTH(statek6[[#This Row],[data]])</f>
        <v>1</v>
      </c>
      <c r="H9" t="str">
        <f>_xlfn.CONCAT(YEAR(statek6[[#This Row],[data]]),"-",IF(statek6[[#This Row],[Kolumna1]]&lt;10,_xlfn.CONCAT("0",statek6[[#This Row],[Kolumna1]]),statek6[[#This Row],[Kolumna1]]))</f>
        <v>2016-01</v>
      </c>
      <c r="I9">
        <f>IF(AND(statek6[[#This Row],[Z/W]]="Z",statek6[[#This Row],[towar]]="T5"),statek6[[#This Row],[ile ton]],0)</f>
        <v>44</v>
      </c>
      <c r="J9">
        <f>IF(AND(statek6[[#This Row],[Z/W]]="W",statek6[[#This Row],[towar]]="T5"),statek6[[#This Row],[ile ton]],0)</f>
        <v>0</v>
      </c>
      <c r="L9" s="3" t="s">
        <v>49</v>
      </c>
      <c r="M9">
        <v>0</v>
      </c>
      <c r="N9">
        <v>191</v>
      </c>
    </row>
    <row r="10" spans="1:14" x14ac:dyDescent="0.2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G10">
        <f>MONTH(statek6[[#This Row],[data]])</f>
        <v>1</v>
      </c>
      <c r="H10" t="str">
        <f>_xlfn.CONCAT(YEAR(statek6[[#This Row],[data]]),"-",IF(statek6[[#This Row],[Kolumna1]]&lt;10,_xlfn.CONCAT("0",statek6[[#This Row],[Kolumna1]]),statek6[[#This Row],[Kolumna1]]))</f>
        <v>2016-01</v>
      </c>
      <c r="I10">
        <f>IF(AND(statek6[[#This Row],[Z/W]]="Z",statek6[[#This Row],[towar]]="T5"),statek6[[#This Row],[ile ton]],0)</f>
        <v>0</v>
      </c>
      <c r="J10">
        <f>IF(AND(statek6[[#This Row],[Z/W]]="W",statek6[[#This Row],[towar]]="T5"),statek6[[#This Row],[ile ton]],0)</f>
        <v>0</v>
      </c>
      <c r="L10" s="3" t="s">
        <v>50</v>
      </c>
      <c r="M10">
        <v>44</v>
      </c>
      <c r="N10">
        <v>4</v>
      </c>
    </row>
    <row r="11" spans="1:14" x14ac:dyDescent="0.2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G11">
        <f>MONTH(statek6[[#This Row],[data]])</f>
        <v>1</v>
      </c>
      <c r="H11" t="str">
        <f>_xlfn.CONCAT(YEAR(statek6[[#This Row],[data]]),"-",IF(statek6[[#This Row],[Kolumna1]]&lt;10,_xlfn.CONCAT("0",statek6[[#This Row],[Kolumna1]]),statek6[[#This Row],[Kolumna1]]))</f>
        <v>2016-01</v>
      </c>
      <c r="I11">
        <f>IF(AND(statek6[[#This Row],[Z/W]]="Z",statek6[[#This Row],[towar]]="T5"),statek6[[#This Row],[ile ton]],0)</f>
        <v>0</v>
      </c>
      <c r="J11">
        <f>IF(AND(statek6[[#This Row],[Z/W]]="W",statek6[[#This Row],[towar]]="T5"),statek6[[#This Row],[ile ton]],0)</f>
        <v>0</v>
      </c>
      <c r="L11" s="3" t="s">
        <v>51</v>
      </c>
      <c r="M11">
        <v>0</v>
      </c>
      <c r="N11">
        <v>0</v>
      </c>
    </row>
    <row r="12" spans="1:14" x14ac:dyDescent="0.2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>
        <f>MONTH(statek6[[#This Row],[data]])</f>
        <v>2</v>
      </c>
      <c r="H12" t="str">
        <f>_xlfn.CONCAT(YEAR(statek6[[#This Row],[data]]),"-",IF(statek6[[#This Row],[Kolumna1]]&lt;10,_xlfn.CONCAT("0",statek6[[#This Row],[Kolumna1]]),statek6[[#This Row],[Kolumna1]]))</f>
        <v>2016-02</v>
      </c>
      <c r="I12">
        <f>IF(AND(statek6[[#This Row],[Z/W]]="Z",statek6[[#This Row],[towar]]="T5"),statek6[[#This Row],[ile ton]],0)</f>
        <v>0</v>
      </c>
      <c r="J12">
        <f>IF(AND(statek6[[#This Row],[Z/W]]="W",statek6[[#This Row],[towar]]="T5"),statek6[[#This Row],[ile ton]],0)</f>
        <v>0</v>
      </c>
      <c r="L12" s="3" t="s">
        <v>52</v>
      </c>
      <c r="M12">
        <v>30</v>
      </c>
      <c r="N12">
        <v>0</v>
      </c>
    </row>
    <row r="13" spans="1:14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G13">
        <f>MONTH(statek6[[#This Row],[data]])</f>
        <v>2</v>
      </c>
      <c r="H13" t="str">
        <f>_xlfn.CONCAT(YEAR(statek6[[#This Row],[data]]),"-",IF(statek6[[#This Row],[Kolumna1]]&lt;10,_xlfn.CONCAT("0",statek6[[#This Row],[Kolumna1]]),statek6[[#This Row],[Kolumna1]]))</f>
        <v>2016-02</v>
      </c>
      <c r="I13">
        <f>IF(AND(statek6[[#This Row],[Z/W]]="Z",statek6[[#This Row],[towar]]="T5"),statek6[[#This Row],[ile ton]],0)</f>
        <v>0</v>
      </c>
      <c r="J13">
        <f>IF(AND(statek6[[#This Row],[Z/W]]="W",statek6[[#This Row],[towar]]="T5"),statek6[[#This Row],[ile ton]],0)</f>
        <v>0</v>
      </c>
      <c r="L13" s="3" t="s">
        <v>53</v>
      </c>
      <c r="M13">
        <v>0</v>
      </c>
      <c r="N13">
        <v>0</v>
      </c>
    </row>
    <row r="14" spans="1:14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G14">
        <f>MONTH(statek6[[#This Row],[data]])</f>
        <v>2</v>
      </c>
      <c r="H14" t="str">
        <f>_xlfn.CONCAT(YEAR(statek6[[#This Row],[data]]),"-",IF(statek6[[#This Row],[Kolumna1]]&lt;10,_xlfn.CONCAT("0",statek6[[#This Row],[Kolumna1]]),statek6[[#This Row],[Kolumna1]]))</f>
        <v>2016-02</v>
      </c>
      <c r="I14">
        <f>IF(AND(statek6[[#This Row],[Z/W]]="Z",statek6[[#This Row],[towar]]="T5"),statek6[[#This Row],[ile ton]],0)</f>
        <v>0</v>
      </c>
      <c r="J14">
        <f>IF(AND(statek6[[#This Row],[Z/W]]="W",statek6[[#This Row],[towar]]="T5"),statek6[[#This Row],[ile ton]],0)</f>
        <v>0</v>
      </c>
      <c r="L14" s="3" t="s">
        <v>54</v>
      </c>
      <c r="M14">
        <v>39</v>
      </c>
      <c r="N14">
        <v>112</v>
      </c>
    </row>
    <row r="15" spans="1:14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G15">
        <f>MONTH(statek6[[#This Row],[data]])</f>
        <v>2</v>
      </c>
      <c r="H15" t="str">
        <f>_xlfn.CONCAT(YEAR(statek6[[#This Row],[data]]),"-",IF(statek6[[#This Row],[Kolumna1]]&lt;10,_xlfn.CONCAT("0",statek6[[#This Row],[Kolumna1]]),statek6[[#This Row],[Kolumna1]]))</f>
        <v>2016-02</v>
      </c>
      <c r="I15">
        <f>IF(AND(statek6[[#This Row],[Z/W]]="Z",statek6[[#This Row],[towar]]="T5"),statek6[[#This Row],[ile ton]],0)</f>
        <v>8</v>
      </c>
      <c r="J15">
        <f>IF(AND(statek6[[#This Row],[Z/W]]="W",statek6[[#This Row],[towar]]="T5"),statek6[[#This Row],[ile ton]],0)</f>
        <v>0</v>
      </c>
      <c r="L15" s="3" t="s">
        <v>55</v>
      </c>
      <c r="M15">
        <v>0</v>
      </c>
      <c r="N15">
        <v>1</v>
      </c>
    </row>
    <row r="16" spans="1:14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G16">
        <f>MONTH(statek6[[#This Row],[data]])</f>
        <v>3</v>
      </c>
      <c r="H16" t="str">
        <f>_xlfn.CONCAT(YEAR(statek6[[#This Row],[data]]),"-",IF(statek6[[#This Row],[Kolumna1]]&lt;10,_xlfn.CONCAT("0",statek6[[#This Row],[Kolumna1]]),statek6[[#This Row],[Kolumna1]]))</f>
        <v>2016-03</v>
      </c>
      <c r="I16">
        <f>IF(AND(statek6[[#This Row],[Z/W]]="Z",statek6[[#This Row],[towar]]="T5"),statek6[[#This Row],[ile ton]],0)</f>
        <v>0</v>
      </c>
      <c r="J16">
        <f>IF(AND(statek6[[#This Row],[Z/W]]="W",statek6[[#This Row],[towar]]="T5"),statek6[[#This Row],[ile ton]],0)</f>
        <v>50</v>
      </c>
      <c r="L16" s="3" t="s">
        <v>56</v>
      </c>
      <c r="M16">
        <v>35</v>
      </c>
      <c r="N16">
        <v>0</v>
      </c>
    </row>
    <row r="17" spans="1:14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G17">
        <f>MONTH(statek6[[#This Row],[data]])</f>
        <v>3</v>
      </c>
      <c r="H17" t="str">
        <f>_xlfn.CONCAT(YEAR(statek6[[#This Row],[data]]),"-",IF(statek6[[#This Row],[Kolumna1]]&lt;10,_xlfn.CONCAT("0",statek6[[#This Row],[Kolumna1]]),statek6[[#This Row],[Kolumna1]]))</f>
        <v>2016-03</v>
      </c>
      <c r="I17">
        <f>IF(AND(statek6[[#This Row],[Z/W]]="Z",statek6[[#This Row],[towar]]="T5"),statek6[[#This Row],[ile ton]],0)</f>
        <v>0</v>
      </c>
      <c r="J17">
        <f>IF(AND(statek6[[#This Row],[Z/W]]="W",statek6[[#This Row],[towar]]="T5"),statek6[[#This Row],[ile ton]],0)</f>
        <v>0</v>
      </c>
      <c r="L17" s="3" t="s">
        <v>57</v>
      </c>
      <c r="M17">
        <v>1</v>
      </c>
      <c r="N17">
        <v>0</v>
      </c>
    </row>
    <row r="18" spans="1:14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G18">
        <f>MONTH(statek6[[#This Row],[data]])</f>
        <v>3</v>
      </c>
      <c r="H18" t="str">
        <f>_xlfn.CONCAT(YEAR(statek6[[#This Row],[data]]),"-",IF(statek6[[#This Row],[Kolumna1]]&lt;10,_xlfn.CONCAT("0",statek6[[#This Row],[Kolumna1]]),statek6[[#This Row],[Kolumna1]]))</f>
        <v>2016-03</v>
      </c>
      <c r="I18">
        <f>IF(AND(statek6[[#This Row],[Z/W]]="Z",statek6[[#This Row],[towar]]="T5"),statek6[[#This Row],[ile ton]],0)</f>
        <v>0</v>
      </c>
      <c r="J18">
        <f>IF(AND(statek6[[#This Row],[Z/W]]="W",statek6[[#This Row],[towar]]="T5"),statek6[[#This Row],[ile ton]],0)</f>
        <v>0</v>
      </c>
      <c r="L18" s="3" t="s">
        <v>58</v>
      </c>
      <c r="M18">
        <v>33</v>
      </c>
      <c r="N18">
        <v>68</v>
      </c>
    </row>
    <row r="19" spans="1:14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G19">
        <f>MONTH(statek6[[#This Row],[data]])</f>
        <v>3</v>
      </c>
      <c r="H19" t="str">
        <f>_xlfn.CONCAT(YEAR(statek6[[#This Row],[data]]),"-",IF(statek6[[#This Row],[Kolumna1]]&lt;10,_xlfn.CONCAT("0",statek6[[#This Row],[Kolumna1]]),statek6[[#This Row],[Kolumna1]]))</f>
        <v>2016-03</v>
      </c>
      <c r="I19">
        <f>IF(AND(statek6[[#This Row],[Z/W]]="Z",statek6[[#This Row],[towar]]="T5"),statek6[[#This Row],[ile ton]],0)</f>
        <v>0</v>
      </c>
      <c r="J19">
        <f>IF(AND(statek6[[#This Row],[Z/W]]="W",statek6[[#This Row],[towar]]="T5"),statek6[[#This Row],[ile ton]],0)</f>
        <v>0</v>
      </c>
      <c r="L19" s="3" t="s">
        <v>59</v>
      </c>
      <c r="M19">
        <v>8</v>
      </c>
      <c r="N19">
        <v>0</v>
      </c>
    </row>
    <row r="20" spans="1:14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G20">
        <f>MONTH(statek6[[#This Row],[data]])</f>
        <v>4</v>
      </c>
      <c r="H20" t="str">
        <f>_xlfn.CONCAT(YEAR(statek6[[#This Row],[data]]),"-",IF(statek6[[#This Row],[Kolumna1]]&lt;10,_xlfn.CONCAT("0",statek6[[#This Row],[Kolumna1]]),statek6[[#This Row],[Kolumna1]]))</f>
        <v>2016-04</v>
      </c>
      <c r="I20">
        <f>IF(AND(statek6[[#This Row],[Z/W]]="Z",statek6[[#This Row],[towar]]="T5"),statek6[[#This Row],[ile ton]],0)</f>
        <v>0</v>
      </c>
      <c r="J20">
        <f>IF(AND(statek6[[#This Row],[Z/W]]="W",statek6[[#This Row],[towar]]="T5"),statek6[[#This Row],[ile ton]],0)</f>
        <v>0</v>
      </c>
      <c r="L20" s="3" t="s">
        <v>60</v>
      </c>
      <c r="M20">
        <v>42</v>
      </c>
      <c r="N20">
        <v>0</v>
      </c>
    </row>
    <row r="21" spans="1:14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G21">
        <f>MONTH(statek6[[#This Row],[data]])</f>
        <v>4</v>
      </c>
      <c r="H21" t="str">
        <f>_xlfn.CONCAT(YEAR(statek6[[#This Row],[data]]),"-",IF(statek6[[#This Row],[Kolumna1]]&lt;10,_xlfn.CONCAT("0",statek6[[#This Row],[Kolumna1]]),statek6[[#This Row],[Kolumna1]]))</f>
        <v>2016-04</v>
      </c>
      <c r="I21">
        <f>IF(AND(statek6[[#This Row],[Z/W]]="Z",statek6[[#This Row],[towar]]="T5"),statek6[[#This Row],[ile ton]],0)</f>
        <v>0</v>
      </c>
      <c r="J21">
        <f>IF(AND(statek6[[#This Row],[Z/W]]="W",statek6[[#This Row],[towar]]="T5"),statek6[[#This Row],[ile ton]],0)</f>
        <v>0</v>
      </c>
      <c r="L21" s="3" t="s">
        <v>61</v>
      </c>
      <c r="M21">
        <v>4</v>
      </c>
      <c r="N21">
        <v>48</v>
      </c>
    </row>
    <row r="22" spans="1:14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G22">
        <f>MONTH(statek6[[#This Row],[data]])</f>
        <v>4</v>
      </c>
      <c r="H22" t="str">
        <f>_xlfn.CONCAT(YEAR(statek6[[#This Row],[data]]),"-",IF(statek6[[#This Row],[Kolumna1]]&lt;10,_xlfn.CONCAT("0",statek6[[#This Row],[Kolumna1]]),statek6[[#This Row],[Kolumna1]]))</f>
        <v>2016-04</v>
      </c>
      <c r="I22">
        <f>IF(AND(statek6[[#This Row],[Z/W]]="Z",statek6[[#This Row],[towar]]="T5"),statek6[[#This Row],[ile ton]],0)</f>
        <v>33</v>
      </c>
      <c r="J22">
        <f>IF(AND(statek6[[#This Row],[Z/W]]="W",statek6[[#This Row],[towar]]="T5"),statek6[[#This Row],[ile ton]],0)</f>
        <v>0</v>
      </c>
      <c r="L22" s="3" t="s">
        <v>62</v>
      </c>
      <c r="M22">
        <v>0</v>
      </c>
      <c r="N22">
        <v>0</v>
      </c>
    </row>
    <row r="23" spans="1:14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G23">
        <f>MONTH(statek6[[#This Row],[data]])</f>
        <v>4</v>
      </c>
      <c r="H23" t="str">
        <f>_xlfn.CONCAT(YEAR(statek6[[#This Row],[data]]),"-",IF(statek6[[#This Row],[Kolumna1]]&lt;10,_xlfn.CONCAT("0",statek6[[#This Row],[Kolumna1]]),statek6[[#This Row],[Kolumna1]]))</f>
        <v>2016-04</v>
      </c>
      <c r="I23">
        <f>IF(AND(statek6[[#This Row],[Z/W]]="Z",statek6[[#This Row],[towar]]="T5"),statek6[[#This Row],[ile ton]],0)</f>
        <v>0</v>
      </c>
      <c r="J23">
        <f>IF(AND(statek6[[#This Row],[Z/W]]="W",statek6[[#This Row],[towar]]="T5"),statek6[[#This Row],[ile ton]],0)</f>
        <v>0</v>
      </c>
      <c r="L23" s="3" t="s">
        <v>63</v>
      </c>
      <c r="M23">
        <v>0</v>
      </c>
      <c r="N23">
        <v>6</v>
      </c>
    </row>
    <row r="24" spans="1:14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G24">
        <f>MONTH(statek6[[#This Row],[data]])</f>
        <v>4</v>
      </c>
      <c r="H24" t="str">
        <f>_xlfn.CONCAT(YEAR(statek6[[#This Row],[data]]),"-",IF(statek6[[#This Row],[Kolumna1]]&lt;10,_xlfn.CONCAT("0",statek6[[#This Row],[Kolumna1]]),statek6[[#This Row],[Kolumna1]]))</f>
        <v>2016-04</v>
      </c>
      <c r="I24">
        <f>IF(AND(statek6[[#This Row],[Z/W]]="Z",statek6[[#This Row],[towar]]="T5"),statek6[[#This Row],[ile ton]],0)</f>
        <v>0</v>
      </c>
      <c r="J24">
        <f>IF(AND(statek6[[#This Row],[Z/W]]="W",statek6[[#This Row],[towar]]="T5"),statek6[[#This Row],[ile ton]],0)</f>
        <v>0</v>
      </c>
      <c r="L24" s="3" t="s">
        <v>64</v>
      </c>
      <c r="M24">
        <v>12</v>
      </c>
      <c r="N24">
        <v>1</v>
      </c>
    </row>
    <row r="25" spans="1:14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G25">
        <f>MONTH(statek6[[#This Row],[data]])</f>
        <v>4</v>
      </c>
      <c r="H25" t="str">
        <f>_xlfn.CONCAT(YEAR(statek6[[#This Row],[data]]),"-",IF(statek6[[#This Row],[Kolumna1]]&lt;10,_xlfn.CONCAT("0",statek6[[#This Row],[Kolumna1]]),statek6[[#This Row],[Kolumna1]]))</f>
        <v>2016-04</v>
      </c>
      <c r="I25">
        <f>IF(AND(statek6[[#This Row],[Z/W]]="Z",statek6[[#This Row],[towar]]="T5"),statek6[[#This Row],[ile ton]],0)</f>
        <v>35</v>
      </c>
      <c r="J25">
        <f>IF(AND(statek6[[#This Row],[Z/W]]="W",statek6[[#This Row],[towar]]="T5"),statek6[[#This Row],[ile ton]],0)</f>
        <v>0</v>
      </c>
      <c r="L25" s="3" t="s">
        <v>65</v>
      </c>
      <c r="M25">
        <v>0</v>
      </c>
      <c r="N25">
        <v>0</v>
      </c>
    </row>
    <row r="26" spans="1:14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G26">
        <f>MONTH(statek6[[#This Row],[data]])</f>
        <v>5</v>
      </c>
      <c r="H26" t="str">
        <f>_xlfn.CONCAT(YEAR(statek6[[#This Row],[data]]),"-",IF(statek6[[#This Row],[Kolumna1]]&lt;10,_xlfn.CONCAT("0",statek6[[#This Row],[Kolumna1]]),statek6[[#This Row],[Kolumna1]]))</f>
        <v>2016-05</v>
      </c>
      <c r="I26">
        <f>IF(AND(statek6[[#This Row],[Z/W]]="Z",statek6[[#This Row],[towar]]="T5"),statek6[[#This Row],[ile ton]],0)</f>
        <v>0</v>
      </c>
      <c r="J26">
        <f>IF(AND(statek6[[#This Row],[Z/W]]="W",statek6[[#This Row],[towar]]="T5"),statek6[[#This Row],[ile ton]],0)</f>
        <v>0</v>
      </c>
      <c r="L26" s="3" t="s">
        <v>66</v>
      </c>
      <c r="M26">
        <v>10</v>
      </c>
      <c r="N26">
        <v>22</v>
      </c>
    </row>
    <row r="27" spans="1:14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G27">
        <f>MONTH(statek6[[#This Row],[data]])</f>
        <v>5</v>
      </c>
      <c r="H27" t="str">
        <f>_xlfn.CONCAT(YEAR(statek6[[#This Row],[data]]),"-",IF(statek6[[#This Row],[Kolumna1]]&lt;10,_xlfn.CONCAT("0",statek6[[#This Row],[Kolumna1]]),statek6[[#This Row],[Kolumna1]]))</f>
        <v>2016-05</v>
      </c>
      <c r="I27">
        <f>IF(AND(statek6[[#This Row],[Z/W]]="Z",statek6[[#This Row],[towar]]="T5"),statek6[[#This Row],[ile ton]],0)</f>
        <v>0</v>
      </c>
      <c r="J27">
        <f>IF(AND(statek6[[#This Row],[Z/W]]="W",statek6[[#This Row],[towar]]="T5"),statek6[[#This Row],[ile ton]],0)</f>
        <v>0</v>
      </c>
      <c r="L27" s="3" t="s">
        <v>67</v>
      </c>
      <c r="M27">
        <v>34</v>
      </c>
      <c r="N27">
        <v>0</v>
      </c>
    </row>
    <row r="28" spans="1:14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G28">
        <f>MONTH(statek6[[#This Row],[data]])</f>
        <v>6</v>
      </c>
      <c r="H28" t="str">
        <f>_xlfn.CONCAT(YEAR(statek6[[#This Row],[data]]),"-",IF(statek6[[#This Row],[Kolumna1]]&lt;10,_xlfn.CONCAT("0",statek6[[#This Row],[Kolumna1]]),statek6[[#This Row],[Kolumna1]]))</f>
        <v>2016-06</v>
      </c>
      <c r="I28">
        <f>IF(AND(statek6[[#This Row],[Z/W]]="Z",statek6[[#This Row],[towar]]="T5"),statek6[[#This Row],[ile ton]],0)</f>
        <v>0</v>
      </c>
      <c r="J28">
        <f>IF(AND(statek6[[#This Row],[Z/W]]="W",statek6[[#This Row],[towar]]="T5"),statek6[[#This Row],[ile ton]],0)</f>
        <v>0</v>
      </c>
      <c r="L28" s="3" t="s">
        <v>68</v>
      </c>
      <c r="M28">
        <v>0</v>
      </c>
      <c r="N28">
        <v>34</v>
      </c>
    </row>
    <row r="29" spans="1:14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G29">
        <f>MONTH(statek6[[#This Row],[data]])</f>
        <v>6</v>
      </c>
      <c r="H29" t="str">
        <f>_xlfn.CONCAT(YEAR(statek6[[#This Row],[data]]),"-",IF(statek6[[#This Row],[Kolumna1]]&lt;10,_xlfn.CONCAT("0",statek6[[#This Row],[Kolumna1]]),statek6[[#This Row],[Kolumna1]]))</f>
        <v>2016-06</v>
      </c>
      <c r="I29">
        <f>IF(AND(statek6[[#This Row],[Z/W]]="Z",statek6[[#This Row],[towar]]="T5"),statek6[[#This Row],[ile ton]],0)</f>
        <v>0</v>
      </c>
      <c r="J29">
        <f>IF(AND(statek6[[#This Row],[Z/W]]="W",statek6[[#This Row],[towar]]="T5"),statek6[[#This Row],[ile ton]],0)</f>
        <v>0</v>
      </c>
      <c r="L29" s="3" t="s">
        <v>69</v>
      </c>
      <c r="M29">
        <v>5</v>
      </c>
      <c r="N29">
        <v>0</v>
      </c>
    </row>
    <row r="30" spans="1:14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G30">
        <f>MONTH(statek6[[#This Row],[data]])</f>
        <v>6</v>
      </c>
      <c r="H30" t="str">
        <f>_xlfn.CONCAT(YEAR(statek6[[#This Row],[data]]),"-",IF(statek6[[#This Row],[Kolumna1]]&lt;10,_xlfn.CONCAT("0",statek6[[#This Row],[Kolumna1]]),statek6[[#This Row],[Kolumna1]]))</f>
        <v>2016-06</v>
      </c>
      <c r="I30">
        <f>IF(AND(statek6[[#This Row],[Z/W]]="Z",statek6[[#This Row],[towar]]="T5"),statek6[[#This Row],[ile ton]],0)</f>
        <v>0</v>
      </c>
      <c r="J30">
        <f>IF(AND(statek6[[#This Row],[Z/W]]="W",statek6[[#This Row],[towar]]="T5"),statek6[[#This Row],[ile ton]],0)</f>
        <v>0</v>
      </c>
      <c r="L30" s="3" t="s">
        <v>70</v>
      </c>
      <c r="M30">
        <v>0</v>
      </c>
      <c r="N30">
        <v>0</v>
      </c>
    </row>
    <row r="31" spans="1:14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G31">
        <f>MONTH(statek6[[#This Row],[data]])</f>
        <v>6</v>
      </c>
      <c r="H31" t="str">
        <f>_xlfn.CONCAT(YEAR(statek6[[#This Row],[data]]),"-",IF(statek6[[#This Row],[Kolumna1]]&lt;10,_xlfn.CONCAT("0",statek6[[#This Row],[Kolumna1]]),statek6[[#This Row],[Kolumna1]]))</f>
        <v>2016-06</v>
      </c>
      <c r="I31">
        <f>IF(AND(statek6[[#This Row],[Z/W]]="Z",statek6[[#This Row],[towar]]="T5"),statek6[[#This Row],[ile ton]],0)</f>
        <v>0</v>
      </c>
      <c r="J31">
        <f>IF(AND(statek6[[#This Row],[Z/W]]="W",statek6[[#This Row],[towar]]="T5"),statek6[[#This Row],[ile ton]],0)</f>
        <v>0</v>
      </c>
      <c r="L31" s="3" t="s">
        <v>71</v>
      </c>
      <c r="M31">
        <v>95</v>
      </c>
      <c r="N31">
        <v>0</v>
      </c>
    </row>
    <row r="32" spans="1:14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G32">
        <f>MONTH(statek6[[#This Row],[data]])</f>
        <v>6</v>
      </c>
      <c r="H32" t="str">
        <f>_xlfn.CONCAT(YEAR(statek6[[#This Row],[data]]),"-",IF(statek6[[#This Row],[Kolumna1]]&lt;10,_xlfn.CONCAT("0",statek6[[#This Row],[Kolumna1]]),statek6[[#This Row],[Kolumna1]]))</f>
        <v>2016-06</v>
      </c>
      <c r="I32">
        <f>IF(AND(statek6[[#This Row],[Z/W]]="Z",statek6[[#This Row],[towar]]="T5"),statek6[[#This Row],[ile ton]],0)</f>
        <v>0</v>
      </c>
      <c r="J32">
        <f>IF(AND(statek6[[#This Row],[Z/W]]="W",statek6[[#This Row],[towar]]="T5"),statek6[[#This Row],[ile ton]],0)</f>
        <v>0</v>
      </c>
      <c r="L32" s="3" t="s">
        <v>72</v>
      </c>
      <c r="M32">
        <v>25</v>
      </c>
      <c r="N32">
        <v>0</v>
      </c>
    </row>
    <row r="33" spans="1:14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G33">
        <f>MONTH(statek6[[#This Row],[data]])</f>
        <v>6</v>
      </c>
      <c r="H33" t="str">
        <f>_xlfn.CONCAT(YEAR(statek6[[#This Row],[data]]),"-",IF(statek6[[#This Row],[Kolumna1]]&lt;10,_xlfn.CONCAT("0",statek6[[#This Row],[Kolumna1]]),statek6[[#This Row],[Kolumna1]]))</f>
        <v>2016-06</v>
      </c>
      <c r="I33">
        <f>IF(AND(statek6[[#This Row],[Z/W]]="Z",statek6[[#This Row],[towar]]="T5"),statek6[[#This Row],[ile ton]],0)</f>
        <v>0</v>
      </c>
      <c r="J33">
        <f>IF(AND(statek6[[#This Row],[Z/W]]="W",statek6[[#This Row],[towar]]="T5"),statek6[[#This Row],[ile ton]],0)</f>
        <v>0</v>
      </c>
      <c r="L33" s="3" t="s">
        <v>73</v>
      </c>
      <c r="M33">
        <v>22</v>
      </c>
      <c r="N33">
        <v>121</v>
      </c>
    </row>
    <row r="34" spans="1:14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G34">
        <f>MONTH(statek6[[#This Row],[data]])</f>
        <v>6</v>
      </c>
      <c r="H34" t="str">
        <f>_xlfn.CONCAT(YEAR(statek6[[#This Row],[data]]),"-",IF(statek6[[#This Row],[Kolumna1]]&lt;10,_xlfn.CONCAT("0",statek6[[#This Row],[Kolumna1]]),statek6[[#This Row],[Kolumna1]]))</f>
        <v>2016-06</v>
      </c>
      <c r="I34">
        <f>IF(AND(statek6[[#This Row],[Z/W]]="Z",statek6[[#This Row],[towar]]="T5"),statek6[[#This Row],[ile ton]],0)</f>
        <v>42</v>
      </c>
      <c r="J34">
        <f>IF(AND(statek6[[#This Row],[Z/W]]="W",statek6[[#This Row],[towar]]="T5"),statek6[[#This Row],[ile ton]],0)</f>
        <v>0</v>
      </c>
      <c r="L34" s="3" t="s">
        <v>74</v>
      </c>
      <c r="M34">
        <v>0</v>
      </c>
      <c r="N34">
        <v>26</v>
      </c>
    </row>
    <row r="35" spans="1:14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G35">
        <f>MONTH(statek6[[#This Row],[data]])</f>
        <v>6</v>
      </c>
      <c r="H35" t="str">
        <f>_xlfn.CONCAT(YEAR(statek6[[#This Row],[data]]),"-",IF(statek6[[#This Row],[Kolumna1]]&lt;10,_xlfn.CONCAT("0",statek6[[#This Row],[Kolumna1]]),statek6[[#This Row],[Kolumna1]]))</f>
        <v>2016-06</v>
      </c>
      <c r="I35">
        <f>IF(AND(statek6[[#This Row],[Z/W]]="Z",statek6[[#This Row],[towar]]="T5"),statek6[[#This Row],[ile ton]],0)</f>
        <v>0</v>
      </c>
      <c r="J35">
        <f>IF(AND(statek6[[#This Row],[Z/W]]="W",statek6[[#This Row],[towar]]="T5"),statek6[[#This Row],[ile ton]],0)</f>
        <v>0</v>
      </c>
      <c r="L35" s="3" t="s">
        <v>75</v>
      </c>
      <c r="M35">
        <v>20</v>
      </c>
      <c r="N35">
        <v>0</v>
      </c>
    </row>
    <row r="36" spans="1:14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G36">
        <f>MONTH(statek6[[#This Row],[data]])</f>
        <v>6</v>
      </c>
      <c r="H36" t="str">
        <f>_xlfn.CONCAT(YEAR(statek6[[#This Row],[data]]),"-",IF(statek6[[#This Row],[Kolumna1]]&lt;10,_xlfn.CONCAT("0",statek6[[#This Row],[Kolumna1]]),statek6[[#This Row],[Kolumna1]]))</f>
        <v>2016-06</v>
      </c>
      <c r="I36">
        <f>IF(AND(statek6[[#This Row],[Z/W]]="Z",statek6[[#This Row],[towar]]="T5"),statek6[[#This Row],[ile ton]],0)</f>
        <v>0</v>
      </c>
      <c r="J36">
        <f>IF(AND(statek6[[#This Row],[Z/W]]="W",statek6[[#This Row],[towar]]="T5"),statek6[[#This Row],[ile ton]],0)</f>
        <v>0</v>
      </c>
      <c r="L36" s="3" t="s">
        <v>76</v>
      </c>
      <c r="M36">
        <v>48</v>
      </c>
      <c r="N36">
        <v>64</v>
      </c>
    </row>
    <row r="37" spans="1:14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G37">
        <f>MONTH(statek6[[#This Row],[data]])</f>
        <v>7</v>
      </c>
      <c r="H37" t="str">
        <f>_xlfn.CONCAT(YEAR(statek6[[#This Row],[data]]),"-",IF(statek6[[#This Row],[Kolumna1]]&lt;10,_xlfn.CONCAT("0",statek6[[#This Row],[Kolumna1]]),statek6[[#This Row],[Kolumna1]]))</f>
        <v>2016-07</v>
      </c>
      <c r="I37">
        <f>IF(AND(statek6[[#This Row],[Z/W]]="Z",statek6[[#This Row],[towar]]="T5"),statek6[[#This Row],[ile ton]],0)</f>
        <v>0</v>
      </c>
      <c r="J37">
        <f>IF(AND(statek6[[#This Row],[Z/W]]="W",statek6[[#This Row],[towar]]="T5"),statek6[[#This Row],[ile ton]],0)</f>
        <v>0</v>
      </c>
      <c r="L37" s="3" t="s">
        <v>77</v>
      </c>
      <c r="M37">
        <v>0</v>
      </c>
      <c r="N37">
        <v>4</v>
      </c>
    </row>
    <row r="38" spans="1:14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G38">
        <f>MONTH(statek6[[#This Row],[data]])</f>
        <v>7</v>
      </c>
      <c r="H38" t="str">
        <f>_xlfn.CONCAT(YEAR(statek6[[#This Row],[data]]),"-",IF(statek6[[#This Row],[Kolumna1]]&lt;10,_xlfn.CONCAT("0",statek6[[#This Row],[Kolumna1]]),statek6[[#This Row],[Kolumna1]]))</f>
        <v>2016-07</v>
      </c>
      <c r="I38">
        <f>IF(AND(statek6[[#This Row],[Z/W]]="Z",statek6[[#This Row],[towar]]="T5"),statek6[[#This Row],[ile ton]],0)</f>
        <v>0</v>
      </c>
      <c r="J38">
        <f>IF(AND(statek6[[#This Row],[Z/W]]="W",statek6[[#This Row],[towar]]="T5"),statek6[[#This Row],[ile ton]],0)</f>
        <v>0</v>
      </c>
      <c r="L38" s="3" t="s">
        <v>24</v>
      </c>
      <c r="M38">
        <v>784</v>
      </c>
      <c r="N38">
        <v>784</v>
      </c>
    </row>
    <row r="39" spans="1:14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G39">
        <f>MONTH(statek6[[#This Row],[data]])</f>
        <v>7</v>
      </c>
      <c r="H39" t="str">
        <f>_xlfn.CONCAT(YEAR(statek6[[#This Row],[data]]),"-",IF(statek6[[#This Row],[Kolumna1]]&lt;10,_xlfn.CONCAT("0",statek6[[#This Row],[Kolumna1]]),statek6[[#This Row],[Kolumna1]]))</f>
        <v>2016-07</v>
      </c>
      <c r="I39">
        <f>IF(AND(statek6[[#This Row],[Z/W]]="Z",statek6[[#This Row],[towar]]="T5"),statek6[[#This Row],[ile ton]],0)</f>
        <v>35</v>
      </c>
      <c r="J39">
        <f>IF(AND(statek6[[#This Row],[Z/W]]="W",statek6[[#This Row],[towar]]="T5"),statek6[[#This Row],[ile ton]],0)</f>
        <v>0</v>
      </c>
    </row>
    <row r="40" spans="1:14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G40">
        <f>MONTH(statek6[[#This Row],[data]])</f>
        <v>7</v>
      </c>
      <c r="H40" t="str">
        <f>_xlfn.CONCAT(YEAR(statek6[[#This Row],[data]]),"-",IF(statek6[[#This Row],[Kolumna1]]&lt;10,_xlfn.CONCAT("0",statek6[[#This Row],[Kolumna1]]),statek6[[#This Row],[Kolumna1]]))</f>
        <v>2016-07</v>
      </c>
      <c r="I40">
        <f>IF(AND(statek6[[#This Row],[Z/W]]="Z",statek6[[#This Row],[towar]]="T5"),statek6[[#This Row],[ile ton]],0)</f>
        <v>0</v>
      </c>
      <c r="J40">
        <f>IF(AND(statek6[[#This Row],[Z/W]]="W",statek6[[#This Row],[towar]]="T5"),statek6[[#This Row],[ile ton]],0)</f>
        <v>0</v>
      </c>
    </row>
    <row r="41" spans="1:14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G41">
        <f>MONTH(statek6[[#This Row],[data]])</f>
        <v>7</v>
      </c>
      <c r="H41" t="str">
        <f>_xlfn.CONCAT(YEAR(statek6[[#This Row],[data]]),"-",IF(statek6[[#This Row],[Kolumna1]]&lt;10,_xlfn.CONCAT("0",statek6[[#This Row],[Kolumna1]]),statek6[[#This Row],[Kolumna1]]))</f>
        <v>2016-07</v>
      </c>
      <c r="I41">
        <f>IF(AND(statek6[[#This Row],[Z/W]]="Z",statek6[[#This Row],[towar]]="T5"),statek6[[#This Row],[ile ton]],0)</f>
        <v>0</v>
      </c>
      <c r="J41">
        <f>IF(AND(statek6[[#This Row],[Z/W]]="W",statek6[[#This Row],[towar]]="T5"),statek6[[#This Row],[ile ton]],0)</f>
        <v>0</v>
      </c>
    </row>
    <row r="42" spans="1:14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G42">
        <f>MONTH(statek6[[#This Row],[data]])</f>
        <v>7</v>
      </c>
      <c r="H42" t="str">
        <f>_xlfn.CONCAT(YEAR(statek6[[#This Row],[data]]),"-",IF(statek6[[#This Row],[Kolumna1]]&lt;10,_xlfn.CONCAT("0",statek6[[#This Row],[Kolumna1]]),statek6[[#This Row],[Kolumna1]]))</f>
        <v>2016-07</v>
      </c>
      <c r="I42">
        <f>IF(AND(statek6[[#This Row],[Z/W]]="Z",statek6[[#This Row],[towar]]="T5"),statek6[[#This Row],[ile ton]],0)</f>
        <v>48</v>
      </c>
      <c r="J42">
        <f>IF(AND(statek6[[#This Row],[Z/W]]="W",statek6[[#This Row],[towar]]="T5"),statek6[[#This Row],[ile ton]],0)</f>
        <v>0</v>
      </c>
    </row>
    <row r="43" spans="1:14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G43">
        <f>MONTH(statek6[[#This Row],[data]])</f>
        <v>8</v>
      </c>
      <c r="H43" t="str">
        <f>_xlfn.CONCAT(YEAR(statek6[[#This Row],[data]]),"-",IF(statek6[[#This Row],[Kolumna1]]&lt;10,_xlfn.CONCAT("0",statek6[[#This Row],[Kolumna1]]),statek6[[#This Row],[Kolumna1]]))</f>
        <v>2016-08</v>
      </c>
      <c r="I43">
        <f>IF(AND(statek6[[#This Row],[Z/W]]="Z",statek6[[#This Row],[towar]]="T5"),statek6[[#This Row],[ile ton]],0)</f>
        <v>0</v>
      </c>
      <c r="J43">
        <f>IF(AND(statek6[[#This Row],[Z/W]]="W",statek6[[#This Row],[towar]]="T5"),statek6[[#This Row],[ile ton]],0)</f>
        <v>191</v>
      </c>
    </row>
    <row r="44" spans="1:14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G44">
        <f>MONTH(statek6[[#This Row],[data]])</f>
        <v>8</v>
      </c>
      <c r="H44" t="str">
        <f>_xlfn.CONCAT(YEAR(statek6[[#This Row],[data]]),"-",IF(statek6[[#This Row],[Kolumna1]]&lt;10,_xlfn.CONCAT("0",statek6[[#This Row],[Kolumna1]]),statek6[[#This Row],[Kolumna1]]))</f>
        <v>2016-08</v>
      </c>
      <c r="I44">
        <f>IF(AND(statek6[[#This Row],[Z/W]]="Z",statek6[[#This Row],[towar]]="T5"),statek6[[#This Row],[ile ton]],0)</f>
        <v>0</v>
      </c>
      <c r="J44">
        <f>IF(AND(statek6[[#This Row],[Z/W]]="W",statek6[[#This Row],[towar]]="T5"),statek6[[#This Row],[ile ton]],0)</f>
        <v>0</v>
      </c>
    </row>
    <row r="45" spans="1:14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G45">
        <f>MONTH(statek6[[#This Row],[data]])</f>
        <v>8</v>
      </c>
      <c r="H45" t="str">
        <f>_xlfn.CONCAT(YEAR(statek6[[#This Row],[data]]),"-",IF(statek6[[#This Row],[Kolumna1]]&lt;10,_xlfn.CONCAT("0",statek6[[#This Row],[Kolumna1]]),statek6[[#This Row],[Kolumna1]]))</f>
        <v>2016-08</v>
      </c>
      <c r="I45">
        <f>IF(AND(statek6[[#This Row],[Z/W]]="Z",statek6[[#This Row],[towar]]="T5"),statek6[[#This Row],[ile ton]],0)</f>
        <v>0</v>
      </c>
      <c r="J45">
        <f>IF(AND(statek6[[#This Row],[Z/W]]="W",statek6[[#This Row],[towar]]="T5"),statek6[[#This Row],[ile ton]],0)</f>
        <v>0</v>
      </c>
    </row>
    <row r="46" spans="1:14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  <c r="G46">
        <f>MONTH(statek6[[#This Row],[data]])</f>
        <v>9</v>
      </c>
      <c r="H46" t="str">
        <f>_xlfn.CONCAT(YEAR(statek6[[#This Row],[data]]),"-",IF(statek6[[#This Row],[Kolumna1]]&lt;10,_xlfn.CONCAT("0",statek6[[#This Row],[Kolumna1]]),statek6[[#This Row],[Kolumna1]]))</f>
        <v>2016-09</v>
      </c>
      <c r="I46">
        <f>IF(AND(statek6[[#This Row],[Z/W]]="Z",statek6[[#This Row],[towar]]="T5"),statek6[[#This Row],[ile ton]],0)</f>
        <v>0</v>
      </c>
      <c r="J46">
        <f>IF(AND(statek6[[#This Row],[Z/W]]="W",statek6[[#This Row],[towar]]="T5"),statek6[[#This Row],[ile ton]],0)</f>
        <v>0</v>
      </c>
    </row>
    <row r="47" spans="1:14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  <c r="G47">
        <f>MONTH(statek6[[#This Row],[data]])</f>
        <v>9</v>
      </c>
      <c r="H47" t="str">
        <f>_xlfn.CONCAT(YEAR(statek6[[#This Row],[data]]),"-",IF(statek6[[#This Row],[Kolumna1]]&lt;10,_xlfn.CONCAT("0",statek6[[#This Row],[Kolumna1]]),statek6[[#This Row],[Kolumna1]]))</f>
        <v>2016-09</v>
      </c>
      <c r="I47">
        <f>IF(AND(statek6[[#This Row],[Z/W]]="Z",statek6[[#This Row],[towar]]="T5"),statek6[[#This Row],[ile ton]],0)</f>
        <v>0</v>
      </c>
      <c r="J47">
        <f>IF(AND(statek6[[#This Row],[Z/W]]="W",statek6[[#This Row],[towar]]="T5"),statek6[[#This Row],[ile ton]],0)</f>
        <v>4</v>
      </c>
    </row>
    <row r="48" spans="1:14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G48">
        <f>MONTH(statek6[[#This Row],[data]])</f>
        <v>9</v>
      </c>
      <c r="H48" t="str">
        <f>_xlfn.CONCAT(YEAR(statek6[[#This Row],[data]]),"-",IF(statek6[[#This Row],[Kolumna1]]&lt;10,_xlfn.CONCAT("0",statek6[[#This Row],[Kolumna1]]),statek6[[#This Row],[Kolumna1]]))</f>
        <v>2016-09</v>
      </c>
      <c r="I48">
        <f>IF(AND(statek6[[#This Row],[Z/W]]="Z",statek6[[#This Row],[towar]]="T5"),statek6[[#This Row],[ile ton]],0)</f>
        <v>0</v>
      </c>
      <c r="J48">
        <f>IF(AND(statek6[[#This Row],[Z/W]]="W",statek6[[#This Row],[towar]]="T5"),statek6[[#This Row],[ile ton]],0)</f>
        <v>0</v>
      </c>
    </row>
    <row r="49" spans="1:10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G49">
        <f>MONTH(statek6[[#This Row],[data]])</f>
        <v>9</v>
      </c>
      <c r="H49" t="str">
        <f>_xlfn.CONCAT(YEAR(statek6[[#This Row],[data]]),"-",IF(statek6[[#This Row],[Kolumna1]]&lt;10,_xlfn.CONCAT("0",statek6[[#This Row],[Kolumna1]]),statek6[[#This Row],[Kolumna1]]))</f>
        <v>2016-09</v>
      </c>
      <c r="I49">
        <f>IF(AND(statek6[[#This Row],[Z/W]]="Z",statek6[[#This Row],[towar]]="T5"),statek6[[#This Row],[ile ton]],0)</f>
        <v>0</v>
      </c>
      <c r="J49">
        <f>IF(AND(statek6[[#This Row],[Z/W]]="W",statek6[[#This Row],[towar]]="T5"),statek6[[#This Row],[ile ton]],0)</f>
        <v>0</v>
      </c>
    </row>
    <row r="50" spans="1:10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  <c r="G50">
        <f>MONTH(statek6[[#This Row],[data]])</f>
        <v>9</v>
      </c>
      <c r="H50" t="str">
        <f>_xlfn.CONCAT(YEAR(statek6[[#This Row],[data]]),"-",IF(statek6[[#This Row],[Kolumna1]]&lt;10,_xlfn.CONCAT("0",statek6[[#This Row],[Kolumna1]]),statek6[[#This Row],[Kolumna1]]))</f>
        <v>2016-09</v>
      </c>
      <c r="I50">
        <f>IF(AND(statek6[[#This Row],[Z/W]]="Z",statek6[[#This Row],[towar]]="T5"),statek6[[#This Row],[ile ton]],0)</f>
        <v>0</v>
      </c>
      <c r="J50">
        <f>IF(AND(statek6[[#This Row],[Z/W]]="W",statek6[[#This Row],[towar]]="T5"),statek6[[#This Row],[ile ton]],0)</f>
        <v>0</v>
      </c>
    </row>
    <row r="51" spans="1:10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  <c r="G51">
        <f>MONTH(statek6[[#This Row],[data]])</f>
        <v>9</v>
      </c>
      <c r="H51" t="str">
        <f>_xlfn.CONCAT(YEAR(statek6[[#This Row],[data]]),"-",IF(statek6[[#This Row],[Kolumna1]]&lt;10,_xlfn.CONCAT("0",statek6[[#This Row],[Kolumna1]]),statek6[[#This Row],[Kolumna1]]))</f>
        <v>2016-09</v>
      </c>
      <c r="I51">
        <f>IF(AND(statek6[[#This Row],[Z/W]]="Z",statek6[[#This Row],[towar]]="T5"),statek6[[#This Row],[ile ton]],0)</f>
        <v>44</v>
      </c>
      <c r="J51">
        <f>IF(AND(statek6[[#This Row],[Z/W]]="W",statek6[[#This Row],[towar]]="T5"),statek6[[#This Row],[ile ton]],0)</f>
        <v>0</v>
      </c>
    </row>
    <row r="52" spans="1:10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  <c r="G52">
        <f>MONTH(statek6[[#This Row],[data]])</f>
        <v>9</v>
      </c>
      <c r="H52" t="str">
        <f>_xlfn.CONCAT(YEAR(statek6[[#This Row],[data]]),"-",IF(statek6[[#This Row],[Kolumna1]]&lt;10,_xlfn.CONCAT("0",statek6[[#This Row],[Kolumna1]]),statek6[[#This Row],[Kolumna1]]))</f>
        <v>2016-09</v>
      </c>
      <c r="I52">
        <f>IF(AND(statek6[[#This Row],[Z/W]]="Z",statek6[[#This Row],[towar]]="T5"),statek6[[#This Row],[ile ton]],0)</f>
        <v>0</v>
      </c>
      <c r="J52">
        <f>IF(AND(statek6[[#This Row],[Z/W]]="W",statek6[[#This Row],[towar]]="T5"),statek6[[#This Row],[ile ton]],0)</f>
        <v>0</v>
      </c>
    </row>
    <row r="53" spans="1:10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  <c r="G53">
        <f>MONTH(statek6[[#This Row],[data]])</f>
        <v>9</v>
      </c>
      <c r="H53" t="str">
        <f>_xlfn.CONCAT(YEAR(statek6[[#This Row],[data]]),"-",IF(statek6[[#This Row],[Kolumna1]]&lt;10,_xlfn.CONCAT("0",statek6[[#This Row],[Kolumna1]]),statek6[[#This Row],[Kolumna1]]))</f>
        <v>2016-09</v>
      </c>
      <c r="I53">
        <f>IF(AND(statek6[[#This Row],[Z/W]]="Z",statek6[[#This Row],[towar]]="T5"),statek6[[#This Row],[ile ton]],0)</f>
        <v>0</v>
      </c>
      <c r="J53">
        <f>IF(AND(statek6[[#This Row],[Z/W]]="W",statek6[[#This Row],[towar]]="T5"),statek6[[#This Row],[ile ton]],0)</f>
        <v>0</v>
      </c>
    </row>
    <row r="54" spans="1:10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  <c r="G54">
        <f>MONTH(statek6[[#This Row],[data]])</f>
        <v>9</v>
      </c>
      <c r="H54" t="str">
        <f>_xlfn.CONCAT(YEAR(statek6[[#This Row],[data]]),"-",IF(statek6[[#This Row],[Kolumna1]]&lt;10,_xlfn.CONCAT("0",statek6[[#This Row],[Kolumna1]]),statek6[[#This Row],[Kolumna1]]))</f>
        <v>2016-09</v>
      </c>
      <c r="I54">
        <f>IF(AND(statek6[[#This Row],[Z/W]]="Z",statek6[[#This Row],[towar]]="T5"),statek6[[#This Row],[ile ton]],0)</f>
        <v>0</v>
      </c>
      <c r="J54">
        <f>IF(AND(statek6[[#This Row],[Z/W]]="W",statek6[[#This Row],[towar]]="T5"),statek6[[#This Row],[ile ton]],0)</f>
        <v>0</v>
      </c>
    </row>
    <row r="55" spans="1:10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  <c r="G55">
        <f>MONTH(statek6[[#This Row],[data]])</f>
        <v>9</v>
      </c>
      <c r="H55" t="str">
        <f>_xlfn.CONCAT(YEAR(statek6[[#This Row],[data]]),"-",IF(statek6[[#This Row],[Kolumna1]]&lt;10,_xlfn.CONCAT("0",statek6[[#This Row],[Kolumna1]]),statek6[[#This Row],[Kolumna1]]))</f>
        <v>2016-09</v>
      </c>
      <c r="I55">
        <f>IF(AND(statek6[[#This Row],[Z/W]]="Z",statek6[[#This Row],[towar]]="T5"),statek6[[#This Row],[ile ton]],0)</f>
        <v>0</v>
      </c>
      <c r="J55">
        <f>IF(AND(statek6[[#This Row],[Z/W]]="W",statek6[[#This Row],[towar]]="T5"),statek6[[#This Row],[ile ton]],0)</f>
        <v>0</v>
      </c>
    </row>
    <row r="56" spans="1:10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  <c r="G56">
        <f>MONTH(statek6[[#This Row],[data]])</f>
        <v>10</v>
      </c>
      <c r="H56" t="str">
        <f>_xlfn.CONCAT(YEAR(statek6[[#This Row],[data]]),"-",IF(statek6[[#This Row],[Kolumna1]]&lt;10,_xlfn.CONCAT("0",statek6[[#This Row],[Kolumna1]]),statek6[[#This Row],[Kolumna1]]))</f>
        <v>2016-10</v>
      </c>
      <c r="I56">
        <f>IF(AND(statek6[[#This Row],[Z/W]]="Z",statek6[[#This Row],[towar]]="T5"),statek6[[#This Row],[ile ton]],0)</f>
        <v>0</v>
      </c>
      <c r="J56">
        <f>IF(AND(statek6[[#This Row],[Z/W]]="W",statek6[[#This Row],[towar]]="T5"),statek6[[#This Row],[ile ton]],0)</f>
        <v>0</v>
      </c>
    </row>
    <row r="57" spans="1:10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  <c r="G57">
        <f>MONTH(statek6[[#This Row],[data]])</f>
        <v>10</v>
      </c>
      <c r="H57" t="str">
        <f>_xlfn.CONCAT(YEAR(statek6[[#This Row],[data]]),"-",IF(statek6[[#This Row],[Kolumna1]]&lt;10,_xlfn.CONCAT("0",statek6[[#This Row],[Kolumna1]]),statek6[[#This Row],[Kolumna1]]))</f>
        <v>2016-10</v>
      </c>
      <c r="I57">
        <f>IF(AND(statek6[[#This Row],[Z/W]]="Z",statek6[[#This Row],[towar]]="T5"),statek6[[#This Row],[ile ton]],0)</f>
        <v>0</v>
      </c>
      <c r="J57">
        <f>IF(AND(statek6[[#This Row],[Z/W]]="W",statek6[[#This Row],[towar]]="T5"),statek6[[#This Row],[ile ton]],0)</f>
        <v>0</v>
      </c>
    </row>
    <row r="58" spans="1:10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  <c r="G58">
        <f>MONTH(statek6[[#This Row],[data]])</f>
        <v>10</v>
      </c>
      <c r="H58" t="str">
        <f>_xlfn.CONCAT(YEAR(statek6[[#This Row],[data]]),"-",IF(statek6[[#This Row],[Kolumna1]]&lt;10,_xlfn.CONCAT("0",statek6[[#This Row],[Kolumna1]]),statek6[[#This Row],[Kolumna1]]))</f>
        <v>2016-10</v>
      </c>
      <c r="I58">
        <f>IF(AND(statek6[[#This Row],[Z/W]]="Z",statek6[[#This Row],[towar]]="T5"),statek6[[#This Row],[ile ton]],0)</f>
        <v>0</v>
      </c>
      <c r="J58">
        <f>IF(AND(statek6[[#This Row],[Z/W]]="W",statek6[[#This Row],[towar]]="T5"),statek6[[#This Row],[ile ton]],0)</f>
        <v>0</v>
      </c>
    </row>
    <row r="59" spans="1:10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  <c r="G59">
        <f>MONTH(statek6[[#This Row],[data]])</f>
        <v>11</v>
      </c>
      <c r="H59" t="str">
        <f>_xlfn.CONCAT(YEAR(statek6[[#This Row],[data]]),"-",IF(statek6[[#This Row],[Kolumna1]]&lt;10,_xlfn.CONCAT("0",statek6[[#This Row],[Kolumna1]]),statek6[[#This Row],[Kolumna1]]))</f>
        <v>2016-11</v>
      </c>
      <c r="I59">
        <f>IF(AND(statek6[[#This Row],[Z/W]]="Z",statek6[[#This Row],[towar]]="T5"),statek6[[#This Row],[ile ton]],0)</f>
        <v>0</v>
      </c>
      <c r="J59">
        <f>IF(AND(statek6[[#This Row],[Z/W]]="W",statek6[[#This Row],[towar]]="T5"),statek6[[#This Row],[ile ton]],0)</f>
        <v>0</v>
      </c>
    </row>
    <row r="60" spans="1:10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  <c r="G60">
        <f>MONTH(statek6[[#This Row],[data]])</f>
        <v>11</v>
      </c>
      <c r="H60" t="str">
        <f>_xlfn.CONCAT(YEAR(statek6[[#This Row],[data]]),"-",IF(statek6[[#This Row],[Kolumna1]]&lt;10,_xlfn.CONCAT("0",statek6[[#This Row],[Kolumna1]]),statek6[[#This Row],[Kolumna1]]))</f>
        <v>2016-11</v>
      </c>
      <c r="I60">
        <f>IF(AND(statek6[[#This Row],[Z/W]]="Z",statek6[[#This Row],[towar]]="T5"),statek6[[#This Row],[ile ton]],0)</f>
        <v>0</v>
      </c>
      <c r="J60">
        <f>IF(AND(statek6[[#This Row],[Z/W]]="W",statek6[[#This Row],[towar]]="T5"),statek6[[#This Row],[ile ton]],0)</f>
        <v>0</v>
      </c>
    </row>
    <row r="61" spans="1:10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  <c r="G61">
        <f>MONTH(statek6[[#This Row],[data]])</f>
        <v>11</v>
      </c>
      <c r="H61" t="str">
        <f>_xlfn.CONCAT(YEAR(statek6[[#This Row],[data]]),"-",IF(statek6[[#This Row],[Kolumna1]]&lt;10,_xlfn.CONCAT("0",statek6[[#This Row],[Kolumna1]]),statek6[[#This Row],[Kolumna1]]))</f>
        <v>2016-11</v>
      </c>
      <c r="I61">
        <f>IF(AND(statek6[[#This Row],[Z/W]]="Z",statek6[[#This Row],[towar]]="T5"),statek6[[#This Row],[ile ton]],0)</f>
        <v>30</v>
      </c>
      <c r="J61">
        <f>IF(AND(statek6[[#This Row],[Z/W]]="W",statek6[[#This Row],[towar]]="T5"),statek6[[#This Row],[ile ton]],0)</f>
        <v>0</v>
      </c>
    </row>
    <row r="62" spans="1:10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  <c r="G62">
        <f>MONTH(statek6[[#This Row],[data]])</f>
        <v>11</v>
      </c>
      <c r="H62" t="str">
        <f>_xlfn.CONCAT(YEAR(statek6[[#This Row],[data]]),"-",IF(statek6[[#This Row],[Kolumna1]]&lt;10,_xlfn.CONCAT("0",statek6[[#This Row],[Kolumna1]]),statek6[[#This Row],[Kolumna1]]))</f>
        <v>2016-11</v>
      </c>
      <c r="I62">
        <f>IF(AND(statek6[[#This Row],[Z/W]]="Z",statek6[[#This Row],[towar]]="T5"),statek6[[#This Row],[ile ton]],0)</f>
        <v>0</v>
      </c>
      <c r="J62">
        <f>IF(AND(statek6[[#This Row],[Z/W]]="W",statek6[[#This Row],[towar]]="T5"),statek6[[#This Row],[ile ton]],0)</f>
        <v>0</v>
      </c>
    </row>
    <row r="63" spans="1:10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  <c r="G63">
        <f>MONTH(statek6[[#This Row],[data]])</f>
        <v>11</v>
      </c>
      <c r="H63" t="str">
        <f>_xlfn.CONCAT(YEAR(statek6[[#This Row],[data]]),"-",IF(statek6[[#This Row],[Kolumna1]]&lt;10,_xlfn.CONCAT("0",statek6[[#This Row],[Kolumna1]]),statek6[[#This Row],[Kolumna1]]))</f>
        <v>2016-11</v>
      </c>
      <c r="I63">
        <f>IF(AND(statek6[[#This Row],[Z/W]]="Z",statek6[[#This Row],[towar]]="T5"),statek6[[#This Row],[ile ton]],0)</f>
        <v>0</v>
      </c>
      <c r="J63">
        <f>IF(AND(statek6[[#This Row],[Z/W]]="W",statek6[[#This Row],[towar]]="T5"),statek6[[#This Row],[ile ton]],0)</f>
        <v>0</v>
      </c>
    </row>
    <row r="64" spans="1:10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  <c r="G64">
        <f>MONTH(statek6[[#This Row],[data]])</f>
        <v>11</v>
      </c>
      <c r="H64" t="str">
        <f>_xlfn.CONCAT(YEAR(statek6[[#This Row],[data]]),"-",IF(statek6[[#This Row],[Kolumna1]]&lt;10,_xlfn.CONCAT("0",statek6[[#This Row],[Kolumna1]]),statek6[[#This Row],[Kolumna1]]))</f>
        <v>2016-11</v>
      </c>
      <c r="I64">
        <f>IF(AND(statek6[[#This Row],[Z/W]]="Z",statek6[[#This Row],[towar]]="T5"),statek6[[#This Row],[ile ton]],0)</f>
        <v>0</v>
      </c>
      <c r="J64">
        <f>IF(AND(statek6[[#This Row],[Z/W]]="W",statek6[[#This Row],[towar]]="T5"),statek6[[#This Row],[ile ton]],0)</f>
        <v>0</v>
      </c>
    </row>
    <row r="65" spans="1:10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  <c r="G65">
        <f>MONTH(statek6[[#This Row],[data]])</f>
        <v>11</v>
      </c>
      <c r="H65" t="str">
        <f>_xlfn.CONCAT(YEAR(statek6[[#This Row],[data]]),"-",IF(statek6[[#This Row],[Kolumna1]]&lt;10,_xlfn.CONCAT("0",statek6[[#This Row],[Kolumna1]]),statek6[[#This Row],[Kolumna1]]))</f>
        <v>2016-11</v>
      </c>
      <c r="I65">
        <f>IF(AND(statek6[[#This Row],[Z/W]]="Z",statek6[[#This Row],[towar]]="T5"),statek6[[#This Row],[ile ton]],0)</f>
        <v>0</v>
      </c>
      <c r="J65">
        <f>IF(AND(statek6[[#This Row],[Z/W]]="W",statek6[[#This Row],[towar]]="T5"),statek6[[#This Row],[ile ton]],0)</f>
        <v>0</v>
      </c>
    </row>
    <row r="66" spans="1:10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  <c r="G66">
        <f>MONTH(statek6[[#This Row],[data]])</f>
        <v>12</v>
      </c>
      <c r="H66" t="str">
        <f>_xlfn.CONCAT(YEAR(statek6[[#This Row],[data]]),"-",IF(statek6[[#This Row],[Kolumna1]]&lt;10,_xlfn.CONCAT("0",statek6[[#This Row],[Kolumna1]]),statek6[[#This Row],[Kolumna1]]))</f>
        <v>2016-12</v>
      </c>
      <c r="I66">
        <f>IF(AND(statek6[[#This Row],[Z/W]]="Z",statek6[[#This Row],[towar]]="T5"),statek6[[#This Row],[ile ton]],0)</f>
        <v>0</v>
      </c>
      <c r="J66">
        <f>IF(AND(statek6[[#This Row],[Z/W]]="W",statek6[[#This Row],[towar]]="T5"),statek6[[#This Row],[ile ton]],0)</f>
        <v>0</v>
      </c>
    </row>
    <row r="67" spans="1:10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  <c r="G67">
        <f>MONTH(statek6[[#This Row],[data]])</f>
        <v>12</v>
      </c>
      <c r="H67" t="str">
        <f>_xlfn.CONCAT(YEAR(statek6[[#This Row],[data]]),"-",IF(statek6[[#This Row],[Kolumna1]]&lt;10,_xlfn.CONCAT("0",statek6[[#This Row],[Kolumna1]]),statek6[[#This Row],[Kolumna1]]))</f>
        <v>2016-12</v>
      </c>
      <c r="I67">
        <f>IF(AND(statek6[[#This Row],[Z/W]]="Z",statek6[[#This Row],[towar]]="T5"),statek6[[#This Row],[ile ton]],0)</f>
        <v>0</v>
      </c>
      <c r="J67">
        <f>IF(AND(statek6[[#This Row],[Z/W]]="W",statek6[[#This Row],[towar]]="T5"),statek6[[#This Row],[ile ton]],0)</f>
        <v>0</v>
      </c>
    </row>
    <row r="68" spans="1:10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  <c r="G68">
        <f>MONTH(statek6[[#This Row],[data]])</f>
        <v>12</v>
      </c>
      <c r="H68" t="str">
        <f>_xlfn.CONCAT(YEAR(statek6[[#This Row],[data]]),"-",IF(statek6[[#This Row],[Kolumna1]]&lt;10,_xlfn.CONCAT("0",statek6[[#This Row],[Kolumna1]]),statek6[[#This Row],[Kolumna1]]))</f>
        <v>2016-12</v>
      </c>
      <c r="I68">
        <f>IF(AND(statek6[[#This Row],[Z/W]]="Z",statek6[[#This Row],[towar]]="T5"),statek6[[#This Row],[ile ton]],0)</f>
        <v>0</v>
      </c>
      <c r="J68">
        <f>IF(AND(statek6[[#This Row],[Z/W]]="W",statek6[[#This Row],[towar]]="T5"),statek6[[#This Row],[ile ton]],0)</f>
        <v>0</v>
      </c>
    </row>
    <row r="69" spans="1:10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  <c r="G69">
        <f>MONTH(statek6[[#This Row],[data]])</f>
        <v>1</v>
      </c>
      <c r="H69" t="str">
        <f>_xlfn.CONCAT(YEAR(statek6[[#This Row],[data]]),"-",IF(statek6[[#This Row],[Kolumna1]]&lt;10,_xlfn.CONCAT("0",statek6[[#This Row],[Kolumna1]]),statek6[[#This Row],[Kolumna1]]))</f>
        <v>2017-01</v>
      </c>
      <c r="I69">
        <f>IF(AND(statek6[[#This Row],[Z/W]]="Z",statek6[[#This Row],[towar]]="T5"),statek6[[#This Row],[ile ton]],0)</f>
        <v>0</v>
      </c>
      <c r="J69">
        <f>IF(AND(statek6[[#This Row],[Z/W]]="W",statek6[[#This Row],[towar]]="T5"),statek6[[#This Row],[ile ton]],0)</f>
        <v>0</v>
      </c>
    </row>
    <row r="70" spans="1:10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  <c r="G70">
        <f>MONTH(statek6[[#This Row],[data]])</f>
        <v>1</v>
      </c>
      <c r="H70" t="str">
        <f>_xlfn.CONCAT(YEAR(statek6[[#This Row],[data]]),"-",IF(statek6[[#This Row],[Kolumna1]]&lt;10,_xlfn.CONCAT("0",statek6[[#This Row],[Kolumna1]]),statek6[[#This Row],[Kolumna1]]))</f>
        <v>2017-01</v>
      </c>
      <c r="I70">
        <f>IF(AND(statek6[[#This Row],[Z/W]]="Z",statek6[[#This Row],[towar]]="T5"),statek6[[#This Row],[ile ton]],0)</f>
        <v>0</v>
      </c>
      <c r="J70">
        <f>IF(AND(statek6[[#This Row],[Z/W]]="W",statek6[[#This Row],[towar]]="T5"),statek6[[#This Row],[ile ton]],0)</f>
        <v>0</v>
      </c>
    </row>
    <row r="71" spans="1:10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  <c r="G71">
        <f>MONTH(statek6[[#This Row],[data]])</f>
        <v>1</v>
      </c>
      <c r="H71" t="str">
        <f>_xlfn.CONCAT(YEAR(statek6[[#This Row],[data]]),"-",IF(statek6[[#This Row],[Kolumna1]]&lt;10,_xlfn.CONCAT("0",statek6[[#This Row],[Kolumna1]]),statek6[[#This Row],[Kolumna1]]))</f>
        <v>2017-01</v>
      </c>
      <c r="I71">
        <f>IF(AND(statek6[[#This Row],[Z/W]]="Z",statek6[[#This Row],[towar]]="T5"),statek6[[#This Row],[ile ton]],0)</f>
        <v>0</v>
      </c>
      <c r="J71">
        <f>IF(AND(statek6[[#This Row],[Z/W]]="W",statek6[[#This Row],[towar]]="T5"),statek6[[#This Row],[ile ton]],0)</f>
        <v>0</v>
      </c>
    </row>
    <row r="72" spans="1:10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  <c r="G72">
        <f>MONTH(statek6[[#This Row],[data]])</f>
        <v>1</v>
      </c>
      <c r="H72" t="str">
        <f>_xlfn.CONCAT(YEAR(statek6[[#This Row],[data]]),"-",IF(statek6[[#This Row],[Kolumna1]]&lt;10,_xlfn.CONCAT("0",statek6[[#This Row],[Kolumna1]]),statek6[[#This Row],[Kolumna1]]))</f>
        <v>2017-01</v>
      </c>
      <c r="I72">
        <f>IF(AND(statek6[[#This Row],[Z/W]]="Z",statek6[[#This Row],[towar]]="T5"),statek6[[#This Row],[ile ton]],0)</f>
        <v>0</v>
      </c>
      <c r="J72">
        <f>IF(AND(statek6[[#This Row],[Z/W]]="W",statek6[[#This Row],[towar]]="T5"),statek6[[#This Row],[ile ton]],0)</f>
        <v>0</v>
      </c>
    </row>
    <row r="73" spans="1:10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  <c r="G73">
        <f>MONTH(statek6[[#This Row],[data]])</f>
        <v>1</v>
      </c>
      <c r="H73" t="str">
        <f>_xlfn.CONCAT(YEAR(statek6[[#This Row],[data]]),"-",IF(statek6[[#This Row],[Kolumna1]]&lt;10,_xlfn.CONCAT("0",statek6[[#This Row],[Kolumna1]]),statek6[[#This Row],[Kolumna1]]))</f>
        <v>2017-01</v>
      </c>
      <c r="I73">
        <f>IF(AND(statek6[[#This Row],[Z/W]]="Z",statek6[[#This Row],[towar]]="T5"),statek6[[#This Row],[ile ton]],0)</f>
        <v>39</v>
      </c>
      <c r="J73">
        <f>IF(AND(statek6[[#This Row],[Z/W]]="W",statek6[[#This Row],[towar]]="T5"),statek6[[#This Row],[ile ton]],0)</f>
        <v>0</v>
      </c>
    </row>
    <row r="74" spans="1:10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  <c r="G74">
        <f>MONTH(statek6[[#This Row],[data]])</f>
        <v>1</v>
      </c>
      <c r="H74" t="str">
        <f>_xlfn.CONCAT(YEAR(statek6[[#This Row],[data]]),"-",IF(statek6[[#This Row],[Kolumna1]]&lt;10,_xlfn.CONCAT("0",statek6[[#This Row],[Kolumna1]]),statek6[[#This Row],[Kolumna1]]))</f>
        <v>2017-01</v>
      </c>
      <c r="I74">
        <f>IF(AND(statek6[[#This Row],[Z/W]]="Z",statek6[[#This Row],[towar]]="T5"),statek6[[#This Row],[ile ton]],0)</f>
        <v>0</v>
      </c>
      <c r="J74">
        <f>IF(AND(statek6[[#This Row],[Z/W]]="W",statek6[[#This Row],[towar]]="T5"),statek6[[#This Row],[ile ton]],0)</f>
        <v>112</v>
      </c>
    </row>
    <row r="75" spans="1:10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  <c r="G75">
        <f>MONTH(statek6[[#This Row],[data]])</f>
        <v>1</v>
      </c>
      <c r="H75" t="str">
        <f>_xlfn.CONCAT(YEAR(statek6[[#This Row],[data]]),"-",IF(statek6[[#This Row],[Kolumna1]]&lt;10,_xlfn.CONCAT("0",statek6[[#This Row],[Kolumna1]]),statek6[[#This Row],[Kolumna1]]))</f>
        <v>2017-01</v>
      </c>
      <c r="I75">
        <f>IF(AND(statek6[[#This Row],[Z/W]]="Z",statek6[[#This Row],[towar]]="T5"),statek6[[#This Row],[ile ton]],0)</f>
        <v>0</v>
      </c>
      <c r="J75">
        <f>IF(AND(statek6[[#This Row],[Z/W]]="W",statek6[[#This Row],[towar]]="T5"),statek6[[#This Row],[ile ton]],0)</f>
        <v>0</v>
      </c>
    </row>
    <row r="76" spans="1:10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  <c r="G76">
        <f>MONTH(statek6[[#This Row],[data]])</f>
        <v>1</v>
      </c>
      <c r="H76" t="str">
        <f>_xlfn.CONCAT(YEAR(statek6[[#This Row],[data]]),"-",IF(statek6[[#This Row],[Kolumna1]]&lt;10,_xlfn.CONCAT("0",statek6[[#This Row],[Kolumna1]]),statek6[[#This Row],[Kolumna1]]))</f>
        <v>2017-01</v>
      </c>
      <c r="I76">
        <f>IF(AND(statek6[[#This Row],[Z/W]]="Z",statek6[[#This Row],[towar]]="T5"),statek6[[#This Row],[ile ton]],0)</f>
        <v>0</v>
      </c>
      <c r="J76">
        <f>IF(AND(statek6[[#This Row],[Z/W]]="W",statek6[[#This Row],[towar]]="T5"),statek6[[#This Row],[ile ton]],0)</f>
        <v>0</v>
      </c>
    </row>
    <row r="77" spans="1:10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  <c r="G77">
        <f>MONTH(statek6[[#This Row],[data]])</f>
        <v>2</v>
      </c>
      <c r="H77" t="str">
        <f>_xlfn.CONCAT(YEAR(statek6[[#This Row],[data]]),"-",IF(statek6[[#This Row],[Kolumna1]]&lt;10,_xlfn.CONCAT("0",statek6[[#This Row],[Kolumna1]]),statek6[[#This Row],[Kolumna1]]))</f>
        <v>2017-02</v>
      </c>
      <c r="I77">
        <f>IF(AND(statek6[[#This Row],[Z/W]]="Z",statek6[[#This Row],[towar]]="T5"),statek6[[#This Row],[ile ton]],0)</f>
        <v>0</v>
      </c>
      <c r="J77">
        <f>IF(AND(statek6[[#This Row],[Z/W]]="W",statek6[[#This Row],[towar]]="T5"),statek6[[#This Row],[ile ton]],0)</f>
        <v>0</v>
      </c>
    </row>
    <row r="78" spans="1:10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  <c r="G78">
        <f>MONTH(statek6[[#This Row],[data]])</f>
        <v>2</v>
      </c>
      <c r="H78" t="str">
        <f>_xlfn.CONCAT(YEAR(statek6[[#This Row],[data]]),"-",IF(statek6[[#This Row],[Kolumna1]]&lt;10,_xlfn.CONCAT("0",statek6[[#This Row],[Kolumna1]]),statek6[[#This Row],[Kolumna1]]))</f>
        <v>2017-02</v>
      </c>
      <c r="I78">
        <f>IF(AND(statek6[[#This Row],[Z/W]]="Z",statek6[[#This Row],[towar]]="T5"),statek6[[#This Row],[ile ton]],0)</f>
        <v>0</v>
      </c>
      <c r="J78">
        <f>IF(AND(statek6[[#This Row],[Z/W]]="W",statek6[[#This Row],[towar]]="T5"),statek6[[#This Row],[ile ton]],0)</f>
        <v>0</v>
      </c>
    </row>
    <row r="79" spans="1:10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  <c r="G79">
        <f>MONTH(statek6[[#This Row],[data]])</f>
        <v>2</v>
      </c>
      <c r="H79" t="str">
        <f>_xlfn.CONCAT(YEAR(statek6[[#This Row],[data]]),"-",IF(statek6[[#This Row],[Kolumna1]]&lt;10,_xlfn.CONCAT("0",statek6[[#This Row],[Kolumna1]]),statek6[[#This Row],[Kolumna1]]))</f>
        <v>2017-02</v>
      </c>
      <c r="I79">
        <f>IF(AND(statek6[[#This Row],[Z/W]]="Z",statek6[[#This Row],[towar]]="T5"),statek6[[#This Row],[ile ton]],0)</f>
        <v>0</v>
      </c>
      <c r="J79">
        <f>IF(AND(statek6[[#This Row],[Z/W]]="W",statek6[[#This Row],[towar]]="T5"),statek6[[#This Row],[ile ton]],0)</f>
        <v>1</v>
      </c>
    </row>
    <row r="80" spans="1:10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  <c r="G80">
        <f>MONTH(statek6[[#This Row],[data]])</f>
        <v>2</v>
      </c>
      <c r="H80" t="str">
        <f>_xlfn.CONCAT(YEAR(statek6[[#This Row],[data]]),"-",IF(statek6[[#This Row],[Kolumna1]]&lt;10,_xlfn.CONCAT("0",statek6[[#This Row],[Kolumna1]]),statek6[[#This Row],[Kolumna1]]))</f>
        <v>2017-02</v>
      </c>
      <c r="I80">
        <f>IF(AND(statek6[[#This Row],[Z/W]]="Z",statek6[[#This Row],[towar]]="T5"),statek6[[#This Row],[ile ton]],0)</f>
        <v>0</v>
      </c>
      <c r="J80">
        <f>IF(AND(statek6[[#This Row],[Z/W]]="W",statek6[[#This Row],[towar]]="T5"),statek6[[#This Row],[ile ton]],0)</f>
        <v>0</v>
      </c>
    </row>
    <row r="81" spans="1:10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  <c r="G81">
        <f>MONTH(statek6[[#This Row],[data]])</f>
        <v>2</v>
      </c>
      <c r="H81" t="str">
        <f>_xlfn.CONCAT(YEAR(statek6[[#This Row],[data]]),"-",IF(statek6[[#This Row],[Kolumna1]]&lt;10,_xlfn.CONCAT("0",statek6[[#This Row],[Kolumna1]]),statek6[[#This Row],[Kolumna1]]))</f>
        <v>2017-02</v>
      </c>
      <c r="I81">
        <f>IF(AND(statek6[[#This Row],[Z/W]]="Z",statek6[[#This Row],[towar]]="T5"),statek6[[#This Row],[ile ton]],0)</f>
        <v>0</v>
      </c>
      <c r="J81">
        <f>IF(AND(statek6[[#This Row],[Z/W]]="W",statek6[[#This Row],[towar]]="T5"),statek6[[#This Row],[ile ton]],0)</f>
        <v>0</v>
      </c>
    </row>
    <row r="82" spans="1:10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  <c r="G82">
        <f>MONTH(statek6[[#This Row],[data]])</f>
        <v>2</v>
      </c>
      <c r="H82" t="str">
        <f>_xlfn.CONCAT(YEAR(statek6[[#This Row],[data]]),"-",IF(statek6[[#This Row],[Kolumna1]]&lt;10,_xlfn.CONCAT("0",statek6[[#This Row],[Kolumna1]]),statek6[[#This Row],[Kolumna1]]))</f>
        <v>2017-02</v>
      </c>
      <c r="I82">
        <f>IF(AND(statek6[[#This Row],[Z/W]]="Z",statek6[[#This Row],[towar]]="T5"),statek6[[#This Row],[ile ton]],0)</f>
        <v>0</v>
      </c>
      <c r="J82">
        <f>IF(AND(statek6[[#This Row],[Z/W]]="W",statek6[[#This Row],[towar]]="T5"),statek6[[#This Row],[ile ton]],0)</f>
        <v>0</v>
      </c>
    </row>
    <row r="83" spans="1:10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  <c r="G83">
        <f>MONTH(statek6[[#This Row],[data]])</f>
        <v>3</v>
      </c>
      <c r="H83" t="str">
        <f>_xlfn.CONCAT(YEAR(statek6[[#This Row],[data]]),"-",IF(statek6[[#This Row],[Kolumna1]]&lt;10,_xlfn.CONCAT("0",statek6[[#This Row],[Kolumna1]]),statek6[[#This Row],[Kolumna1]]))</f>
        <v>2017-03</v>
      </c>
      <c r="I83">
        <f>IF(AND(statek6[[#This Row],[Z/W]]="Z",statek6[[#This Row],[towar]]="T5"),statek6[[#This Row],[ile ton]],0)</f>
        <v>0</v>
      </c>
      <c r="J83">
        <f>IF(AND(statek6[[#This Row],[Z/W]]="W",statek6[[#This Row],[towar]]="T5"),statek6[[#This Row],[ile ton]],0)</f>
        <v>0</v>
      </c>
    </row>
    <row r="84" spans="1:10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  <c r="G84">
        <f>MONTH(statek6[[#This Row],[data]])</f>
        <v>3</v>
      </c>
      <c r="H84" t="str">
        <f>_xlfn.CONCAT(YEAR(statek6[[#This Row],[data]]),"-",IF(statek6[[#This Row],[Kolumna1]]&lt;10,_xlfn.CONCAT("0",statek6[[#This Row],[Kolumna1]]),statek6[[#This Row],[Kolumna1]]))</f>
        <v>2017-03</v>
      </c>
      <c r="I84">
        <f>IF(AND(statek6[[#This Row],[Z/W]]="Z",statek6[[#This Row],[towar]]="T5"),statek6[[#This Row],[ile ton]],0)</f>
        <v>35</v>
      </c>
      <c r="J84">
        <f>IF(AND(statek6[[#This Row],[Z/W]]="W",statek6[[#This Row],[towar]]="T5"),statek6[[#This Row],[ile ton]],0)</f>
        <v>0</v>
      </c>
    </row>
    <row r="85" spans="1:10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  <c r="G85">
        <f>MONTH(statek6[[#This Row],[data]])</f>
        <v>3</v>
      </c>
      <c r="H85" t="str">
        <f>_xlfn.CONCAT(YEAR(statek6[[#This Row],[data]]),"-",IF(statek6[[#This Row],[Kolumna1]]&lt;10,_xlfn.CONCAT("0",statek6[[#This Row],[Kolumna1]]),statek6[[#This Row],[Kolumna1]]))</f>
        <v>2017-03</v>
      </c>
      <c r="I85">
        <f>IF(AND(statek6[[#This Row],[Z/W]]="Z",statek6[[#This Row],[towar]]="T5"),statek6[[#This Row],[ile ton]],0)</f>
        <v>0</v>
      </c>
      <c r="J85">
        <f>IF(AND(statek6[[#This Row],[Z/W]]="W",statek6[[#This Row],[towar]]="T5"),statek6[[#This Row],[ile ton]],0)</f>
        <v>0</v>
      </c>
    </row>
    <row r="86" spans="1:10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  <c r="G86">
        <f>MONTH(statek6[[#This Row],[data]])</f>
        <v>4</v>
      </c>
      <c r="H86" t="str">
        <f>_xlfn.CONCAT(YEAR(statek6[[#This Row],[data]]),"-",IF(statek6[[#This Row],[Kolumna1]]&lt;10,_xlfn.CONCAT("0",statek6[[#This Row],[Kolumna1]]),statek6[[#This Row],[Kolumna1]]))</f>
        <v>2017-04</v>
      </c>
      <c r="I86">
        <f>IF(AND(statek6[[#This Row],[Z/W]]="Z",statek6[[#This Row],[towar]]="T5"),statek6[[#This Row],[ile ton]],0)</f>
        <v>0</v>
      </c>
      <c r="J86">
        <f>IF(AND(statek6[[#This Row],[Z/W]]="W",statek6[[#This Row],[towar]]="T5"),statek6[[#This Row],[ile ton]],0)</f>
        <v>0</v>
      </c>
    </row>
    <row r="87" spans="1:10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  <c r="G87">
        <f>MONTH(statek6[[#This Row],[data]])</f>
        <v>4</v>
      </c>
      <c r="H87" t="str">
        <f>_xlfn.CONCAT(YEAR(statek6[[#This Row],[data]]),"-",IF(statek6[[#This Row],[Kolumna1]]&lt;10,_xlfn.CONCAT("0",statek6[[#This Row],[Kolumna1]]),statek6[[#This Row],[Kolumna1]]))</f>
        <v>2017-04</v>
      </c>
      <c r="I87">
        <f>IF(AND(statek6[[#This Row],[Z/W]]="Z",statek6[[#This Row],[towar]]="T5"),statek6[[#This Row],[ile ton]],0)</f>
        <v>0</v>
      </c>
      <c r="J87">
        <f>IF(AND(statek6[[#This Row],[Z/W]]="W",statek6[[#This Row],[towar]]="T5"),statek6[[#This Row],[ile ton]],0)</f>
        <v>0</v>
      </c>
    </row>
    <row r="88" spans="1:10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  <c r="G88">
        <f>MONTH(statek6[[#This Row],[data]])</f>
        <v>4</v>
      </c>
      <c r="H88" t="str">
        <f>_xlfn.CONCAT(YEAR(statek6[[#This Row],[data]]),"-",IF(statek6[[#This Row],[Kolumna1]]&lt;10,_xlfn.CONCAT("0",statek6[[#This Row],[Kolumna1]]),statek6[[#This Row],[Kolumna1]]))</f>
        <v>2017-04</v>
      </c>
      <c r="I88">
        <f>IF(AND(statek6[[#This Row],[Z/W]]="Z",statek6[[#This Row],[towar]]="T5"),statek6[[#This Row],[ile ton]],0)</f>
        <v>0</v>
      </c>
      <c r="J88">
        <f>IF(AND(statek6[[#This Row],[Z/W]]="W",statek6[[#This Row],[towar]]="T5"),statek6[[#This Row],[ile ton]],0)</f>
        <v>0</v>
      </c>
    </row>
    <row r="89" spans="1:10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  <c r="G89">
        <f>MONTH(statek6[[#This Row],[data]])</f>
        <v>4</v>
      </c>
      <c r="H89" t="str">
        <f>_xlfn.CONCAT(YEAR(statek6[[#This Row],[data]]),"-",IF(statek6[[#This Row],[Kolumna1]]&lt;10,_xlfn.CONCAT("0",statek6[[#This Row],[Kolumna1]]),statek6[[#This Row],[Kolumna1]]))</f>
        <v>2017-04</v>
      </c>
      <c r="I89">
        <f>IF(AND(statek6[[#This Row],[Z/W]]="Z",statek6[[#This Row],[towar]]="T5"),statek6[[#This Row],[ile ton]],0)</f>
        <v>0</v>
      </c>
      <c r="J89">
        <f>IF(AND(statek6[[#This Row],[Z/W]]="W",statek6[[#This Row],[towar]]="T5"),statek6[[#This Row],[ile ton]],0)</f>
        <v>0</v>
      </c>
    </row>
    <row r="90" spans="1:10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  <c r="G90">
        <f>MONTH(statek6[[#This Row],[data]])</f>
        <v>4</v>
      </c>
      <c r="H90" t="str">
        <f>_xlfn.CONCAT(YEAR(statek6[[#This Row],[data]]),"-",IF(statek6[[#This Row],[Kolumna1]]&lt;10,_xlfn.CONCAT("0",statek6[[#This Row],[Kolumna1]]),statek6[[#This Row],[Kolumna1]]))</f>
        <v>2017-04</v>
      </c>
      <c r="I90">
        <f>IF(AND(statek6[[#This Row],[Z/W]]="Z",statek6[[#This Row],[towar]]="T5"),statek6[[#This Row],[ile ton]],0)</f>
        <v>1</v>
      </c>
      <c r="J90">
        <f>IF(AND(statek6[[#This Row],[Z/W]]="W",statek6[[#This Row],[towar]]="T5"),statek6[[#This Row],[ile ton]],0)</f>
        <v>0</v>
      </c>
    </row>
    <row r="91" spans="1:10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  <c r="G91">
        <f>MONTH(statek6[[#This Row],[data]])</f>
        <v>5</v>
      </c>
      <c r="H91" t="str">
        <f>_xlfn.CONCAT(YEAR(statek6[[#This Row],[data]]),"-",IF(statek6[[#This Row],[Kolumna1]]&lt;10,_xlfn.CONCAT("0",statek6[[#This Row],[Kolumna1]]),statek6[[#This Row],[Kolumna1]]))</f>
        <v>2017-05</v>
      </c>
      <c r="I91">
        <f>IF(AND(statek6[[#This Row],[Z/W]]="Z",statek6[[#This Row],[towar]]="T5"),statek6[[#This Row],[ile ton]],0)</f>
        <v>0</v>
      </c>
      <c r="J91">
        <f>IF(AND(statek6[[#This Row],[Z/W]]="W",statek6[[#This Row],[towar]]="T5"),statek6[[#This Row],[ile ton]],0)</f>
        <v>0</v>
      </c>
    </row>
    <row r="92" spans="1:10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  <c r="G92">
        <f>MONTH(statek6[[#This Row],[data]])</f>
        <v>5</v>
      </c>
      <c r="H92" t="str">
        <f>_xlfn.CONCAT(YEAR(statek6[[#This Row],[data]]),"-",IF(statek6[[#This Row],[Kolumna1]]&lt;10,_xlfn.CONCAT("0",statek6[[#This Row],[Kolumna1]]),statek6[[#This Row],[Kolumna1]]))</f>
        <v>2017-05</v>
      </c>
      <c r="I92">
        <f>IF(AND(statek6[[#This Row],[Z/W]]="Z",statek6[[#This Row],[towar]]="T5"),statek6[[#This Row],[ile ton]],0)</f>
        <v>0</v>
      </c>
      <c r="J92">
        <f>IF(AND(statek6[[#This Row],[Z/W]]="W",statek6[[#This Row],[towar]]="T5"),statek6[[#This Row],[ile ton]],0)</f>
        <v>0</v>
      </c>
    </row>
    <row r="93" spans="1:10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  <c r="G93">
        <f>MONTH(statek6[[#This Row],[data]])</f>
        <v>5</v>
      </c>
      <c r="H93" t="str">
        <f>_xlfn.CONCAT(YEAR(statek6[[#This Row],[data]]),"-",IF(statek6[[#This Row],[Kolumna1]]&lt;10,_xlfn.CONCAT("0",statek6[[#This Row],[Kolumna1]]),statek6[[#This Row],[Kolumna1]]))</f>
        <v>2017-05</v>
      </c>
      <c r="I93">
        <f>IF(AND(statek6[[#This Row],[Z/W]]="Z",statek6[[#This Row],[towar]]="T5"),statek6[[#This Row],[ile ton]],0)</f>
        <v>33</v>
      </c>
      <c r="J93">
        <f>IF(AND(statek6[[#This Row],[Z/W]]="W",statek6[[#This Row],[towar]]="T5"),statek6[[#This Row],[ile ton]],0)</f>
        <v>0</v>
      </c>
    </row>
    <row r="94" spans="1:10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  <c r="G94">
        <f>MONTH(statek6[[#This Row],[data]])</f>
        <v>5</v>
      </c>
      <c r="H94" t="str">
        <f>_xlfn.CONCAT(YEAR(statek6[[#This Row],[data]]),"-",IF(statek6[[#This Row],[Kolumna1]]&lt;10,_xlfn.CONCAT("0",statek6[[#This Row],[Kolumna1]]),statek6[[#This Row],[Kolumna1]]))</f>
        <v>2017-05</v>
      </c>
      <c r="I94">
        <f>IF(AND(statek6[[#This Row],[Z/W]]="Z",statek6[[#This Row],[towar]]="T5"),statek6[[#This Row],[ile ton]],0)</f>
        <v>0</v>
      </c>
      <c r="J94">
        <f>IF(AND(statek6[[#This Row],[Z/W]]="W",statek6[[#This Row],[towar]]="T5"),statek6[[#This Row],[ile ton]],0)</f>
        <v>0</v>
      </c>
    </row>
    <row r="95" spans="1:10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  <c r="G95">
        <f>MONTH(statek6[[#This Row],[data]])</f>
        <v>5</v>
      </c>
      <c r="H95" t="str">
        <f>_xlfn.CONCAT(YEAR(statek6[[#This Row],[data]]),"-",IF(statek6[[#This Row],[Kolumna1]]&lt;10,_xlfn.CONCAT("0",statek6[[#This Row],[Kolumna1]]),statek6[[#This Row],[Kolumna1]]))</f>
        <v>2017-05</v>
      </c>
      <c r="I95">
        <f>IF(AND(statek6[[#This Row],[Z/W]]="Z",statek6[[#This Row],[towar]]="T5"),statek6[[#This Row],[ile ton]],0)</f>
        <v>0</v>
      </c>
      <c r="J95">
        <f>IF(AND(statek6[[#This Row],[Z/W]]="W",statek6[[#This Row],[towar]]="T5"),statek6[[#This Row],[ile ton]],0)</f>
        <v>0</v>
      </c>
    </row>
    <row r="96" spans="1:10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  <c r="G96">
        <f>MONTH(statek6[[#This Row],[data]])</f>
        <v>5</v>
      </c>
      <c r="H96" t="str">
        <f>_xlfn.CONCAT(YEAR(statek6[[#This Row],[data]]),"-",IF(statek6[[#This Row],[Kolumna1]]&lt;10,_xlfn.CONCAT("0",statek6[[#This Row],[Kolumna1]]),statek6[[#This Row],[Kolumna1]]))</f>
        <v>2017-05</v>
      </c>
      <c r="I96">
        <f>IF(AND(statek6[[#This Row],[Z/W]]="Z",statek6[[#This Row],[towar]]="T5"),statek6[[#This Row],[ile ton]],0)</f>
        <v>0</v>
      </c>
      <c r="J96">
        <f>IF(AND(statek6[[#This Row],[Z/W]]="W",statek6[[#This Row],[towar]]="T5"),statek6[[#This Row],[ile ton]],0)</f>
        <v>0</v>
      </c>
    </row>
    <row r="97" spans="1:10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  <c r="G97">
        <f>MONTH(statek6[[#This Row],[data]])</f>
        <v>5</v>
      </c>
      <c r="H97" t="str">
        <f>_xlfn.CONCAT(YEAR(statek6[[#This Row],[data]]),"-",IF(statek6[[#This Row],[Kolumna1]]&lt;10,_xlfn.CONCAT("0",statek6[[#This Row],[Kolumna1]]),statek6[[#This Row],[Kolumna1]]))</f>
        <v>2017-05</v>
      </c>
      <c r="I97">
        <f>IF(AND(statek6[[#This Row],[Z/W]]="Z",statek6[[#This Row],[towar]]="T5"),statek6[[#This Row],[ile ton]],0)</f>
        <v>0</v>
      </c>
      <c r="J97">
        <f>IF(AND(statek6[[#This Row],[Z/W]]="W",statek6[[#This Row],[towar]]="T5"),statek6[[#This Row],[ile ton]],0)</f>
        <v>68</v>
      </c>
    </row>
    <row r="98" spans="1:10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  <c r="G98">
        <f>MONTH(statek6[[#This Row],[data]])</f>
        <v>5</v>
      </c>
      <c r="H98" t="str">
        <f>_xlfn.CONCAT(YEAR(statek6[[#This Row],[data]]),"-",IF(statek6[[#This Row],[Kolumna1]]&lt;10,_xlfn.CONCAT("0",statek6[[#This Row],[Kolumna1]]),statek6[[#This Row],[Kolumna1]]))</f>
        <v>2017-05</v>
      </c>
      <c r="I98">
        <f>IF(AND(statek6[[#This Row],[Z/W]]="Z",statek6[[#This Row],[towar]]="T5"),statek6[[#This Row],[ile ton]],0)</f>
        <v>0</v>
      </c>
      <c r="J98">
        <f>IF(AND(statek6[[#This Row],[Z/W]]="W",statek6[[#This Row],[towar]]="T5"),statek6[[#This Row],[ile ton]],0)</f>
        <v>0</v>
      </c>
    </row>
    <row r="99" spans="1:10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  <c r="G99">
        <f>MONTH(statek6[[#This Row],[data]])</f>
        <v>5</v>
      </c>
      <c r="H99" t="str">
        <f>_xlfn.CONCAT(YEAR(statek6[[#This Row],[data]]),"-",IF(statek6[[#This Row],[Kolumna1]]&lt;10,_xlfn.CONCAT("0",statek6[[#This Row],[Kolumna1]]),statek6[[#This Row],[Kolumna1]]))</f>
        <v>2017-05</v>
      </c>
      <c r="I99">
        <f>IF(AND(statek6[[#This Row],[Z/W]]="Z",statek6[[#This Row],[towar]]="T5"),statek6[[#This Row],[ile ton]],0)</f>
        <v>0</v>
      </c>
      <c r="J99">
        <f>IF(AND(statek6[[#This Row],[Z/W]]="W",statek6[[#This Row],[towar]]="T5"),statek6[[#This Row],[ile ton]],0)</f>
        <v>0</v>
      </c>
    </row>
    <row r="100" spans="1:10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  <c r="G100">
        <f>MONTH(statek6[[#This Row],[data]])</f>
        <v>5</v>
      </c>
      <c r="H100" t="str">
        <f>_xlfn.CONCAT(YEAR(statek6[[#This Row],[data]]),"-",IF(statek6[[#This Row],[Kolumna1]]&lt;10,_xlfn.CONCAT("0",statek6[[#This Row],[Kolumna1]]),statek6[[#This Row],[Kolumna1]]))</f>
        <v>2017-05</v>
      </c>
      <c r="I100">
        <f>IF(AND(statek6[[#This Row],[Z/W]]="Z",statek6[[#This Row],[towar]]="T5"),statek6[[#This Row],[ile ton]],0)</f>
        <v>0</v>
      </c>
      <c r="J100">
        <f>IF(AND(statek6[[#This Row],[Z/W]]="W",statek6[[#This Row],[towar]]="T5"),statek6[[#This Row],[ile ton]],0)</f>
        <v>0</v>
      </c>
    </row>
    <row r="101" spans="1:10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  <c r="G101">
        <f>MONTH(statek6[[#This Row],[data]])</f>
        <v>6</v>
      </c>
      <c r="H101" t="str">
        <f>_xlfn.CONCAT(YEAR(statek6[[#This Row],[data]]),"-",IF(statek6[[#This Row],[Kolumna1]]&lt;10,_xlfn.CONCAT("0",statek6[[#This Row],[Kolumna1]]),statek6[[#This Row],[Kolumna1]]))</f>
        <v>2017-06</v>
      </c>
      <c r="I101">
        <f>IF(AND(statek6[[#This Row],[Z/W]]="Z",statek6[[#This Row],[towar]]="T5"),statek6[[#This Row],[ile ton]],0)</f>
        <v>0</v>
      </c>
      <c r="J101">
        <f>IF(AND(statek6[[#This Row],[Z/W]]="W",statek6[[#This Row],[towar]]="T5"),statek6[[#This Row],[ile ton]],0)</f>
        <v>0</v>
      </c>
    </row>
    <row r="102" spans="1:10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  <c r="G102">
        <f>MONTH(statek6[[#This Row],[data]])</f>
        <v>6</v>
      </c>
      <c r="H102" t="str">
        <f>_xlfn.CONCAT(YEAR(statek6[[#This Row],[data]]),"-",IF(statek6[[#This Row],[Kolumna1]]&lt;10,_xlfn.CONCAT("0",statek6[[#This Row],[Kolumna1]]),statek6[[#This Row],[Kolumna1]]))</f>
        <v>2017-06</v>
      </c>
      <c r="I102">
        <f>IF(AND(statek6[[#This Row],[Z/W]]="Z",statek6[[#This Row],[towar]]="T5"),statek6[[#This Row],[ile ton]],0)</f>
        <v>0</v>
      </c>
      <c r="J102">
        <f>IF(AND(statek6[[#This Row],[Z/W]]="W",statek6[[#This Row],[towar]]="T5"),statek6[[#This Row],[ile ton]],0)</f>
        <v>0</v>
      </c>
    </row>
    <row r="103" spans="1:10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  <c r="G103">
        <f>MONTH(statek6[[#This Row],[data]])</f>
        <v>6</v>
      </c>
      <c r="H103" t="str">
        <f>_xlfn.CONCAT(YEAR(statek6[[#This Row],[data]]),"-",IF(statek6[[#This Row],[Kolumna1]]&lt;10,_xlfn.CONCAT("0",statek6[[#This Row],[Kolumna1]]),statek6[[#This Row],[Kolumna1]]))</f>
        <v>2017-06</v>
      </c>
      <c r="I103">
        <f>IF(AND(statek6[[#This Row],[Z/W]]="Z",statek6[[#This Row],[towar]]="T5"),statek6[[#This Row],[ile ton]],0)</f>
        <v>0</v>
      </c>
      <c r="J103">
        <f>IF(AND(statek6[[#This Row],[Z/W]]="W",statek6[[#This Row],[towar]]="T5"),statek6[[#This Row],[ile ton]],0)</f>
        <v>0</v>
      </c>
    </row>
    <row r="104" spans="1:10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  <c r="G104">
        <f>MONTH(statek6[[#This Row],[data]])</f>
        <v>6</v>
      </c>
      <c r="H104" t="str">
        <f>_xlfn.CONCAT(YEAR(statek6[[#This Row],[data]]),"-",IF(statek6[[#This Row],[Kolumna1]]&lt;10,_xlfn.CONCAT("0",statek6[[#This Row],[Kolumna1]]),statek6[[#This Row],[Kolumna1]]))</f>
        <v>2017-06</v>
      </c>
      <c r="I104">
        <f>IF(AND(statek6[[#This Row],[Z/W]]="Z",statek6[[#This Row],[towar]]="T5"),statek6[[#This Row],[ile ton]],0)</f>
        <v>8</v>
      </c>
      <c r="J104">
        <f>IF(AND(statek6[[#This Row],[Z/W]]="W",statek6[[#This Row],[towar]]="T5"),statek6[[#This Row],[ile ton]],0)</f>
        <v>0</v>
      </c>
    </row>
    <row r="105" spans="1:10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  <c r="G105">
        <f>MONTH(statek6[[#This Row],[data]])</f>
        <v>6</v>
      </c>
      <c r="H105" t="str">
        <f>_xlfn.CONCAT(YEAR(statek6[[#This Row],[data]]),"-",IF(statek6[[#This Row],[Kolumna1]]&lt;10,_xlfn.CONCAT("0",statek6[[#This Row],[Kolumna1]]),statek6[[#This Row],[Kolumna1]]))</f>
        <v>2017-06</v>
      </c>
      <c r="I105">
        <f>IF(AND(statek6[[#This Row],[Z/W]]="Z",statek6[[#This Row],[towar]]="T5"),statek6[[#This Row],[ile ton]],0)</f>
        <v>0</v>
      </c>
      <c r="J105">
        <f>IF(AND(statek6[[#This Row],[Z/W]]="W",statek6[[#This Row],[towar]]="T5"),statek6[[#This Row],[ile ton]],0)</f>
        <v>0</v>
      </c>
    </row>
    <row r="106" spans="1:10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  <c r="G106">
        <f>MONTH(statek6[[#This Row],[data]])</f>
        <v>7</v>
      </c>
      <c r="H106" t="str">
        <f>_xlfn.CONCAT(YEAR(statek6[[#This Row],[data]]),"-",IF(statek6[[#This Row],[Kolumna1]]&lt;10,_xlfn.CONCAT("0",statek6[[#This Row],[Kolumna1]]),statek6[[#This Row],[Kolumna1]]))</f>
        <v>2017-07</v>
      </c>
      <c r="I106">
        <f>IF(AND(statek6[[#This Row],[Z/W]]="Z",statek6[[#This Row],[towar]]="T5"),statek6[[#This Row],[ile ton]],0)</f>
        <v>0</v>
      </c>
      <c r="J106">
        <f>IF(AND(statek6[[#This Row],[Z/W]]="W",statek6[[#This Row],[towar]]="T5"),statek6[[#This Row],[ile ton]],0)</f>
        <v>0</v>
      </c>
    </row>
    <row r="107" spans="1:10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  <c r="G107">
        <f>MONTH(statek6[[#This Row],[data]])</f>
        <v>7</v>
      </c>
      <c r="H107" t="str">
        <f>_xlfn.CONCAT(YEAR(statek6[[#This Row],[data]]),"-",IF(statek6[[#This Row],[Kolumna1]]&lt;10,_xlfn.CONCAT("0",statek6[[#This Row],[Kolumna1]]),statek6[[#This Row],[Kolumna1]]))</f>
        <v>2017-07</v>
      </c>
      <c r="I107">
        <f>IF(AND(statek6[[#This Row],[Z/W]]="Z",statek6[[#This Row],[towar]]="T5"),statek6[[#This Row],[ile ton]],0)</f>
        <v>0</v>
      </c>
      <c r="J107">
        <f>IF(AND(statek6[[#This Row],[Z/W]]="W",statek6[[#This Row],[towar]]="T5"),statek6[[#This Row],[ile ton]],0)</f>
        <v>0</v>
      </c>
    </row>
    <row r="108" spans="1:10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  <c r="G108">
        <f>MONTH(statek6[[#This Row],[data]])</f>
        <v>7</v>
      </c>
      <c r="H108" t="str">
        <f>_xlfn.CONCAT(YEAR(statek6[[#This Row],[data]]),"-",IF(statek6[[#This Row],[Kolumna1]]&lt;10,_xlfn.CONCAT("0",statek6[[#This Row],[Kolumna1]]),statek6[[#This Row],[Kolumna1]]))</f>
        <v>2017-07</v>
      </c>
      <c r="I108">
        <f>IF(AND(statek6[[#This Row],[Z/W]]="Z",statek6[[#This Row],[towar]]="T5"),statek6[[#This Row],[ile ton]],0)</f>
        <v>0</v>
      </c>
      <c r="J108">
        <f>IF(AND(statek6[[#This Row],[Z/W]]="W",statek6[[#This Row],[towar]]="T5"),statek6[[#This Row],[ile ton]],0)</f>
        <v>0</v>
      </c>
    </row>
    <row r="109" spans="1:10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  <c r="G109">
        <f>MONTH(statek6[[#This Row],[data]])</f>
        <v>7</v>
      </c>
      <c r="H109" t="str">
        <f>_xlfn.CONCAT(YEAR(statek6[[#This Row],[data]]),"-",IF(statek6[[#This Row],[Kolumna1]]&lt;10,_xlfn.CONCAT("0",statek6[[#This Row],[Kolumna1]]),statek6[[#This Row],[Kolumna1]]))</f>
        <v>2017-07</v>
      </c>
      <c r="I109">
        <f>IF(AND(statek6[[#This Row],[Z/W]]="Z",statek6[[#This Row],[towar]]="T5"),statek6[[#This Row],[ile ton]],0)</f>
        <v>0</v>
      </c>
      <c r="J109">
        <f>IF(AND(statek6[[#This Row],[Z/W]]="W",statek6[[#This Row],[towar]]="T5"),statek6[[#This Row],[ile ton]],0)</f>
        <v>0</v>
      </c>
    </row>
    <row r="110" spans="1:10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  <c r="G110">
        <f>MONTH(statek6[[#This Row],[data]])</f>
        <v>7</v>
      </c>
      <c r="H110" t="str">
        <f>_xlfn.CONCAT(YEAR(statek6[[#This Row],[data]]),"-",IF(statek6[[#This Row],[Kolumna1]]&lt;10,_xlfn.CONCAT("0",statek6[[#This Row],[Kolumna1]]),statek6[[#This Row],[Kolumna1]]))</f>
        <v>2017-07</v>
      </c>
      <c r="I110">
        <f>IF(AND(statek6[[#This Row],[Z/W]]="Z",statek6[[#This Row],[towar]]="T5"),statek6[[#This Row],[ile ton]],0)</f>
        <v>0</v>
      </c>
      <c r="J110">
        <f>IF(AND(statek6[[#This Row],[Z/W]]="W",statek6[[#This Row],[towar]]="T5"),statek6[[#This Row],[ile ton]],0)</f>
        <v>0</v>
      </c>
    </row>
    <row r="111" spans="1:10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  <c r="G111">
        <f>MONTH(statek6[[#This Row],[data]])</f>
        <v>7</v>
      </c>
      <c r="H111" t="str">
        <f>_xlfn.CONCAT(YEAR(statek6[[#This Row],[data]]),"-",IF(statek6[[#This Row],[Kolumna1]]&lt;10,_xlfn.CONCAT("0",statek6[[#This Row],[Kolumna1]]),statek6[[#This Row],[Kolumna1]]))</f>
        <v>2017-07</v>
      </c>
      <c r="I111">
        <f>IF(AND(statek6[[#This Row],[Z/W]]="Z",statek6[[#This Row],[towar]]="T5"),statek6[[#This Row],[ile ton]],0)</f>
        <v>0</v>
      </c>
      <c r="J111">
        <f>IF(AND(statek6[[#This Row],[Z/W]]="W",statek6[[#This Row],[towar]]="T5"),statek6[[#This Row],[ile ton]],0)</f>
        <v>0</v>
      </c>
    </row>
    <row r="112" spans="1:10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  <c r="G112">
        <f>MONTH(statek6[[#This Row],[data]])</f>
        <v>7</v>
      </c>
      <c r="H112" t="str">
        <f>_xlfn.CONCAT(YEAR(statek6[[#This Row],[data]]),"-",IF(statek6[[#This Row],[Kolumna1]]&lt;10,_xlfn.CONCAT("0",statek6[[#This Row],[Kolumna1]]),statek6[[#This Row],[Kolumna1]]))</f>
        <v>2017-07</v>
      </c>
      <c r="I112">
        <f>IF(AND(statek6[[#This Row],[Z/W]]="Z",statek6[[#This Row],[towar]]="T5"),statek6[[#This Row],[ile ton]],0)</f>
        <v>42</v>
      </c>
      <c r="J112">
        <f>IF(AND(statek6[[#This Row],[Z/W]]="W",statek6[[#This Row],[towar]]="T5"),statek6[[#This Row],[ile ton]],0)</f>
        <v>0</v>
      </c>
    </row>
    <row r="113" spans="1:10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  <c r="G113">
        <f>MONTH(statek6[[#This Row],[data]])</f>
        <v>8</v>
      </c>
      <c r="H113" t="str">
        <f>_xlfn.CONCAT(YEAR(statek6[[#This Row],[data]]),"-",IF(statek6[[#This Row],[Kolumna1]]&lt;10,_xlfn.CONCAT("0",statek6[[#This Row],[Kolumna1]]),statek6[[#This Row],[Kolumna1]]))</f>
        <v>2017-08</v>
      </c>
      <c r="I113">
        <f>IF(AND(statek6[[#This Row],[Z/W]]="Z",statek6[[#This Row],[towar]]="T5"),statek6[[#This Row],[ile ton]],0)</f>
        <v>0</v>
      </c>
      <c r="J113">
        <f>IF(AND(statek6[[#This Row],[Z/W]]="W",statek6[[#This Row],[towar]]="T5"),statek6[[#This Row],[ile ton]],0)</f>
        <v>0</v>
      </c>
    </row>
    <row r="114" spans="1:10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  <c r="G114">
        <f>MONTH(statek6[[#This Row],[data]])</f>
        <v>8</v>
      </c>
      <c r="H114" t="str">
        <f>_xlfn.CONCAT(YEAR(statek6[[#This Row],[data]]),"-",IF(statek6[[#This Row],[Kolumna1]]&lt;10,_xlfn.CONCAT("0",statek6[[#This Row],[Kolumna1]]),statek6[[#This Row],[Kolumna1]]))</f>
        <v>2017-08</v>
      </c>
      <c r="I114">
        <f>IF(AND(statek6[[#This Row],[Z/W]]="Z",statek6[[#This Row],[towar]]="T5"),statek6[[#This Row],[ile ton]],0)</f>
        <v>0</v>
      </c>
      <c r="J114">
        <f>IF(AND(statek6[[#This Row],[Z/W]]="W",statek6[[#This Row],[towar]]="T5"),statek6[[#This Row],[ile ton]],0)</f>
        <v>48</v>
      </c>
    </row>
    <row r="115" spans="1:10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  <c r="G115">
        <f>MONTH(statek6[[#This Row],[data]])</f>
        <v>8</v>
      </c>
      <c r="H115" t="str">
        <f>_xlfn.CONCAT(YEAR(statek6[[#This Row],[data]]),"-",IF(statek6[[#This Row],[Kolumna1]]&lt;10,_xlfn.CONCAT("0",statek6[[#This Row],[Kolumna1]]),statek6[[#This Row],[Kolumna1]]))</f>
        <v>2017-08</v>
      </c>
      <c r="I115">
        <f>IF(AND(statek6[[#This Row],[Z/W]]="Z",statek6[[#This Row],[towar]]="T5"),statek6[[#This Row],[ile ton]],0)</f>
        <v>0</v>
      </c>
      <c r="J115">
        <f>IF(AND(statek6[[#This Row],[Z/W]]="W",statek6[[#This Row],[towar]]="T5"),statek6[[#This Row],[ile ton]],0)</f>
        <v>0</v>
      </c>
    </row>
    <row r="116" spans="1:10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  <c r="G116">
        <f>MONTH(statek6[[#This Row],[data]])</f>
        <v>8</v>
      </c>
      <c r="H116" t="str">
        <f>_xlfn.CONCAT(YEAR(statek6[[#This Row],[data]]),"-",IF(statek6[[#This Row],[Kolumna1]]&lt;10,_xlfn.CONCAT("0",statek6[[#This Row],[Kolumna1]]),statek6[[#This Row],[Kolumna1]]))</f>
        <v>2017-08</v>
      </c>
      <c r="I116">
        <f>IF(AND(statek6[[#This Row],[Z/W]]="Z",statek6[[#This Row],[towar]]="T5"),statek6[[#This Row],[ile ton]],0)</f>
        <v>0</v>
      </c>
      <c r="J116">
        <f>IF(AND(statek6[[#This Row],[Z/W]]="W",statek6[[#This Row],[towar]]="T5"),statek6[[#This Row],[ile ton]],0)</f>
        <v>0</v>
      </c>
    </row>
    <row r="117" spans="1:10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  <c r="G117">
        <f>MONTH(statek6[[#This Row],[data]])</f>
        <v>8</v>
      </c>
      <c r="H117" t="str">
        <f>_xlfn.CONCAT(YEAR(statek6[[#This Row],[data]]),"-",IF(statek6[[#This Row],[Kolumna1]]&lt;10,_xlfn.CONCAT("0",statek6[[#This Row],[Kolumna1]]),statek6[[#This Row],[Kolumna1]]))</f>
        <v>2017-08</v>
      </c>
      <c r="I117">
        <f>IF(AND(statek6[[#This Row],[Z/W]]="Z",statek6[[#This Row],[towar]]="T5"),statek6[[#This Row],[ile ton]],0)</f>
        <v>0</v>
      </c>
      <c r="J117">
        <f>IF(AND(statek6[[#This Row],[Z/W]]="W",statek6[[#This Row],[towar]]="T5"),statek6[[#This Row],[ile ton]],0)</f>
        <v>0</v>
      </c>
    </row>
    <row r="118" spans="1:10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  <c r="G118">
        <f>MONTH(statek6[[#This Row],[data]])</f>
        <v>8</v>
      </c>
      <c r="H118" t="str">
        <f>_xlfn.CONCAT(YEAR(statek6[[#This Row],[data]]),"-",IF(statek6[[#This Row],[Kolumna1]]&lt;10,_xlfn.CONCAT("0",statek6[[#This Row],[Kolumna1]]),statek6[[#This Row],[Kolumna1]]))</f>
        <v>2017-08</v>
      </c>
      <c r="I118">
        <f>IF(AND(statek6[[#This Row],[Z/W]]="Z",statek6[[#This Row],[towar]]="T5"),statek6[[#This Row],[ile ton]],0)</f>
        <v>0</v>
      </c>
      <c r="J118">
        <f>IF(AND(statek6[[#This Row],[Z/W]]="W",statek6[[#This Row],[towar]]="T5"),statek6[[#This Row],[ile ton]],0)</f>
        <v>0</v>
      </c>
    </row>
    <row r="119" spans="1:10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  <c r="G119">
        <f>MONTH(statek6[[#This Row],[data]])</f>
        <v>8</v>
      </c>
      <c r="H119" t="str">
        <f>_xlfn.CONCAT(YEAR(statek6[[#This Row],[data]]),"-",IF(statek6[[#This Row],[Kolumna1]]&lt;10,_xlfn.CONCAT("0",statek6[[#This Row],[Kolumna1]]),statek6[[#This Row],[Kolumna1]]))</f>
        <v>2017-08</v>
      </c>
      <c r="I119">
        <f>IF(AND(statek6[[#This Row],[Z/W]]="Z",statek6[[#This Row],[towar]]="T5"),statek6[[#This Row],[ile ton]],0)</f>
        <v>0</v>
      </c>
      <c r="J119">
        <f>IF(AND(statek6[[#This Row],[Z/W]]="W",statek6[[#This Row],[towar]]="T5"),statek6[[#This Row],[ile ton]],0)</f>
        <v>0</v>
      </c>
    </row>
    <row r="120" spans="1:10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  <c r="G120">
        <f>MONTH(statek6[[#This Row],[data]])</f>
        <v>8</v>
      </c>
      <c r="H120" t="str">
        <f>_xlfn.CONCAT(YEAR(statek6[[#This Row],[data]]),"-",IF(statek6[[#This Row],[Kolumna1]]&lt;10,_xlfn.CONCAT("0",statek6[[#This Row],[Kolumna1]]),statek6[[#This Row],[Kolumna1]]))</f>
        <v>2017-08</v>
      </c>
      <c r="I120">
        <f>IF(AND(statek6[[#This Row],[Z/W]]="Z",statek6[[#This Row],[towar]]="T5"),statek6[[#This Row],[ile ton]],0)</f>
        <v>4</v>
      </c>
      <c r="J120">
        <f>IF(AND(statek6[[#This Row],[Z/W]]="W",statek6[[#This Row],[towar]]="T5"),statek6[[#This Row],[ile ton]],0)</f>
        <v>0</v>
      </c>
    </row>
    <row r="121" spans="1:10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  <c r="G121">
        <f>MONTH(statek6[[#This Row],[data]])</f>
        <v>9</v>
      </c>
      <c r="H121" t="str">
        <f>_xlfn.CONCAT(YEAR(statek6[[#This Row],[data]]),"-",IF(statek6[[#This Row],[Kolumna1]]&lt;10,_xlfn.CONCAT("0",statek6[[#This Row],[Kolumna1]]),statek6[[#This Row],[Kolumna1]]))</f>
        <v>2017-09</v>
      </c>
      <c r="I121">
        <f>IF(AND(statek6[[#This Row],[Z/W]]="Z",statek6[[#This Row],[towar]]="T5"),statek6[[#This Row],[ile ton]],0)</f>
        <v>0</v>
      </c>
      <c r="J121">
        <f>IF(AND(statek6[[#This Row],[Z/W]]="W",statek6[[#This Row],[towar]]="T5"),statek6[[#This Row],[ile ton]],0)</f>
        <v>0</v>
      </c>
    </row>
    <row r="122" spans="1:10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  <c r="G122">
        <f>MONTH(statek6[[#This Row],[data]])</f>
        <v>9</v>
      </c>
      <c r="H122" t="str">
        <f>_xlfn.CONCAT(YEAR(statek6[[#This Row],[data]]),"-",IF(statek6[[#This Row],[Kolumna1]]&lt;10,_xlfn.CONCAT("0",statek6[[#This Row],[Kolumna1]]),statek6[[#This Row],[Kolumna1]]))</f>
        <v>2017-09</v>
      </c>
      <c r="I122">
        <f>IF(AND(statek6[[#This Row],[Z/W]]="Z",statek6[[#This Row],[towar]]="T5"),statek6[[#This Row],[ile ton]],0)</f>
        <v>0</v>
      </c>
      <c r="J122">
        <f>IF(AND(statek6[[#This Row],[Z/W]]="W",statek6[[#This Row],[towar]]="T5"),statek6[[#This Row],[ile ton]],0)</f>
        <v>0</v>
      </c>
    </row>
    <row r="123" spans="1:10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  <c r="G123">
        <f>MONTH(statek6[[#This Row],[data]])</f>
        <v>10</v>
      </c>
      <c r="H123" t="str">
        <f>_xlfn.CONCAT(YEAR(statek6[[#This Row],[data]]),"-",IF(statek6[[#This Row],[Kolumna1]]&lt;10,_xlfn.CONCAT("0",statek6[[#This Row],[Kolumna1]]),statek6[[#This Row],[Kolumna1]]))</f>
        <v>2017-10</v>
      </c>
      <c r="I123">
        <f>IF(AND(statek6[[#This Row],[Z/W]]="Z",statek6[[#This Row],[towar]]="T5"),statek6[[#This Row],[ile ton]],0)</f>
        <v>0</v>
      </c>
      <c r="J123">
        <f>IF(AND(statek6[[#This Row],[Z/W]]="W",statek6[[#This Row],[towar]]="T5"),statek6[[#This Row],[ile ton]],0)</f>
        <v>6</v>
      </c>
    </row>
    <row r="124" spans="1:10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  <c r="G124">
        <f>MONTH(statek6[[#This Row],[data]])</f>
        <v>10</v>
      </c>
      <c r="H124" t="str">
        <f>_xlfn.CONCAT(YEAR(statek6[[#This Row],[data]]),"-",IF(statek6[[#This Row],[Kolumna1]]&lt;10,_xlfn.CONCAT("0",statek6[[#This Row],[Kolumna1]]),statek6[[#This Row],[Kolumna1]]))</f>
        <v>2017-10</v>
      </c>
      <c r="I124">
        <f>IF(AND(statek6[[#This Row],[Z/W]]="Z",statek6[[#This Row],[towar]]="T5"),statek6[[#This Row],[ile ton]],0)</f>
        <v>0</v>
      </c>
      <c r="J124">
        <f>IF(AND(statek6[[#This Row],[Z/W]]="W",statek6[[#This Row],[towar]]="T5"),statek6[[#This Row],[ile ton]],0)</f>
        <v>0</v>
      </c>
    </row>
    <row r="125" spans="1:10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  <c r="G125">
        <f>MONTH(statek6[[#This Row],[data]])</f>
        <v>11</v>
      </c>
      <c r="H125" t="str">
        <f>_xlfn.CONCAT(YEAR(statek6[[#This Row],[data]]),"-",IF(statek6[[#This Row],[Kolumna1]]&lt;10,_xlfn.CONCAT("0",statek6[[#This Row],[Kolumna1]]),statek6[[#This Row],[Kolumna1]]))</f>
        <v>2017-11</v>
      </c>
      <c r="I125">
        <f>IF(AND(statek6[[#This Row],[Z/W]]="Z",statek6[[#This Row],[towar]]="T5"),statek6[[#This Row],[ile ton]],0)</f>
        <v>0</v>
      </c>
      <c r="J125">
        <f>IF(AND(statek6[[#This Row],[Z/W]]="W",statek6[[#This Row],[towar]]="T5"),statek6[[#This Row],[ile ton]],0)</f>
        <v>1</v>
      </c>
    </row>
    <row r="126" spans="1:10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  <c r="G126">
        <f>MONTH(statek6[[#This Row],[data]])</f>
        <v>11</v>
      </c>
      <c r="H126" t="str">
        <f>_xlfn.CONCAT(YEAR(statek6[[#This Row],[data]]),"-",IF(statek6[[#This Row],[Kolumna1]]&lt;10,_xlfn.CONCAT("0",statek6[[#This Row],[Kolumna1]]),statek6[[#This Row],[Kolumna1]]))</f>
        <v>2017-11</v>
      </c>
      <c r="I126">
        <f>IF(AND(statek6[[#This Row],[Z/W]]="Z",statek6[[#This Row],[towar]]="T5"),statek6[[#This Row],[ile ton]],0)</f>
        <v>0</v>
      </c>
      <c r="J126">
        <f>IF(AND(statek6[[#This Row],[Z/W]]="W",statek6[[#This Row],[towar]]="T5"),statek6[[#This Row],[ile ton]],0)</f>
        <v>0</v>
      </c>
    </row>
    <row r="127" spans="1:10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  <c r="G127">
        <f>MONTH(statek6[[#This Row],[data]])</f>
        <v>11</v>
      </c>
      <c r="H127" t="str">
        <f>_xlfn.CONCAT(YEAR(statek6[[#This Row],[data]]),"-",IF(statek6[[#This Row],[Kolumna1]]&lt;10,_xlfn.CONCAT("0",statek6[[#This Row],[Kolumna1]]),statek6[[#This Row],[Kolumna1]]))</f>
        <v>2017-11</v>
      </c>
      <c r="I127">
        <f>IF(AND(statek6[[#This Row],[Z/W]]="Z",statek6[[#This Row],[towar]]="T5"),statek6[[#This Row],[ile ton]],0)</f>
        <v>0</v>
      </c>
      <c r="J127">
        <f>IF(AND(statek6[[#This Row],[Z/W]]="W",statek6[[#This Row],[towar]]="T5"),statek6[[#This Row],[ile ton]],0)</f>
        <v>0</v>
      </c>
    </row>
    <row r="128" spans="1:10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  <c r="G128">
        <f>MONTH(statek6[[#This Row],[data]])</f>
        <v>11</v>
      </c>
      <c r="H128" t="str">
        <f>_xlfn.CONCAT(YEAR(statek6[[#This Row],[data]]),"-",IF(statek6[[#This Row],[Kolumna1]]&lt;10,_xlfn.CONCAT("0",statek6[[#This Row],[Kolumna1]]),statek6[[#This Row],[Kolumna1]]))</f>
        <v>2017-11</v>
      </c>
      <c r="I128">
        <f>IF(AND(statek6[[#This Row],[Z/W]]="Z",statek6[[#This Row],[towar]]="T5"),statek6[[#This Row],[ile ton]],0)</f>
        <v>0</v>
      </c>
      <c r="J128">
        <f>IF(AND(statek6[[#This Row],[Z/W]]="W",statek6[[#This Row],[towar]]="T5"),statek6[[#This Row],[ile ton]],0)</f>
        <v>0</v>
      </c>
    </row>
    <row r="129" spans="1:10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  <c r="G129">
        <f>MONTH(statek6[[#This Row],[data]])</f>
        <v>11</v>
      </c>
      <c r="H129" t="str">
        <f>_xlfn.CONCAT(YEAR(statek6[[#This Row],[data]]),"-",IF(statek6[[#This Row],[Kolumna1]]&lt;10,_xlfn.CONCAT("0",statek6[[#This Row],[Kolumna1]]),statek6[[#This Row],[Kolumna1]]))</f>
        <v>2017-11</v>
      </c>
      <c r="I129">
        <f>IF(AND(statek6[[#This Row],[Z/W]]="Z",statek6[[#This Row],[towar]]="T5"),statek6[[#This Row],[ile ton]],0)</f>
        <v>0</v>
      </c>
      <c r="J129">
        <f>IF(AND(statek6[[#This Row],[Z/W]]="W",statek6[[#This Row],[towar]]="T5"),statek6[[#This Row],[ile ton]],0)</f>
        <v>0</v>
      </c>
    </row>
    <row r="130" spans="1:10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  <c r="G130">
        <f>MONTH(statek6[[#This Row],[data]])</f>
        <v>11</v>
      </c>
      <c r="H130" t="str">
        <f>_xlfn.CONCAT(YEAR(statek6[[#This Row],[data]]),"-",IF(statek6[[#This Row],[Kolumna1]]&lt;10,_xlfn.CONCAT("0",statek6[[#This Row],[Kolumna1]]),statek6[[#This Row],[Kolumna1]]))</f>
        <v>2017-11</v>
      </c>
      <c r="I130">
        <f>IF(AND(statek6[[#This Row],[Z/W]]="Z",statek6[[#This Row],[towar]]="T5"),statek6[[#This Row],[ile ton]],0)</f>
        <v>0</v>
      </c>
      <c r="J130">
        <f>IF(AND(statek6[[#This Row],[Z/W]]="W",statek6[[#This Row],[towar]]="T5"),statek6[[#This Row],[ile ton]],0)</f>
        <v>0</v>
      </c>
    </row>
    <row r="131" spans="1:10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  <c r="G131">
        <f>MONTH(statek6[[#This Row],[data]])</f>
        <v>11</v>
      </c>
      <c r="H131" t="str">
        <f>_xlfn.CONCAT(YEAR(statek6[[#This Row],[data]]),"-",IF(statek6[[#This Row],[Kolumna1]]&lt;10,_xlfn.CONCAT("0",statek6[[#This Row],[Kolumna1]]),statek6[[#This Row],[Kolumna1]]))</f>
        <v>2017-11</v>
      </c>
      <c r="I131">
        <f>IF(AND(statek6[[#This Row],[Z/W]]="Z",statek6[[#This Row],[towar]]="T5"),statek6[[#This Row],[ile ton]],0)</f>
        <v>12</v>
      </c>
      <c r="J131">
        <f>IF(AND(statek6[[#This Row],[Z/W]]="W",statek6[[#This Row],[towar]]="T5"),statek6[[#This Row],[ile ton]],0)</f>
        <v>0</v>
      </c>
    </row>
    <row r="132" spans="1:10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  <c r="G132">
        <f>MONTH(statek6[[#This Row],[data]])</f>
        <v>12</v>
      </c>
      <c r="H132" t="str">
        <f>_xlfn.CONCAT(YEAR(statek6[[#This Row],[data]]),"-",IF(statek6[[#This Row],[Kolumna1]]&lt;10,_xlfn.CONCAT("0",statek6[[#This Row],[Kolumna1]]),statek6[[#This Row],[Kolumna1]]))</f>
        <v>2017-12</v>
      </c>
      <c r="I132">
        <f>IF(AND(statek6[[#This Row],[Z/W]]="Z",statek6[[#This Row],[towar]]="T5"),statek6[[#This Row],[ile ton]],0)</f>
        <v>0</v>
      </c>
      <c r="J132">
        <f>IF(AND(statek6[[#This Row],[Z/W]]="W",statek6[[#This Row],[towar]]="T5"),statek6[[#This Row],[ile ton]],0)</f>
        <v>0</v>
      </c>
    </row>
    <row r="133" spans="1:10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  <c r="G133">
        <f>MONTH(statek6[[#This Row],[data]])</f>
        <v>12</v>
      </c>
      <c r="H133" t="str">
        <f>_xlfn.CONCAT(YEAR(statek6[[#This Row],[data]]),"-",IF(statek6[[#This Row],[Kolumna1]]&lt;10,_xlfn.CONCAT("0",statek6[[#This Row],[Kolumna1]]),statek6[[#This Row],[Kolumna1]]))</f>
        <v>2017-12</v>
      </c>
      <c r="I133">
        <f>IF(AND(statek6[[#This Row],[Z/W]]="Z",statek6[[#This Row],[towar]]="T5"),statek6[[#This Row],[ile ton]],0)</f>
        <v>0</v>
      </c>
      <c r="J133">
        <f>IF(AND(statek6[[#This Row],[Z/W]]="W",statek6[[#This Row],[towar]]="T5"),statek6[[#This Row],[ile ton]],0)</f>
        <v>0</v>
      </c>
    </row>
    <row r="134" spans="1:10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  <c r="G134">
        <f>MONTH(statek6[[#This Row],[data]])</f>
        <v>12</v>
      </c>
      <c r="H134" t="str">
        <f>_xlfn.CONCAT(YEAR(statek6[[#This Row],[data]]),"-",IF(statek6[[#This Row],[Kolumna1]]&lt;10,_xlfn.CONCAT("0",statek6[[#This Row],[Kolumna1]]),statek6[[#This Row],[Kolumna1]]))</f>
        <v>2017-12</v>
      </c>
      <c r="I134">
        <f>IF(AND(statek6[[#This Row],[Z/W]]="Z",statek6[[#This Row],[towar]]="T5"),statek6[[#This Row],[ile ton]],0)</f>
        <v>0</v>
      </c>
      <c r="J134">
        <f>IF(AND(statek6[[#This Row],[Z/W]]="W",statek6[[#This Row],[towar]]="T5"),statek6[[#This Row],[ile ton]],0)</f>
        <v>0</v>
      </c>
    </row>
    <row r="135" spans="1:10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  <c r="G135">
        <f>MONTH(statek6[[#This Row],[data]])</f>
        <v>1</v>
      </c>
      <c r="H135" t="str">
        <f>_xlfn.CONCAT(YEAR(statek6[[#This Row],[data]]),"-",IF(statek6[[#This Row],[Kolumna1]]&lt;10,_xlfn.CONCAT("0",statek6[[#This Row],[Kolumna1]]),statek6[[#This Row],[Kolumna1]]))</f>
        <v>2018-01</v>
      </c>
      <c r="I135">
        <f>IF(AND(statek6[[#This Row],[Z/W]]="Z",statek6[[#This Row],[towar]]="T5"),statek6[[#This Row],[ile ton]],0)</f>
        <v>0</v>
      </c>
      <c r="J135">
        <f>IF(AND(statek6[[#This Row],[Z/W]]="W",statek6[[#This Row],[towar]]="T5"),statek6[[#This Row],[ile ton]],0)</f>
        <v>0</v>
      </c>
    </row>
    <row r="136" spans="1:10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  <c r="G136">
        <f>MONTH(statek6[[#This Row],[data]])</f>
        <v>1</v>
      </c>
      <c r="H136" t="str">
        <f>_xlfn.CONCAT(YEAR(statek6[[#This Row],[data]]),"-",IF(statek6[[#This Row],[Kolumna1]]&lt;10,_xlfn.CONCAT("0",statek6[[#This Row],[Kolumna1]]),statek6[[#This Row],[Kolumna1]]))</f>
        <v>2018-01</v>
      </c>
      <c r="I136">
        <f>IF(AND(statek6[[#This Row],[Z/W]]="Z",statek6[[#This Row],[towar]]="T5"),statek6[[#This Row],[ile ton]],0)</f>
        <v>0</v>
      </c>
      <c r="J136">
        <f>IF(AND(statek6[[#This Row],[Z/W]]="W",statek6[[#This Row],[towar]]="T5"),statek6[[#This Row],[ile ton]],0)</f>
        <v>0</v>
      </c>
    </row>
    <row r="137" spans="1:10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  <c r="G137">
        <f>MONTH(statek6[[#This Row],[data]])</f>
        <v>1</v>
      </c>
      <c r="H137" t="str">
        <f>_xlfn.CONCAT(YEAR(statek6[[#This Row],[data]]),"-",IF(statek6[[#This Row],[Kolumna1]]&lt;10,_xlfn.CONCAT("0",statek6[[#This Row],[Kolumna1]]),statek6[[#This Row],[Kolumna1]]))</f>
        <v>2018-01</v>
      </c>
      <c r="I137">
        <f>IF(AND(statek6[[#This Row],[Z/W]]="Z",statek6[[#This Row],[towar]]="T5"),statek6[[#This Row],[ile ton]],0)</f>
        <v>0</v>
      </c>
      <c r="J137">
        <f>IF(AND(statek6[[#This Row],[Z/W]]="W",statek6[[#This Row],[towar]]="T5"),statek6[[#This Row],[ile ton]],0)</f>
        <v>0</v>
      </c>
    </row>
    <row r="138" spans="1:10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  <c r="G138">
        <f>MONTH(statek6[[#This Row],[data]])</f>
        <v>1</v>
      </c>
      <c r="H138" t="str">
        <f>_xlfn.CONCAT(YEAR(statek6[[#This Row],[data]]),"-",IF(statek6[[#This Row],[Kolumna1]]&lt;10,_xlfn.CONCAT("0",statek6[[#This Row],[Kolumna1]]),statek6[[#This Row],[Kolumna1]]))</f>
        <v>2018-01</v>
      </c>
      <c r="I138">
        <f>IF(AND(statek6[[#This Row],[Z/W]]="Z",statek6[[#This Row],[towar]]="T5"),statek6[[#This Row],[ile ton]],0)</f>
        <v>10</v>
      </c>
      <c r="J138">
        <f>IF(AND(statek6[[#This Row],[Z/W]]="W",statek6[[#This Row],[towar]]="T5"),statek6[[#This Row],[ile ton]],0)</f>
        <v>0</v>
      </c>
    </row>
    <row r="139" spans="1:10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  <c r="G139">
        <f>MONTH(statek6[[#This Row],[data]])</f>
        <v>1</v>
      </c>
      <c r="H139" t="str">
        <f>_xlfn.CONCAT(YEAR(statek6[[#This Row],[data]]),"-",IF(statek6[[#This Row],[Kolumna1]]&lt;10,_xlfn.CONCAT("0",statek6[[#This Row],[Kolumna1]]),statek6[[#This Row],[Kolumna1]]))</f>
        <v>2018-01</v>
      </c>
      <c r="I139">
        <f>IF(AND(statek6[[#This Row],[Z/W]]="Z",statek6[[#This Row],[towar]]="T5"),statek6[[#This Row],[ile ton]],0)</f>
        <v>0</v>
      </c>
      <c r="J139">
        <f>IF(AND(statek6[[#This Row],[Z/W]]="W",statek6[[#This Row],[towar]]="T5"),statek6[[#This Row],[ile ton]],0)</f>
        <v>0</v>
      </c>
    </row>
    <row r="140" spans="1:10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  <c r="G140">
        <f>MONTH(statek6[[#This Row],[data]])</f>
        <v>1</v>
      </c>
      <c r="H140" t="str">
        <f>_xlfn.CONCAT(YEAR(statek6[[#This Row],[data]]),"-",IF(statek6[[#This Row],[Kolumna1]]&lt;10,_xlfn.CONCAT("0",statek6[[#This Row],[Kolumna1]]),statek6[[#This Row],[Kolumna1]]))</f>
        <v>2018-01</v>
      </c>
      <c r="I140">
        <f>IF(AND(statek6[[#This Row],[Z/W]]="Z",statek6[[#This Row],[towar]]="T5"),statek6[[#This Row],[ile ton]],0)</f>
        <v>0</v>
      </c>
      <c r="J140">
        <f>IF(AND(statek6[[#This Row],[Z/W]]="W",statek6[[#This Row],[towar]]="T5"),statek6[[#This Row],[ile ton]],0)</f>
        <v>22</v>
      </c>
    </row>
    <row r="141" spans="1:10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  <c r="G141">
        <f>MONTH(statek6[[#This Row],[data]])</f>
        <v>1</v>
      </c>
      <c r="H141" t="str">
        <f>_xlfn.CONCAT(YEAR(statek6[[#This Row],[data]]),"-",IF(statek6[[#This Row],[Kolumna1]]&lt;10,_xlfn.CONCAT("0",statek6[[#This Row],[Kolumna1]]),statek6[[#This Row],[Kolumna1]]))</f>
        <v>2018-01</v>
      </c>
      <c r="I141">
        <f>IF(AND(statek6[[#This Row],[Z/W]]="Z",statek6[[#This Row],[towar]]="T5"),statek6[[#This Row],[ile ton]],0)</f>
        <v>0</v>
      </c>
      <c r="J141">
        <f>IF(AND(statek6[[#This Row],[Z/W]]="W",statek6[[#This Row],[towar]]="T5"),statek6[[#This Row],[ile ton]],0)</f>
        <v>0</v>
      </c>
    </row>
    <row r="142" spans="1:10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  <c r="G142">
        <f>MONTH(statek6[[#This Row],[data]])</f>
        <v>1</v>
      </c>
      <c r="H142" t="str">
        <f>_xlfn.CONCAT(YEAR(statek6[[#This Row],[data]]),"-",IF(statek6[[#This Row],[Kolumna1]]&lt;10,_xlfn.CONCAT("0",statek6[[#This Row],[Kolumna1]]),statek6[[#This Row],[Kolumna1]]))</f>
        <v>2018-01</v>
      </c>
      <c r="I142">
        <f>IF(AND(statek6[[#This Row],[Z/W]]="Z",statek6[[#This Row],[towar]]="T5"),statek6[[#This Row],[ile ton]],0)</f>
        <v>0</v>
      </c>
      <c r="J142">
        <f>IF(AND(statek6[[#This Row],[Z/W]]="W",statek6[[#This Row],[towar]]="T5"),statek6[[#This Row],[ile ton]],0)</f>
        <v>0</v>
      </c>
    </row>
    <row r="143" spans="1:10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  <c r="G143">
        <f>MONTH(statek6[[#This Row],[data]])</f>
        <v>1</v>
      </c>
      <c r="H143" t="str">
        <f>_xlfn.CONCAT(YEAR(statek6[[#This Row],[data]]),"-",IF(statek6[[#This Row],[Kolumna1]]&lt;10,_xlfn.CONCAT("0",statek6[[#This Row],[Kolumna1]]),statek6[[#This Row],[Kolumna1]]))</f>
        <v>2018-01</v>
      </c>
      <c r="I143">
        <f>IF(AND(statek6[[#This Row],[Z/W]]="Z",statek6[[#This Row],[towar]]="T5"),statek6[[#This Row],[ile ton]],0)</f>
        <v>0</v>
      </c>
      <c r="J143">
        <f>IF(AND(statek6[[#This Row],[Z/W]]="W",statek6[[#This Row],[towar]]="T5"),statek6[[#This Row],[ile ton]],0)</f>
        <v>0</v>
      </c>
    </row>
    <row r="144" spans="1:10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  <c r="G144">
        <f>MONTH(statek6[[#This Row],[data]])</f>
        <v>1</v>
      </c>
      <c r="H144" t="str">
        <f>_xlfn.CONCAT(YEAR(statek6[[#This Row],[data]]),"-",IF(statek6[[#This Row],[Kolumna1]]&lt;10,_xlfn.CONCAT("0",statek6[[#This Row],[Kolumna1]]),statek6[[#This Row],[Kolumna1]]))</f>
        <v>2018-01</v>
      </c>
      <c r="I144">
        <f>IF(AND(statek6[[#This Row],[Z/W]]="Z",statek6[[#This Row],[towar]]="T5"),statek6[[#This Row],[ile ton]],0)</f>
        <v>0</v>
      </c>
      <c r="J144">
        <f>IF(AND(statek6[[#This Row],[Z/W]]="W",statek6[[#This Row],[towar]]="T5"),statek6[[#This Row],[ile ton]],0)</f>
        <v>0</v>
      </c>
    </row>
    <row r="145" spans="1:10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  <c r="G145">
        <f>MONTH(statek6[[#This Row],[data]])</f>
        <v>1</v>
      </c>
      <c r="H145" t="str">
        <f>_xlfn.CONCAT(YEAR(statek6[[#This Row],[data]]),"-",IF(statek6[[#This Row],[Kolumna1]]&lt;10,_xlfn.CONCAT("0",statek6[[#This Row],[Kolumna1]]),statek6[[#This Row],[Kolumna1]]))</f>
        <v>2018-01</v>
      </c>
      <c r="I145">
        <f>IF(AND(statek6[[#This Row],[Z/W]]="Z",statek6[[#This Row],[towar]]="T5"),statek6[[#This Row],[ile ton]],0)</f>
        <v>0</v>
      </c>
      <c r="J145">
        <f>IF(AND(statek6[[#This Row],[Z/W]]="W",statek6[[#This Row],[towar]]="T5"),statek6[[#This Row],[ile ton]],0)</f>
        <v>0</v>
      </c>
    </row>
    <row r="146" spans="1:10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  <c r="G146">
        <f>MONTH(statek6[[#This Row],[data]])</f>
        <v>2</v>
      </c>
      <c r="H146" t="str">
        <f>_xlfn.CONCAT(YEAR(statek6[[#This Row],[data]]),"-",IF(statek6[[#This Row],[Kolumna1]]&lt;10,_xlfn.CONCAT("0",statek6[[#This Row],[Kolumna1]]),statek6[[#This Row],[Kolumna1]]))</f>
        <v>2018-02</v>
      </c>
      <c r="I146">
        <f>IF(AND(statek6[[#This Row],[Z/W]]="Z",statek6[[#This Row],[towar]]="T5"),statek6[[#This Row],[ile ton]],0)</f>
        <v>34</v>
      </c>
      <c r="J146">
        <f>IF(AND(statek6[[#This Row],[Z/W]]="W",statek6[[#This Row],[towar]]="T5"),statek6[[#This Row],[ile ton]],0)</f>
        <v>0</v>
      </c>
    </row>
    <row r="147" spans="1:10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  <c r="G147">
        <f>MONTH(statek6[[#This Row],[data]])</f>
        <v>2</v>
      </c>
      <c r="H147" t="str">
        <f>_xlfn.CONCAT(YEAR(statek6[[#This Row],[data]]),"-",IF(statek6[[#This Row],[Kolumna1]]&lt;10,_xlfn.CONCAT("0",statek6[[#This Row],[Kolumna1]]),statek6[[#This Row],[Kolumna1]]))</f>
        <v>2018-02</v>
      </c>
      <c r="I147">
        <f>IF(AND(statek6[[#This Row],[Z/W]]="Z",statek6[[#This Row],[towar]]="T5"),statek6[[#This Row],[ile ton]],0)</f>
        <v>0</v>
      </c>
      <c r="J147">
        <f>IF(AND(statek6[[#This Row],[Z/W]]="W",statek6[[#This Row],[towar]]="T5"),statek6[[#This Row],[ile ton]],0)</f>
        <v>0</v>
      </c>
    </row>
    <row r="148" spans="1:10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  <c r="G148">
        <f>MONTH(statek6[[#This Row],[data]])</f>
        <v>2</v>
      </c>
      <c r="H148" t="str">
        <f>_xlfn.CONCAT(YEAR(statek6[[#This Row],[data]]),"-",IF(statek6[[#This Row],[Kolumna1]]&lt;10,_xlfn.CONCAT("0",statek6[[#This Row],[Kolumna1]]),statek6[[#This Row],[Kolumna1]]))</f>
        <v>2018-02</v>
      </c>
      <c r="I148">
        <f>IF(AND(statek6[[#This Row],[Z/W]]="Z",statek6[[#This Row],[towar]]="T5"),statek6[[#This Row],[ile ton]],0)</f>
        <v>0</v>
      </c>
      <c r="J148">
        <f>IF(AND(statek6[[#This Row],[Z/W]]="W",statek6[[#This Row],[towar]]="T5"),statek6[[#This Row],[ile ton]],0)</f>
        <v>0</v>
      </c>
    </row>
    <row r="149" spans="1:10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  <c r="G149">
        <f>MONTH(statek6[[#This Row],[data]])</f>
        <v>2</v>
      </c>
      <c r="H149" t="str">
        <f>_xlfn.CONCAT(YEAR(statek6[[#This Row],[data]]),"-",IF(statek6[[#This Row],[Kolumna1]]&lt;10,_xlfn.CONCAT("0",statek6[[#This Row],[Kolumna1]]),statek6[[#This Row],[Kolumna1]]))</f>
        <v>2018-02</v>
      </c>
      <c r="I149">
        <f>IF(AND(statek6[[#This Row],[Z/W]]="Z",statek6[[#This Row],[towar]]="T5"),statek6[[#This Row],[ile ton]],0)</f>
        <v>0</v>
      </c>
      <c r="J149">
        <f>IF(AND(statek6[[#This Row],[Z/W]]="W",statek6[[#This Row],[towar]]="T5"),statek6[[#This Row],[ile ton]],0)</f>
        <v>0</v>
      </c>
    </row>
    <row r="150" spans="1:10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  <c r="G150">
        <f>MONTH(statek6[[#This Row],[data]])</f>
        <v>2</v>
      </c>
      <c r="H150" t="str">
        <f>_xlfn.CONCAT(YEAR(statek6[[#This Row],[data]]),"-",IF(statek6[[#This Row],[Kolumna1]]&lt;10,_xlfn.CONCAT("0",statek6[[#This Row],[Kolumna1]]),statek6[[#This Row],[Kolumna1]]))</f>
        <v>2018-02</v>
      </c>
      <c r="I150">
        <f>IF(AND(statek6[[#This Row],[Z/W]]="Z",statek6[[#This Row],[towar]]="T5"),statek6[[#This Row],[ile ton]],0)</f>
        <v>0</v>
      </c>
      <c r="J150">
        <f>IF(AND(statek6[[#This Row],[Z/W]]="W",statek6[[#This Row],[towar]]="T5"),statek6[[#This Row],[ile ton]],0)</f>
        <v>0</v>
      </c>
    </row>
    <row r="151" spans="1:10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  <c r="G151">
        <f>MONTH(statek6[[#This Row],[data]])</f>
        <v>3</v>
      </c>
      <c r="H151" t="str">
        <f>_xlfn.CONCAT(YEAR(statek6[[#This Row],[data]]),"-",IF(statek6[[#This Row],[Kolumna1]]&lt;10,_xlfn.CONCAT("0",statek6[[#This Row],[Kolumna1]]),statek6[[#This Row],[Kolumna1]]))</f>
        <v>2018-03</v>
      </c>
      <c r="I151">
        <f>IF(AND(statek6[[#This Row],[Z/W]]="Z",statek6[[#This Row],[towar]]="T5"),statek6[[#This Row],[ile ton]],0)</f>
        <v>0</v>
      </c>
      <c r="J151">
        <f>IF(AND(statek6[[#This Row],[Z/W]]="W",statek6[[#This Row],[towar]]="T5"),statek6[[#This Row],[ile ton]],0)</f>
        <v>34</v>
      </c>
    </row>
    <row r="152" spans="1:10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  <c r="G152">
        <f>MONTH(statek6[[#This Row],[data]])</f>
        <v>3</v>
      </c>
      <c r="H152" t="str">
        <f>_xlfn.CONCAT(YEAR(statek6[[#This Row],[data]]),"-",IF(statek6[[#This Row],[Kolumna1]]&lt;10,_xlfn.CONCAT("0",statek6[[#This Row],[Kolumna1]]),statek6[[#This Row],[Kolumna1]]))</f>
        <v>2018-03</v>
      </c>
      <c r="I152">
        <f>IF(AND(statek6[[#This Row],[Z/W]]="Z",statek6[[#This Row],[towar]]="T5"),statek6[[#This Row],[ile ton]],0)</f>
        <v>0</v>
      </c>
      <c r="J152">
        <f>IF(AND(statek6[[#This Row],[Z/W]]="W",statek6[[#This Row],[towar]]="T5"),statek6[[#This Row],[ile ton]],0)</f>
        <v>0</v>
      </c>
    </row>
    <row r="153" spans="1:10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  <c r="G153">
        <f>MONTH(statek6[[#This Row],[data]])</f>
        <v>3</v>
      </c>
      <c r="H153" t="str">
        <f>_xlfn.CONCAT(YEAR(statek6[[#This Row],[data]]),"-",IF(statek6[[#This Row],[Kolumna1]]&lt;10,_xlfn.CONCAT("0",statek6[[#This Row],[Kolumna1]]),statek6[[#This Row],[Kolumna1]]))</f>
        <v>2018-03</v>
      </c>
      <c r="I153">
        <f>IF(AND(statek6[[#This Row],[Z/W]]="Z",statek6[[#This Row],[towar]]="T5"),statek6[[#This Row],[ile ton]],0)</f>
        <v>0</v>
      </c>
      <c r="J153">
        <f>IF(AND(statek6[[#This Row],[Z/W]]="W",statek6[[#This Row],[towar]]="T5"),statek6[[#This Row],[ile ton]],0)</f>
        <v>0</v>
      </c>
    </row>
    <row r="154" spans="1:10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  <c r="G154">
        <f>MONTH(statek6[[#This Row],[data]])</f>
        <v>3</v>
      </c>
      <c r="H154" t="str">
        <f>_xlfn.CONCAT(YEAR(statek6[[#This Row],[data]]),"-",IF(statek6[[#This Row],[Kolumna1]]&lt;10,_xlfn.CONCAT("0",statek6[[#This Row],[Kolumna1]]),statek6[[#This Row],[Kolumna1]]))</f>
        <v>2018-03</v>
      </c>
      <c r="I154">
        <f>IF(AND(statek6[[#This Row],[Z/W]]="Z",statek6[[#This Row],[towar]]="T5"),statek6[[#This Row],[ile ton]],0)</f>
        <v>0</v>
      </c>
      <c r="J154">
        <f>IF(AND(statek6[[#This Row],[Z/W]]="W",statek6[[#This Row],[towar]]="T5"),statek6[[#This Row],[ile ton]],0)</f>
        <v>0</v>
      </c>
    </row>
    <row r="155" spans="1:10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  <c r="G155">
        <f>MONTH(statek6[[#This Row],[data]])</f>
        <v>3</v>
      </c>
      <c r="H155" t="str">
        <f>_xlfn.CONCAT(YEAR(statek6[[#This Row],[data]]),"-",IF(statek6[[#This Row],[Kolumna1]]&lt;10,_xlfn.CONCAT("0",statek6[[#This Row],[Kolumna1]]),statek6[[#This Row],[Kolumna1]]))</f>
        <v>2018-03</v>
      </c>
      <c r="I155">
        <f>IF(AND(statek6[[#This Row],[Z/W]]="Z",statek6[[#This Row],[towar]]="T5"),statek6[[#This Row],[ile ton]],0)</f>
        <v>0</v>
      </c>
      <c r="J155">
        <f>IF(AND(statek6[[#This Row],[Z/W]]="W",statek6[[#This Row],[towar]]="T5"),statek6[[#This Row],[ile ton]],0)</f>
        <v>0</v>
      </c>
    </row>
    <row r="156" spans="1:10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  <c r="G156">
        <f>MONTH(statek6[[#This Row],[data]])</f>
        <v>4</v>
      </c>
      <c r="H156" t="str">
        <f>_xlfn.CONCAT(YEAR(statek6[[#This Row],[data]]),"-",IF(statek6[[#This Row],[Kolumna1]]&lt;10,_xlfn.CONCAT("0",statek6[[#This Row],[Kolumna1]]),statek6[[#This Row],[Kolumna1]]))</f>
        <v>2018-04</v>
      </c>
      <c r="I156">
        <f>IF(AND(statek6[[#This Row],[Z/W]]="Z",statek6[[#This Row],[towar]]="T5"),statek6[[#This Row],[ile ton]],0)</f>
        <v>5</v>
      </c>
      <c r="J156">
        <f>IF(AND(statek6[[#This Row],[Z/W]]="W",statek6[[#This Row],[towar]]="T5"),statek6[[#This Row],[ile ton]],0)</f>
        <v>0</v>
      </c>
    </row>
    <row r="157" spans="1:10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  <c r="G157">
        <f>MONTH(statek6[[#This Row],[data]])</f>
        <v>4</v>
      </c>
      <c r="H157" t="str">
        <f>_xlfn.CONCAT(YEAR(statek6[[#This Row],[data]]),"-",IF(statek6[[#This Row],[Kolumna1]]&lt;10,_xlfn.CONCAT("0",statek6[[#This Row],[Kolumna1]]),statek6[[#This Row],[Kolumna1]]))</f>
        <v>2018-04</v>
      </c>
      <c r="I157">
        <f>IF(AND(statek6[[#This Row],[Z/W]]="Z",statek6[[#This Row],[towar]]="T5"),statek6[[#This Row],[ile ton]],0)</f>
        <v>0</v>
      </c>
      <c r="J157">
        <f>IF(AND(statek6[[#This Row],[Z/W]]="W",statek6[[#This Row],[towar]]="T5"),statek6[[#This Row],[ile ton]],0)</f>
        <v>0</v>
      </c>
    </row>
    <row r="158" spans="1:10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  <c r="G158">
        <f>MONTH(statek6[[#This Row],[data]])</f>
        <v>4</v>
      </c>
      <c r="H158" t="str">
        <f>_xlfn.CONCAT(YEAR(statek6[[#This Row],[data]]),"-",IF(statek6[[#This Row],[Kolumna1]]&lt;10,_xlfn.CONCAT("0",statek6[[#This Row],[Kolumna1]]),statek6[[#This Row],[Kolumna1]]))</f>
        <v>2018-04</v>
      </c>
      <c r="I158">
        <f>IF(AND(statek6[[#This Row],[Z/W]]="Z",statek6[[#This Row],[towar]]="T5"),statek6[[#This Row],[ile ton]],0)</f>
        <v>0</v>
      </c>
      <c r="J158">
        <f>IF(AND(statek6[[#This Row],[Z/W]]="W",statek6[[#This Row],[towar]]="T5"),statek6[[#This Row],[ile ton]],0)</f>
        <v>0</v>
      </c>
    </row>
    <row r="159" spans="1:10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  <c r="G159">
        <f>MONTH(statek6[[#This Row],[data]])</f>
        <v>4</v>
      </c>
      <c r="H159" t="str">
        <f>_xlfn.CONCAT(YEAR(statek6[[#This Row],[data]]),"-",IF(statek6[[#This Row],[Kolumna1]]&lt;10,_xlfn.CONCAT("0",statek6[[#This Row],[Kolumna1]]),statek6[[#This Row],[Kolumna1]]))</f>
        <v>2018-04</v>
      </c>
      <c r="I159">
        <f>IF(AND(statek6[[#This Row],[Z/W]]="Z",statek6[[#This Row],[towar]]="T5"),statek6[[#This Row],[ile ton]],0)</f>
        <v>0</v>
      </c>
      <c r="J159">
        <f>IF(AND(statek6[[#This Row],[Z/W]]="W",statek6[[#This Row],[towar]]="T5"),statek6[[#This Row],[ile ton]],0)</f>
        <v>0</v>
      </c>
    </row>
    <row r="160" spans="1:10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  <c r="G160">
        <f>MONTH(statek6[[#This Row],[data]])</f>
        <v>5</v>
      </c>
      <c r="H160" t="str">
        <f>_xlfn.CONCAT(YEAR(statek6[[#This Row],[data]]),"-",IF(statek6[[#This Row],[Kolumna1]]&lt;10,_xlfn.CONCAT("0",statek6[[#This Row],[Kolumna1]]),statek6[[#This Row],[Kolumna1]]))</f>
        <v>2018-05</v>
      </c>
      <c r="I160">
        <f>IF(AND(statek6[[#This Row],[Z/W]]="Z",statek6[[#This Row],[towar]]="T5"),statek6[[#This Row],[ile ton]],0)</f>
        <v>0</v>
      </c>
      <c r="J160">
        <f>IF(AND(statek6[[#This Row],[Z/W]]="W",statek6[[#This Row],[towar]]="T5"),statek6[[#This Row],[ile ton]],0)</f>
        <v>0</v>
      </c>
    </row>
    <row r="161" spans="1:10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  <c r="G161">
        <f>MONTH(statek6[[#This Row],[data]])</f>
        <v>5</v>
      </c>
      <c r="H161" t="str">
        <f>_xlfn.CONCAT(YEAR(statek6[[#This Row],[data]]),"-",IF(statek6[[#This Row],[Kolumna1]]&lt;10,_xlfn.CONCAT("0",statek6[[#This Row],[Kolumna1]]),statek6[[#This Row],[Kolumna1]]))</f>
        <v>2018-05</v>
      </c>
      <c r="I161">
        <f>IF(AND(statek6[[#This Row],[Z/W]]="Z",statek6[[#This Row],[towar]]="T5"),statek6[[#This Row],[ile ton]],0)</f>
        <v>0</v>
      </c>
      <c r="J161">
        <f>IF(AND(statek6[[#This Row],[Z/W]]="W",statek6[[#This Row],[towar]]="T5"),statek6[[#This Row],[ile ton]],0)</f>
        <v>0</v>
      </c>
    </row>
    <row r="162" spans="1:10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  <c r="G162">
        <f>MONTH(statek6[[#This Row],[data]])</f>
        <v>5</v>
      </c>
      <c r="H162" t="str">
        <f>_xlfn.CONCAT(YEAR(statek6[[#This Row],[data]]),"-",IF(statek6[[#This Row],[Kolumna1]]&lt;10,_xlfn.CONCAT("0",statek6[[#This Row],[Kolumna1]]),statek6[[#This Row],[Kolumna1]]))</f>
        <v>2018-05</v>
      </c>
      <c r="I162">
        <f>IF(AND(statek6[[#This Row],[Z/W]]="Z",statek6[[#This Row],[towar]]="T5"),statek6[[#This Row],[ile ton]],0)</f>
        <v>0</v>
      </c>
      <c r="J162">
        <f>IF(AND(statek6[[#This Row],[Z/W]]="W",statek6[[#This Row],[towar]]="T5"),statek6[[#This Row],[ile ton]],0)</f>
        <v>0</v>
      </c>
    </row>
    <row r="163" spans="1:10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  <c r="G163">
        <f>MONTH(statek6[[#This Row],[data]])</f>
        <v>6</v>
      </c>
      <c r="H163" t="str">
        <f>_xlfn.CONCAT(YEAR(statek6[[#This Row],[data]]),"-",IF(statek6[[#This Row],[Kolumna1]]&lt;10,_xlfn.CONCAT("0",statek6[[#This Row],[Kolumna1]]),statek6[[#This Row],[Kolumna1]]))</f>
        <v>2018-06</v>
      </c>
      <c r="I163">
        <f>IF(AND(statek6[[#This Row],[Z/W]]="Z",statek6[[#This Row],[towar]]="T5"),statek6[[#This Row],[ile ton]],0)</f>
        <v>0</v>
      </c>
      <c r="J163">
        <f>IF(AND(statek6[[#This Row],[Z/W]]="W",statek6[[#This Row],[towar]]="T5"),statek6[[#This Row],[ile ton]],0)</f>
        <v>0</v>
      </c>
    </row>
    <row r="164" spans="1:10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  <c r="G164">
        <f>MONTH(statek6[[#This Row],[data]])</f>
        <v>6</v>
      </c>
      <c r="H164" t="str">
        <f>_xlfn.CONCAT(YEAR(statek6[[#This Row],[data]]),"-",IF(statek6[[#This Row],[Kolumna1]]&lt;10,_xlfn.CONCAT("0",statek6[[#This Row],[Kolumna1]]),statek6[[#This Row],[Kolumna1]]))</f>
        <v>2018-06</v>
      </c>
      <c r="I164">
        <f>IF(AND(statek6[[#This Row],[Z/W]]="Z",statek6[[#This Row],[towar]]="T5"),statek6[[#This Row],[ile ton]],0)</f>
        <v>48</v>
      </c>
      <c r="J164">
        <f>IF(AND(statek6[[#This Row],[Z/W]]="W",statek6[[#This Row],[towar]]="T5"),statek6[[#This Row],[ile ton]],0)</f>
        <v>0</v>
      </c>
    </row>
    <row r="165" spans="1:10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  <c r="G165">
        <f>MONTH(statek6[[#This Row],[data]])</f>
        <v>6</v>
      </c>
      <c r="H165" t="str">
        <f>_xlfn.CONCAT(YEAR(statek6[[#This Row],[data]]),"-",IF(statek6[[#This Row],[Kolumna1]]&lt;10,_xlfn.CONCAT("0",statek6[[#This Row],[Kolumna1]]),statek6[[#This Row],[Kolumna1]]))</f>
        <v>2018-06</v>
      </c>
      <c r="I165">
        <f>IF(AND(statek6[[#This Row],[Z/W]]="Z",statek6[[#This Row],[towar]]="T5"),statek6[[#This Row],[ile ton]],0)</f>
        <v>0</v>
      </c>
      <c r="J165">
        <f>IF(AND(statek6[[#This Row],[Z/W]]="W",statek6[[#This Row],[towar]]="T5"),statek6[[#This Row],[ile ton]],0)</f>
        <v>0</v>
      </c>
    </row>
    <row r="166" spans="1:10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  <c r="G166">
        <f>MONTH(statek6[[#This Row],[data]])</f>
        <v>6</v>
      </c>
      <c r="H166" t="str">
        <f>_xlfn.CONCAT(YEAR(statek6[[#This Row],[data]]),"-",IF(statek6[[#This Row],[Kolumna1]]&lt;10,_xlfn.CONCAT("0",statek6[[#This Row],[Kolumna1]]),statek6[[#This Row],[Kolumna1]]))</f>
        <v>2018-06</v>
      </c>
      <c r="I166">
        <f>IF(AND(statek6[[#This Row],[Z/W]]="Z",statek6[[#This Row],[towar]]="T5"),statek6[[#This Row],[ile ton]],0)</f>
        <v>0</v>
      </c>
      <c r="J166">
        <f>IF(AND(statek6[[#This Row],[Z/W]]="W",statek6[[#This Row],[towar]]="T5"),statek6[[#This Row],[ile ton]],0)</f>
        <v>0</v>
      </c>
    </row>
    <row r="167" spans="1:10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  <c r="G167">
        <f>MONTH(statek6[[#This Row],[data]])</f>
        <v>6</v>
      </c>
      <c r="H167" t="str">
        <f>_xlfn.CONCAT(YEAR(statek6[[#This Row],[data]]),"-",IF(statek6[[#This Row],[Kolumna1]]&lt;10,_xlfn.CONCAT("0",statek6[[#This Row],[Kolumna1]]),statek6[[#This Row],[Kolumna1]]))</f>
        <v>2018-06</v>
      </c>
      <c r="I167">
        <f>IF(AND(statek6[[#This Row],[Z/W]]="Z",statek6[[#This Row],[towar]]="T5"),statek6[[#This Row],[ile ton]],0)</f>
        <v>0</v>
      </c>
      <c r="J167">
        <f>IF(AND(statek6[[#This Row],[Z/W]]="W",statek6[[#This Row],[towar]]="T5"),statek6[[#This Row],[ile ton]],0)</f>
        <v>0</v>
      </c>
    </row>
    <row r="168" spans="1:10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  <c r="G168">
        <f>MONTH(statek6[[#This Row],[data]])</f>
        <v>6</v>
      </c>
      <c r="H168" t="str">
        <f>_xlfn.CONCAT(YEAR(statek6[[#This Row],[data]]),"-",IF(statek6[[#This Row],[Kolumna1]]&lt;10,_xlfn.CONCAT("0",statek6[[#This Row],[Kolumna1]]),statek6[[#This Row],[Kolumna1]]))</f>
        <v>2018-06</v>
      </c>
      <c r="I168">
        <f>IF(AND(statek6[[#This Row],[Z/W]]="Z",statek6[[#This Row],[towar]]="T5"),statek6[[#This Row],[ile ton]],0)</f>
        <v>47</v>
      </c>
      <c r="J168">
        <f>IF(AND(statek6[[#This Row],[Z/W]]="W",statek6[[#This Row],[towar]]="T5"),statek6[[#This Row],[ile ton]],0)</f>
        <v>0</v>
      </c>
    </row>
    <row r="169" spans="1:10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  <c r="G169">
        <f>MONTH(statek6[[#This Row],[data]])</f>
        <v>7</v>
      </c>
      <c r="H169" t="str">
        <f>_xlfn.CONCAT(YEAR(statek6[[#This Row],[data]]),"-",IF(statek6[[#This Row],[Kolumna1]]&lt;10,_xlfn.CONCAT("0",statek6[[#This Row],[Kolumna1]]),statek6[[#This Row],[Kolumna1]]))</f>
        <v>2018-07</v>
      </c>
      <c r="I169">
        <f>IF(AND(statek6[[#This Row],[Z/W]]="Z",statek6[[#This Row],[towar]]="T5"),statek6[[#This Row],[ile ton]],0)</f>
        <v>0</v>
      </c>
      <c r="J169">
        <f>IF(AND(statek6[[#This Row],[Z/W]]="W",statek6[[#This Row],[towar]]="T5"),statek6[[#This Row],[ile ton]],0)</f>
        <v>0</v>
      </c>
    </row>
    <row r="170" spans="1:10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  <c r="G170">
        <f>MONTH(statek6[[#This Row],[data]])</f>
        <v>7</v>
      </c>
      <c r="H170" t="str">
        <f>_xlfn.CONCAT(YEAR(statek6[[#This Row],[data]]),"-",IF(statek6[[#This Row],[Kolumna1]]&lt;10,_xlfn.CONCAT("0",statek6[[#This Row],[Kolumna1]]),statek6[[#This Row],[Kolumna1]]))</f>
        <v>2018-07</v>
      </c>
      <c r="I170">
        <f>IF(AND(statek6[[#This Row],[Z/W]]="Z",statek6[[#This Row],[towar]]="T5"),statek6[[#This Row],[ile ton]],0)</f>
        <v>0</v>
      </c>
      <c r="J170">
        <f>IF(AND(statek6[[#This Row],[Z/W]]="W",statek6[[#This Row],[towar]]="T5"),statek6[[#This Row],[ile ton]],0)</f>
        <v>0</v>
      </c>
    </row>
    <row r="171" spans="1:10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  <c r="G171">
        <f>MONTH(statek6[[#This Row],[data]])</f>
        <v>7</v>
      </c>
      <c r="H171" t="str">
        <f>_xlfn.CONCAT(YEAR(statek6[[#This Row],[data]]),"-",IF(statek6[[#This Row],[Kolumna1]]&lt;10,_xlfn.CONCAT("0",statek6[[#This Row],[Kolumna1]]),statek6[[#This Row],[Kolumna1]]))</f>
        <v>2018-07</v>
      </c>
      <c r="I171">
        <f>IF(AND(statek6[[#This Row],[Z/W]]="Z",statek6[[#This Row],[towar]]="T5"),statek6[[#This Row],[ile ton]],0)</f>
        <v>0</v>
      </c>
      <c r="J171">
        <f>IF(AND(statek6[[#This Row],[Z/W]]="W",statek6[[#This Row],[towar]]="T5"),statek6[[#This Row],[ile ton]],0)</f>
        <v>0</v>
      </c>
    </row>
    <row r="172" spans="1:10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  <c r="G172">
        <f>MONTH(statek6[[#This Row],[data]])</f>
        <v>7</v>
      </c>
      <c r="H172" t="str">
        <f>_xlfn.CONCAT(YEAR(statek6[[#This Row],[data]]),"-",IF(statek6[[#This Row],[Kolumna1]]&lt;10,_xlfn.CONCAT("0",statek6[[#This Row],[Kolumna1]]),statek6[[#This Row],[Kolumna1]]))</f>
        <v>2018-07</v>
      </c>
      <c r="I172">
        <f>IF(AND(statek6[[#This Row],[Z/W]]="Z",statek6[[#This Row],[towar]]="T5"),statek6[[#This Row],[ile ton]],0)</f>
        <v>25</v>
      </c>
      <c r="J172">
        <f>IF(AND(statek6[[#This Row],[Z/W]]="W",statek6[[#This Row],[towar]]="T5"),statek6[[#This Row],[ile ton]],0)</f>
        <v>0</v>
      </c>
    </row>
    <row r="173" spans="1:10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  <c r="G173">
        <f>MONTH(statek6[[#This Row],[data]])</f>
        <v>7</v>
      </c>
      <c r="H173" t="str">
        <f>_xlfn.CONCAT(YEAR(statek6[[#This Row],[data]]),"-",IF(statek6[[#This Row],[Kolumna1]]&lt;10,_xlfn.CONCAT("0",statek6[[#This Row],[Kolumna1]]),statek6[[#This Row],[Kolumna1]]))</f>
        <v>2018-07</v>
      </c>
      <c r="I173">
        <f>IF(AND(statek6[[#This Row],[Z/W]]="Z",statek6[[#This Row],[towar]]="T5"),statek6[[#This Row],[ile ton]],0)</f>
        <v>0</v>
      </c>
      <c r="J173">
        <f>IF(AND(statek6[[#This Row],[Z/W]]="W",statek6[[#This Row],[towar]]="T5"),statek6[[#This Row],[ile ton]],0)</f>
        <v>0</v>
      </c>
    </row>
    <row r="174" spans="1:10" x14ac:dyDescent="0.2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  <c r="G174">
        <f>MONTH(statek6[[#This Row],[data]])</f>
        <v>8</v>
      </c>
      <c r="H174" t="str">
        <f>_xlfn.CONCAT(YEAR(statek6[[#This Row],[data]]),"-",IF(statek6[[#This Row],[Kolumna1]]&lt;10,_xlfn.CONCAT("0",statek6[[#This Row],[Kolumna1]]),statek6[[#This Row],[Kolumna1]]))</f>
        <v>2018-08</v>
      </c>
      <c r="I174">
        <f>IF(AND(statek6[[#This Row],[Z/W]]="Z",statek6[[#This Row],[towar]]="T5"),statek6[[#This Row],[ile ton]],0)</f>
        <v>0</v>
      </c>
      <c r="J174">
        <f>IF(AND(statek6[[#This Row],[Z/W]]="W",statek6[[#This Row],[towar]]="T5"),statek6[[#This Row],[ile ton]],0)</f>
        <v>0</v>
      </c>
    </row>
    <row r="175" spans="1:10" x14ac:dyDescent="0.2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  <c r="G175">
        <f>MONTH(statek6[[#This Row],[data]])</f>
        <v>8</v>
      </c>
      <c r="H175" t="str">
        <f>_xlfn.CONCAT(YEAR(statek6[[#This Row],[data]]),"-",IF(statek6[[#This Row],[Kolumna1]]&lt;10,_xlfn.CONCAT("0",statek6[[#This Row],[Kolumna1]]),statek6[[#This Row],[Kolumna1]]))</f>
        <v>2018-08</v>
      </c>
      <c r="I175">
        <f>IF(AND(statek6[[#This Row],[Z/W]]="Z",statek6[[#This Row],[towar]]="T5"),statek6[[#This Row],[ile ton]],0)</f>
        <v>0</v>
      </c>
      <c r="J175">
        <f>IF(AND(statek6[[#This Row],[Z/W]]="W",statek6[[#This Row],[towar]]="T5"),statek6[[#This Row],[ile ton]],0)</f>
        <v>121</v>
      </c>
    </row>
    <row r="176" spans="1:10" x14ac:dyDescent="0.2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  <c r="G176">
        <f>MONTH(statek6[[#This Row],[data]])</f>
        <v>8</v>
      </c>
      <c r="H176" t="str">
        <f>_xlfn.CONCAT(YEAR(statek6[[#This Row],[data]]),"-",IF(statek6[[#This Row],[Kolumna1]]&lt;10,_xlfn.CONCAT("0",statek6[[#This Row],[Kolumna1]]),statek6[[#This Row],[Kolumna1]]))</f>
        <v>2018-08</v>
      </c>
      <c r="I176">
        <f>IF(AND(statek6[[#This Row],[Z/W]]="Z",statek6[[#This Row],[towar]]="T5"),statek6[[#This Row],[ile ton]],0)</f>
        <v>0</v>
      </c>
      <c r="J176">
        <f>IF(AND(statek6[[#This Row],[Z/W]]="W",statek6[[#This Row],[towar]]="T5"),statek6[[#This Row],[ile ton]],0)</f>
        <v>0</v>
      </c>
    </row>
    <row r="177" spans="1:10" x14ac:dyDescent="0.2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  <c r="G177">
        <f>MONTH(statek6[[#This Row],[data]])</f>
        <v>8</v>
      </c>
      <c r="H177" t="str">
        <f>_xlfn.CONCAT(YEAR(statek6[[#This Row],[data]]),"-",IF(statek6[[#This Row],[Kolumna1]]&lt;10,_xlfn.CONCAT("0",statek6[[#This Row],[Kolumna1]]),statek6[[#This Row],[Kolumna1]]))</f>
        <v>2018-08</v>
      </c>
      <c r="I177">
        <f>IF(AND(statek6[[#This Row],[Z/W]]="Z",statek6[[#This Row],[towar]]="T5"),statek6[[#This Row],[ile ton]],0)</f>
        <v>0</v>
      </c>
      <c r="J177">
        <f>IF(AND(statek6[[#This Row],[Z/W]]="W",statek6[[#This Row],[towar]]="T5"),statek6[[#This Row],[ile ton]],0)</f>
        <v>0</v>
      </c>
    </row>
    <row r="178" spans="1:10" x14ac:dyDescent="0.2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  <c r="G178">
        <f>MONTH(statek6[[#This Row],[data]])</f>
        <v>8</v>
      </c>
      <c r="H178" t="str">
        <f>_xlfn.CONCAT(YEAR(statek6[[#This Row],[data]]),"-",IF(statek6[[#This Row],[Kolumna1]]&lt;10,_xlfn.CONCAT("0",statek6[[#This Row],[Kolumna1]]),statek6[[#This Row],[Kolumna1]]))</f>
        <v>2018-08</v>
      </c>
      <c r="I178">
        <f>IF(AND(statek6[[#This Row],[Z/W]]="Z",statek6[[#This Row],[towar]]="T5"),statek6[[#This Row],[ile ton]],0)</f>
        <v>0</v>
      </c>
      <c r="J178">
        <f>IF(AND(statek6[[#This Row],[Z/W]]="W",statek6[[#This Row],[towar]]="T5"),statek6[[#This Row],[ile ton]],0)</f>
        <v>0</v>
      </c>
    </row>
    <row r="179" spans="1:10" x14ac:dyDescent="0.2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  <c r="G179">
        <f>MONTH(statek6[[#This Row],[data]])</f>
        <v>8</v>
      </c>
      <c r="H179" t="str">
        <f>_xlfn.CONCAT(YEAR(statek6[[#This Row],[data]]),"-",IF(statek6[[#This Row],[Kolumna1]]&lt;10,_xlfn.CONCAT("0",statek6[[#This Row],[Kolumna1]]),statek6[[#This Row],[Kolumna1]]))</f>
        <v>2018-08</v>
      </c>
      <c r="I179">
        <f>IF(AND(statek6[[#This Row],[Z/W]]="Z",statek6[[#This Row],[towar]]="T5"),statek6[[#This Row],[ile ton]],0)</f>
        <v>0</v>
      </c>
      <c r="J179">
        <f>IF(AND(statek6[[#This Row],[Z/W]]="W",statek6[[#This Row],[towar]]="T5"),statek6[[#This Row],[ile ton]],0)</f>
        <v>0</v>
      </c>
    </row>
    <row r="180" spans="1:10" x14ac:dyDescent="0.2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  <c r="G180">
        <f>MONTH(statek6[[#This Row],[data]])</f>
        <v>8</v>
      </c>
      <c r="H180" t="str">
        <f>_xlfn.CONCAT(YEAR(statek6[[#This Row],[data]]),"-",IF(statek6[[#This Row],[Kolumna1]]&lt;10,_xlfn.CONCAT("0",statek6[[#This Row],[Kolumna1]]),statek6[[#This Row],[Kolumna1]]))</f>
        <v>2018-08</v>
      </c>
      <c r="I180">
        <f>IF(AND(statek6[[#This Row],[Z/W]]="Z",statek6[[#This Row],[towar]]="T5"),statek6[[#This Row],[ile ton]],0)</f>
        <v>0</v>
      </c>
      <c r="J180">
        <f>IF(AND(statek6[[#This Row],[Z/W]]="W",statek6[[#This Row],[towar]]="T5"),statek6[[#This Row],[ile ton]],0)</f>
        <v>0</v>
      </c>
    </row>
    <row r="181" spans="1:10" x14ac:dyDescent="0.2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  <c r="G181">
        <f>MONTH(statek6[[#This Row],[data]])</f>
        <v>8</v>
      </c>
      <c r="H181" t="str">
        <f>_xlfn.CONCAT(YEAR(statek6[[#This Row],[data]]),"-",IF(statek6[[#This Row],[Kolumna1]]&lt;10,_xlfn.CONCAT("0",statek6[[#This Row],[Kolumna1]]),statek6[[#This Row],[Kolumna1]]))</f>
        <v>2018-08</v>
      </c>
      <c r="I181">
        <f>IF(AND(statek6[[#This Row],[Z/W]]="Z",statek6[[#This Row],[towar]]="T5"),statek6[[#This Row],[ile ton]],0)</f>
        <v>22</v>
      </c>
      <c r="J181">
        <f>IF(AND(statek6[[#This Row],[Z/W]]="W",statek6[[#This Row],[towar]]="T5"),statek6[[#This Row],[ile ton]],0)</f>
        <v>0</v>
      </c>
    </row>
    <row r="182" spans="1:10" x14ac:dyDescent="0.2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  <c r="G182">
        <f>MONTH(statek6[[#This Row],[data]])</f>
        <v>9</v>
      </c>
      <c r="H182" t="str">
        <f>_xlfn.CONCAT(YEAR(statek6[[#This Row],[data]]),"-",IF(statek6[[#This Row],[Kolumna1]]&lt;10,_xlfn.CONCAT("0",statek6[[#This Row],[Kolumna1]]),statek6[[#This Row],[Kolumna1]]))</f>
        <v>2018-09</v>
      </c>
      <c r="I182">
        <f>IF(AND(statek6[[#This Row],[Z/W]]="Z",statek6[[#This Row],[towar]]="T5"),statek6[[#This Row],[ile ton]],0)</f>
        <v>0</v>
      </c>
      <c r="J182">
        <f>IF(AND(statek6[[#This Row],[Z/W]]="W",statek6[[#This Row],[towar]]="T5"),statek6[[#This Row],[ile ton]],0)</f>
        <v>0</v>
      </c>
    </row>
    <row r="183" spans="1:10" x14ac:dyDescent="0.2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  <c r="G183">
        <f>MONTH(statek6[[#This Row],[data]])</f>
        <v>9</v>
      </c>
      <c r="H183" t="str">
        <f>_xlfn.CONCAT(YEAR(statek6[[#This Row],[data]]),"-",IF(statek6[[#This Row],[Kolumna1]]&lt;10,_xlfn.CONCAT("0",statek6[[#This Row],[Kolumna1]]),statek6[[#This Row],[Kolumna1]]))</f>
        <v>2018-09</v>
      </c>
      <c r="I183">
        <f>IF(AND(statek6[[#This Row],[Z/W]]="Z",statek6[[#This Row],[towar]]="T5"),statek6[[#This Row],[ile ton]],0)</f>
        <v>0</v>
      </c>
      <c r="J183">
        <f>IF(AND(statek6[[#This Row],[Z/W]]="W",statek6[[#This Row],[towar]]="T5"),statek6[[#This Row],[ile ton]],0)</f>
        <v>0</v>
      </c>
    </row>
    <row r="184" spans="1:10" x14ac:dyDescent="0.2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  <c r="G184">
        <f>MONTH(statek6[[#This Row],[data]])</f>
        <v>9</v>
      </c>
      <c r="H184" t="str">
        <f>_xlfn.CONCAT(YEAR(statek6[[#This Row],[data]]),"-",IF(statek6[[#This Row],[Kolumna1]]&lt;10,_xlfn.CONCAT("0",statek6[[#This Row],[Kolumna1]]),statek6[[#This Row],[Kolumna1]]))</f>
        <v>2018-09</v>
      </c>
      <c r="I184">
        <f>IF(AND(statek6[[#This Row],[Z/W]]="Z",statek6[[#This Row],[towar]]="T5"),statek6[[#This Row],[ile ton]],0)</f>
        <v>0</v>
      </c>
      <c r="J184">
        <f>IF(AND(statek6[[#This Row],[Z/W]]="W",statek6[[#This Row],[towar]]="T5"),statek6[[#This Row],[ile ton]],0)</f>
        <v>0</v>
      </c>
    </row>
    <row r="185" spans="1:10" x14ac:dyDescent="0.2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  <c r="G185">
        <f>MONTH(statek6[[#This Row],[data]])</f>
        <v>9</v>
      </c>
      <c r="H185" t="str">
        <f>_xlfn.CONCAT(YEAR(statek6[[#This Row],[data]]),"-",IF(statek6[[#This Row],[Kolumna1]]&lt;10,_xlfn.CONCAT("0",statek6[[#This Row],[Kolumna1]]),statek6[[#This Row],[Kolumna1]]))</f>
        <v>2018-09</v>
      </c>
      <c r="I185">
        <f>IF(AND(statek6[[#This Row],[Z/W]]="Z",statek6[[#This Row],[towar]]="T5"),statek6[[#This Row],[ile ton]],0)</f>
        <v>0</v>
      </c>
      <c r="J185">
        <f>IF(AND(statek6[[#This Row],[Z/W]]="W",statek6[[#This Row],[towar]]="T5"),statek6[[#This Row],[ile ton]],0)</f>
        <v>0</v>
      </c>
    </row>
    <row r="186" spans="1:10" x14ac:dyDescent="0.2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  <c r="G186">
        <f>MONTH(statek6[[#This Row],[data]])</f>
        <v>9</v>
      </c>
      <c r="H186" t="str">
        <f>_xlfn.CONCAT(YEAR(statek6[[#This Row],[data]]),"-",IF(statek6[[#This Row],[Kolumna1]]&lt;10,_xlfn.CONCAT("0",statek6[[#This Row],[Kolumna1]]),statek6[[#This Row],[Kolumna1]]))</f>
        <v>2018-09</v>
      </c>
      <c r="I186">
        <f>IF(AND(statek6[[#This Row],[Z/W]]="Z",statek6[[#This Row],[towar]]="T5"),statek6[[#This Row],[ile ton]],0)</f>
        <v>0</v>
      </c>
      <c r="J186">
        <f>IF(AND(statek6[[#This Row],[Z/W]]="W",statek6[[#This Row],[towar]]="T5"),statek6[[#This Row],[ile ton]],0)</f>
        <v>0</v>
      </c>
    </row>
    <row r="187" spans="1:10" x14ac:dyDescent="0.2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  <c r="G187">
        <f>MONTH(statek6[[#This Row],[data]])</f>
        <v>9</v>
      </c>
      <c r="H187" t="str">
        <f>_xlfn.CONCAT(YEAR(statek6[[#This Row],[data]]),"-",IF(statek6[[#This Row],[Kolumna1]]&lt;10,_xlfn.CONCAT("0",statek6[[#This Row],[Kolumna1]]),statek6[[#This Row],[Kolumna1]]))</f>
        <v>2018-09</v>
      </c>
      <c r="I187">
        <f>IF(AND(statek6[[#This Row],[Z/W]]="Z",statek6[[#This Row],[towar]]="T5"),statek6[[#This Row],[ile ton]],0)</f>
        <v>0</v>
      </c>
      <c r="J187">
        <f>IF(AND(statek6[[#This Row],[Z/W]]="W",statek6[[#This Row],[towar]]="T5"),statek6[[#This Row],[ile ton]],0)</f>
        <v>26</v>
      </c>
    </row>
    <row r="188" spans="1:10" x14ac:dyDescent="0.2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  <c r="G188">
        <f>MONTH(statek6[[#This Row],[data]])</f>
        <v>9</v>
      </c>
      <c r="H188" t="str">
        <f>_xlfn.CONCAT(YEAR(statek6[[#This Row],[data]]),"-",IF(statek6[[#This Row],[Kolumna1]]&lt;10,_xlfn.CONCAT("0",statek6[[#This Row],[Kolumna1]]),statek6[[#This Row],[Kolumna1]]))</f>
        <v>2018-09</v>
      </c>
      <c r="I188">
        <f>IF(AND(statek6[[#This Row],[Z/W]]="Z",statek6[[#This Row],[towar]]="T5"),statek6[[#This Row],[ile ton]],0)</f>
        <v>0</v>
      </c>
      <c r="J188">
        <f>IF(AND(statek6[[#This Row],[Z/W]]="W",statek6[[#This Row],[towar]]="T5"),statek6[[#This Row],[ile ton]],0)</f>
        <v>0</v>
      </c>
    </row>
    <row r="189" spans="1:10" x14ac:dyDescent="0.2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  <c r="G189">
        <f>MONTH(statek6[[#This Row],[data]])</f>
        <v>9</v>
      </c>
      <c r="H189" t="str">
        <f>_xlfn.CONCAT(YEAR(statek6[[#This Row],[data]]),"-",IF(statek6[[#This Row],[Kolumna1]]&lt;10,_xlfn.CONCAT("0",statek6[[#This Row],[Kolumna1]]),statek6[[#This Row],[Kolumna1]]))</f>
        <v>2018-09</v>
      </c>
      <c r="I189">
        <f>IF(AND(statek6[[#This Row],[Z/W]]="Z",statek6[[#This Row],[towar]]="T5"),statek6[[#This Row],[ile ton]],0)</f>
        <v>0</v>
      </c>
      <c r="J189">
        <f>IF(AND(statek6[[#This Row],[Z/W]]="W",statek6[[#This Row],[towar]]="T5"),statek6[[#This Row],[ile ton]],0)</f>
        <v>0</v>
      </c>
    </row>
    <row r="190" spans="1:10" x14ac:dyDescent="0.2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  <c r="G190">
        <f>MONTH(statek6[[#This Row],[data]])</f>
        <v>9</v>
      </c>
      <c r="H190" t="str">
        <f>_xlfn.CONCAT(YEAR(statek6[[#This Row],[data]]),"-",IF(statek6[[#This Row],[Kolumna1]]&lt;10,_xlfn.CONCAT("0",statek6[[#This Row],[Kolumna1]]),statek6[[#This Row],[Kolumna1]]))</f>
        <v>2018-09</v>
      </c>
      <c r="I190">
        <f>IF(AND(statek6[[#This Row],[Z/W]]="Z",statek6[[#This Row],[towar]]="T5"),statek6[[#This Row],[ile ton]],0)</f>
        <v>0</v>
      </c>
      <c r="J190">
        <f>IF(AND(statek6[[#This Row],[Z/W]]="W",statek6[[#This Row],[towar]]="T5"),statek6[[#This Row],[ile ton]],0)</f>
        <v>0</v>
      </c>
    </row>
    <row r="191" spans="1:10" x14ac:dyDescent="0.2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  <c r="G191">
        <f>MONTH(statek6[[#This Row],[data]])</f>
        <v>10</v>
      </c>
      <c r="H191" t="str">
        <f>_xlfn.CONCAT(YEAR(statek6[[#This Row],[data]]),"-",IF(statek6[[#This Row],[Kolumna1]]&lt;10,_xlfn.CONCAT("0",statek6[[#This Row],[Kolumna1]]),statek6[[#This Row],[Kolumna1]]))</f>
        <v>2018-10</v>
      </c>
      <c r="I191">
        <f>IF(AND(statek6[[#This Row],[Z/W]]="Z",statek6[[#This Row],[towar]]="T5"),statek6[[#This Row],[ile ton]],0)</f>
        <v>0</v>
      </c>
      <c r="J191">
        <f>IF(AND(statek6[[#This Row],[Z/W]]="W",statek6[[#This Row],[towar]]="T5"),statek6[[#This Row],[ile ton]],0)</f>
        <v>0</v>
      </c>
    </row>
    <row r="192" spans="1:10" x14ac:dyDescent="0.2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  <c r="G192">
        <f>MONTH(statek6[[#This Row],[data]])</f>
        <v>10</v>
      </c>
      <c r="H192" t="str">
        <f>_xlfn.CONCAT(YEAR(statek6[[#This Row],[data]]),"-",IF(statek6[[#This Row],[Kolumna1]]&lt;10,_xlfn.CONCAT("0",statek6[[#This Row],[Kolumna1]]),statek6[[#This Row],[Kolumna1]]))</f>
        <v>2018-10</v>
      </c>
      <c r="I192">
        <f>IF(AND(statek6[[#This Row],[Z/W]]="Z",statek6[[#This Row],[towar]]="T5"),statek6[[#This Row],[ile ton]],0)</f>
        <v>0</v>
      </c>
      <c r="J192">
        <f>IF(AND(statek6[[#This Row],[Z/W]]="W",statek6[[#This Row],[towar]]="T5"),statek6[[#This Row],[ile ton]],0)</f>
        <v>0</v>
      </c>
    </row>
    <row r="193" spans="1:10" x14ac:dyDescent="0.2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  <c r="G193">
        <f>MONTH(statek6[[#This Row],[data]])</f>
        <v>10</v>
      </c>
      <c r="H193" t="str">
        <f>_xlfn.CONCAT(YEAR(statek6[[#This Row],[data]]),"-",IF(statek6[[#This Row],[Kolumna1]]&lt;10,_xlfn.CONCAT("0",statek6[[#This Row],[Kolumna1]]),statek6[[#This Row],[Kolumna1]]))</f>
        <v>2018-10</v>
      </c>
      <c r="I193">
        <f>IF(AND(statek6[[#This Row],[Z/W]]="Z",statek6[[#This Row],[towar]]="T5"),statek6[[#This Row],[ile ton]],0)</f>
        <v>20</v>
      </c>
      <c r="J193">
        <f>IF(AND(statek6[[#This Row],[Z/W]]="W",statek6[[#This Row],[towar]]="T5"),statek6[[#This Row],[ile ton]],0)</f>
        <v>0</v>
      </c>
    </row>
    <row r="194" spans="1:10" x14ac:dyDescent="0.2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  <c r="G194">
        <f>MONTH(statek6[[#This Row],[data]])</f>
        <v>11</v>
      </c>
      <c r="H194" t="str">
        <f>_xlfn.CONCAT(YEAR(statek6[[#This Row],[data]]),"-",IF(statek6[[#This Row],[Kolumna1]]&lt;10,_xlfn.CONCAT("0",statek6[[#This Row],[Kolumna1]]),statek6[[#This Row],[Kolumna1]]))</f>
        <v>2018-11</v>
      </c>
      <c r="I194">
        <f>IF(AND(statek6[[#This Row],[Z/W]]="Z",statek6[[#This Row],[towar]]="T5"),statek6[[#This Row],[ile ton]],0)</f>
        <v>0</v>
      </c>
      <c r="J194">
        <f>IF(AND(statek6[[#This Row],[Z/W]]="W",statek6[[#This Row],[towar]]="T5"),statek6[[#This Row],[ile ton]],0)</f>
        <v>0</v>
      </c>
    </row>
    <row r="195" spans="1:10" x14ac:dyDescent="0.2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  <c r="G195">
        <f>MONTH(statek6[[#This Row],[data]])</f>
        <v>11</v>
      </c>
      <c r="H195" t="str">
        <f>_xlfn.CONCAT(YEAR(statek6[[#This Row],[data]]),"-",IF(statek6[[#This Row],[Kolumna1]]&lt;10,_xlfn.CONCAT("0",statek6[[#This Row],[Kolumna1]]),statek6[[#This Row],[Kolumna1]]))</f>
        <v>2018-11</v>
      </c>
      <c r="I195">
        <f>IF(AND(statek6[[#This Row],[Z/W]]="Z",statek6[[#This Row],[towar]]="T5"),statek6[[#This Row],[ile ton]],0)</f>
        <v>48</v>
      </c>
      <c r="J195">
        <f>IF(AND(statek6[[#This Row],[Z/W]]="W",statek6[[#This Row],[towar]]="T5"),statek6[[#This Row],[ile ton]],0)</f>
        <v>0</v>
      </c>
    </row>
    <row r="196" spans="1:10" x14ac:dyDescent="0.2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  <c r="G196">
        <f>MONTH(statek6[[#This Row],[data]])</f>
        <v>11</v>
      </c>
      <c r="H196" t="str">
        <f>_xlfn.CONCAT(YEAR(statek6[[#This Row],[data]]),"-",IF(statek6[[#This Row],[Kolumna1]]&lt;10,_xlfn.CONCAT("0",statek6[[#This Row],[Kolumna1]]),statek6[[#This Row],[Kolumna1]]))</f>
        <v>2018-11</v>
      </c>
      <c r="I196">
        <f>IF(AND(statek6[[#This Row],[Z/W]]="Z",statek6[[#This Row],[towar]]="T5"),statek6[[#This Row],[ile ton]],0)</f>
        <v>0</v>
      </c>
      <c r="J196">
        <f>IF(AND(statek6[[#This Row],[Z/W]]="W",statek6[[#This Row],[towar]]="T5"),statek6[[#This Row],[ile ton]],0)</f>
        <v>64</v>
      </c>
    </row>
    <row r="197" spans="1:10" x14ac:dyDescent="0.2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  <c r="G197">
        <f>MONTH(statek6[[#This Row],[data]])</f>
        <v>11</v>
      </c>
      <c r="H197" t="str">
        <f>_xlfn.CONCAT(YEAR(statek6[[#This Row],[data]]),"-",IF(statek6[[#This Row],[Kolumna1]]&lt;10,_xlfn.CONCAT("0",statek6[[#This Row],[Kolumna1]]),statek6[[#This Row],[Kolumna1]]))</f>
        <v>2018-11</v>
      </c>
      <c r="I197">
        <f>IF(AND(statek6[[#This Row],[Z/W]]="Z",statek6[[#This Row],[towar]]="T5"),statek6[[#This Row],[ile ton]],0)</f>
        <v>0</v>
      </c>
      <c r="J197">
        <f>IF(AND(statek6[[#This Row],[Z/W]]="W",statek6[[#This Row],[towar]]="T5"),statek6[[#This Row],[ile ton]],0)</f>
        <v>0</v>
      </c>
    </row>
    <row r="198" spans="1:10" x14ac:dyDescent="0.2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  <c r="G198">
        <f>MONTH(statek6[[#This Row],[data]])</f>
        <v>11</v>
      </c>
      <c r="H198" t="str">
        <f>_xlfn.CONCAT(YEAR(statek6[[#This Row],[data]]),"-",IF(statek6[[#This Row],[Kolumna1]]&lt;10,_xlfn.CONCAT("0",statek6[[#This Row],[Kolumna1]]),statek6[[#This Row],[Kolumna1]]))</f>
        <v>2018-11</v>
      </c>
      <c r="I198">
        <f>IF(AND(statek6[[#This Row],[Z/W]]="Z",statek6[[#This Row],[towar]]="T5"),statek6[[#This Row],[ile ton]],0)</f>
        <v>0</v>
      </c>
      <c r="J198">
        <f>IF(AND(statek6[[#This Row],[Z/W]]="W",statek6[[#This Row],[towar]]="T5"),statek6[[#This Row],[ile ton]],0)</f>
        <v>0</v>
      </c>
    </row>
    <row r="199" spans="1:10" x14ac:dyDescent="0.2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  <c r="G199">
        <f>MONTH(statek6[[#This Row],[data]])</f>
        <v>12</v>
      </c>
      <c r="H199" t="str">
        <f>_xlfn.CONCAT(YEAR(statek6[[#This Row],[data]]),"-",IF(statek6[[#This Row],[Kolumna1]]&lt;10,_xlfn.CONCAT("0",statek6[[#This Row],[Kolumna1]]),statek6[[#This Row],[Kolumna1]]))</f>
        <v>2018-12</v>
      </c>
      <c r="I199">
        <f>IF(AND(statek6[[#This Row],[Z/W]]="Z",statek6[[#This Row],[towar]]="T5"),statek6[[#This Row],[ile ton]],0)</f>
        <v>0</v>
      </c>
      <c r="J199">
        <f>IF(AND(statek6[[#This Row],[Z/W]]="W",statek6[[#This Row],[towar]]="T5"),statek6[[#This Row],[ile ton]],0)</f>
        <v>4</v>
      </c>
    </row>
    <row r="200" spans="1:10" x14ac:dyDescent="0.2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  <c r="G200">
        <f>MONTH(statek6[[#This Row],[data]])</f>
        <v>12</v>
      </c>
      <c r="H200" t="str">
        <f>_xlfn.CONCAT(YEAR(statek6[[#This Row],[data]]),"-",IF(statek6[[#This Row],[Kolumna1]]&lt;10,_xlfn.CONCAT("0",statek6[[#This Row],[Kolumna1]]),statek6[[#This Row],[Kolumna1]]))</f>
        <v>2018-12</v>
      </c>
      <c r="I200">
        <f>IF(AND(statek6[[#This Row],[Z/W]]="Z",statek6[[#This Row],[towar]]="T5"),statek6[[#This Row],[ile ton]],0)</f>
        <v>0</v>
      </c>
      <c r="J200">
        <f>IF(AND(statek6[[#This Row],[Z/W]]="W",statek6[[#This Row],[towar]]="T5"),statek6[[#This Row],[ile ton]],0)</f>
        <v>0</v>
      </c>
    </row>
    <row r="201" spans="1:10" x14ac:dyDescent="0.2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  <c r="G201">
        <f>MONTH(statek6[[#This Row],[data]])</f>
        <v>12</v>
      </c>
      <c r="H201" t="str">
        <f>_xlfn.CONCAT(YEAR(statek6[[#This Row],[data]]),"-",IF(statek6[[#This Row],[Kolumna1]]&lt;10,_xlfn.CONCAT("0",statek6[[#This Row],[Kolumna1]]),statek6[[#This Row],[Kolumna1]]))</f>
        <v>2018-12</v>
      </c>
      <c r="I201">
        <f>IF(AND(statek6[[#This Row],[Z/W]]="Z",statek6[[#This Row],[towar]]="T5"),statek6[[#This Row],[ile ton]],0)</f>
        <v>0</v>
      </c>
      <c r="J201">
        <f>IF(AND(statek6[[#This Row],[Z/W]]="W",statek6[[#This Row],[towar]]="T5"),statek6[[#This Row],[ile ton]],0)</f>
        <v>0</v>
      </c>
    </row>
    <row r="202" spans="1:10" x14ac:dyDescent="0.2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  <c r="G202">
        <f>MONTH(statek6[[#This Row],[data]])</f>
        <v>12</v>
      </c>
      <c r="H202" t="str">
        <f>_xlfn.CONCAT(YEAR(statek6[[#This Row],[data]]),"-",IF(statek6[[#This Row],[Kolumna1]]&lt;10,_xlfn.CONCAT("0",statek6[[#This Row],[Kolumna1]]),statek6[[#This Row],[Kolumna1]]))</f>
        <v>2018-12</v>
      </c>
      <c r="I202">
        <f>IF(AND(statek6[[#This Row],[Z/W]]="Z",statek6[[#This Row],[towar]]="T5"),statek6[[#This Row],[ile ton]],0)</f>
        <v>0</v>
      </c>
      <c r="J202">
        <f>IF(AND(statek6[[#This Row],[Z/W]]="W",statek6[[#This Row],[towar]]="T5"),statek6[[#This Row],[ile ton]],0)</f>
        <v>0</v>
      </c>
    </row>
    <row r="203" spans="1:10" x14ac:dyDescent="0.2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  <c r="G203">
        <f>MONTH(statek6[[#This Row],[data]])</f>
        <v>12</v>
      </c>
      <c r="H203" t="str">
        <f>_xlfn.CONCAT(YEAR(statek6[[#This Row],[data]]),"-",IF(statek6[[#This Row],[Kolumna1]]&lt;10,_xlfn.CONCAT("0",statek6[[#This Row],[Kolumna1]]),statek6[[#This Row],[Kolumna1]]))</f>
        <v>2018-12</v>
      </c>
      <c r="I203">
        <f>IF(AND(statek6[[#This Row],[Z/W]]="Z",statek6[[#This Row],[towar]]="T5"),statek6[[#This Row],[ile ton]],0)</f>
        <v>0</v>
      </c>
      <c r="J203">
        <f>IF(AND(statek6[[#This Row],[Z/W]]="W",statek6[[#This Row],[towar]]="T5"),statek6[[#This Row],[ile ton]],0)</f>
        <v>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2BEB-F421-4A13-BB2E-8E73D21E0563}">
  <dimension ref="A1:F203"/>
  <sheetViews>
    <sheetView zoomScaleNormal="100" workbookViewId="0">
      <selection activeCell="G1" sqref="G1"/>
    </sheetView>
  </sheetViews>
  <sheetFormatPr defaultColWidth="11.5703125" defaultRowHeight="15" x14ac:dyDescent="0.25"/>
  <cols>
    <col min="1" max="1" width="10.140625" bestFit="1" customWidth="1"/>
    <col min="2" max="2" width="11.42578125" bestFit="1" customWidth="1"/>
    <col min="3" max="3" width="8.42578125" bestFit="1" customWidth="1"/>
    <col min="4" max="4" width="7.140625" bestFit="1" customWidth="1"/>
    <col min="5" max="5" width="9" bestFit="1" customWidth="1"/>
    <col min="6" max="6" width="24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</row>
    <row r="3" spans="1:6" x14ac:dyDescent="0.2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</row>
    <row r="4" spans="1:6" x14ac:dyDescent="0.2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</row>
    <row r="5" spans="1:6" x14ac:dyDescent="0.2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</row>
    <row r="6" spans="1:6" x14ac:dyDescent="0.2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</row>
    <row r="7" spans="1:6" x14ac:dyDescent="0.2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</row>
    <row r="8" spans="1:6" x14ac:dyDescent="0.2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</row>
    <row r="9" spans="1:6" x14ac:dyDescent="0.2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</row>
    <row r="10" spans="1:6" x14ac:dyDescent="0.2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</row>
    <row r="11" spans="1:6" x14ac:dyDescent="0.2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</row>
    <row r="12" spans="1:6" x14ac:dyDescent="0.2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</row>
    <row r="13" spans="1:6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</row>
    <row r="14" spans="1:6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</row>
    <row r="15" spans="1:6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</row>
    <row r="16" spans="1:6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</row>
    <row r="17" spans="1:6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</row>
    <row r="18" spans="1:6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</row>
    <row r="19" spans="1:6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</row>
    <row r="20" spans="1:6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</row>
    <row r="21" spans="1:6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</row>
    <row r="22" spans="1:6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</row>
    <row r="23" spans="1:6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</row>
    <row r="24" spans="1:6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</row>
    <row r="25" spans="1:6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</row>
    <row r="26" spans="1:6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</row>
    <row r="27" spans="1:6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</row>
    <row r="28" spans="1:6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</row>
    <row r="29" spans="1:6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</row>
    <row r="30" spans="1:6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</row>
    <row r="31" spans="1:6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</row>
    <row r="32" spans="1:6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</row>
    <row r="33" spans="1:6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</row>
    <row r="34" spans="1:6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</row>
    <row r="35" spans="1:6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</row>
    <row r="36" spans="1:6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</row>
    <row r="37" spans="1:6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</row>
    <row r="38" spans="1:6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</row>
    <row r="39" spans="1:6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</row>
    <row r="40" spans="1:6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</row>
    <row r="41" spans="1:6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</row>
    <row r="42" spans="1:6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</row>
    <row r="43" spans="1:6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</row>
    <row r="44" spans="1:6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</row>
    <row r="45" spans="1:6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</row>
    <row r="46" spans="1:6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</row>
    <row r="47" spans="1:6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</row>
    <row r="48" spans="1:6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</row>
    <row r="49" spans="1:6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</row>
    <row r="50" spans="1:6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</row>
    <row r="51" spans="1:6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</row>
    <row r="52" spans="1:6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</row>
    <row r="53" spans="1:6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</row>
    <row r="54" spans="1:6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</row>
    <row r="55" spans="1:6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</row>
    <row r="56" spans="1:6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</row>
    <row r="57" spans="1:6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</row>
    <row r="58" spans="1:6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</row>
    <row r="59" spans="1:6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</row>
    <row r="60" spans="1:6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</row>
    <row r="61" spans="1:6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</row>
    <row r="62" spans="1:6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</row>
    <row r="63" spans="1:6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</row>
    <row r="64" spans="1:6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</row>
    <row r="65" spans="1:6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</row>
    <row r="66" spans="1:6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</row>
    <row r="67" spans="1:6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</row>
    <row r="68" spans="1:6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</row>
    <row r="69" spans="1:6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</row>
    <row r="70" spans="1:6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</row>
    <row r="71" spans="1:6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</row>
    <row r="72" spans="1:6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</row>
    <row r="73" spans="1:6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</row>
    <row r="74" spans="1:6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</row>
    <row r="75" spans="1:6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</row>
    <row r="76" spans="1:6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</row>
    <row r="77" spans="1:6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</row>
    <row r="78" spans="1:6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</row>
    <row r="79" spans="1:6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</row>
    <row r="80" spans="1:6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</row>
    <row r="81" spans="1:6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</row>
    <row r="82" spans="1:6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</row>
    <row r="83" spans="1:6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</row>
    <row r="84" spans="1:6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</row>
    <row r="85" spans="1:6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</row>
    <row r="86" spans="1:6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</row>
    <row r="87" spans="1:6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</row>
    <row r="88" spans="1:6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</row>
    <row r="89" spans="1:6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</row>
    <row r="90" spans="1:6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</row>
    <row r="91" spans="1:6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</row>
    <row r="92" spans="1:6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</row>
    <row r="93" spans="1:6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</row>
    <row r="94" spans="1:6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</row>
    <row r="95" spans="1:6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</row>
    <row r="96" spans="1:6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</row>
    <row r="97" spans="1:6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</row>
    <row r="98" spans="1:6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</row>
    <row r="99" spans="1:6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</row>
    <row r="100" spans="1:6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</row>
    <row r="101" spans="1:6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</row>
    <row r="102" spans="1:6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</row>
    <row r="103" spans="1:6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</row>
    <row r="104" spans="1:6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</row>
    <row r="105" spans="1:6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</row>
    <row r="106" spans="1:6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</row>
    <row r="107" spans="1:6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</row>
    <row r="108" spans="1:6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</row>
    <row r="109" spans="1:6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</row>
    <row r="110" spans="1:6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</row>
    <row r="111" spans="1:6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</row>
    <row r="112" spans="1:6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</row>
    <row r="113" spans="1:6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</row>
    <row r="114" spans="1:6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</row>
    <row r="115" spans="1:6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</row>
    <row r="116" spans="1:6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</row>
    <row r="117" spans="1:6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</row>
    <row r="118" spans="1:6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</row>
    <row r="119" spans="1:6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</row>
    <row r="120" spans="1:6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</row>
    <row r="121" spans="1:6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</row>
    <row r="122" spans="1:6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</row>
    <row r="123" spans="1:6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</row>
    <row r="124" spans="1:6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</row>
    <row r="125" spans="1:6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</row>
    <row r="126" spans="1:6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</row>
    <row r="127" spans="1:6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</row>
    <row r="128" spans="1:6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</row>
    <row r="129" spans="1:6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</row>
    <row r="130" spans="1:6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</row>
    <row r="131" spans="1:6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</row>
    <row r="132" spans="1:6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</row>
    <row r="133" spans="1:6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</row>
    <row r="134" spans="1:6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</row>
    <row r="135" spans="1:6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</row>
    <row r="136" spans="1:6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</row>
    <row r="137" spans="1:6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</row>
    <row r="138" spans="1:6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</row>
    <row r="139" spans="1:6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</row>
    <row r="140" spans="1:6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</row>
    <row r="141" spans="1:6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</row>
    <row r="142" spans="1:6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</row>
    <row r="143" spans="1:6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</row>
    <row r="144" spans="1:6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</row>
    <row r="145" spans="1:6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</row>
    <row r="146" spans="1:6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</row>
    <row r="147" spans="1:6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</row>
    <row r="148" spans="1:6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</row>
    <row r="149" spans="1:6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</row>
    <row r="150" spans="1:6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</row>
    <row r="151" spans="1:6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</row>
    <row r="152" spans="1:6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</row>
    <row r="153" spans="1:6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</row>
    <row r="154" spans="1:6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</row>
    <row r="155" spans="1:6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</row>
    <row r="156" spans="1:6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</row>
    <row r="157" spans="1:6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</row>
    <row r="158" spans="1:6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</row>
    <row r="159" spans="1:6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</row>
    <row r="160" spans="1:6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</row>
    <row r="161" spans="1:6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</row>
    <row r="162" spans="1:6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</row>
    <row r="163" spans="1:6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</row>
    <row r="164" spans="1:6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</row>
    <row r="165" spans="1:6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</row>
    <row r="166" spans="1:6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</row>
    <row r="167" spans="1:6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</row>
    <row r="168" spans="1:6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</row>
    <row r="169" spans="1:6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</row>
    <row r="170" spans="1:6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</row>
    <row r="171" spans="1:6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</row>
    <row r="172" spans="1:6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</row>
    <row r="173" spans="1:6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</row>
    <row r="174" spans="1:6" x14ac:dyDescent="0.2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</row>
    <row r="175" spans="1:6" x14ac:dyDescent="0.2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</row>
    <row r="176" spans="1:6" x14ac:dyDescent="0.2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</row>
    <row r="177" spans="1:6" x14ac:dyDescent="0.2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</row>
    <row r="178" spans="1:6" x14ac:dyDescent="0.2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</row>
    <row r="179" spans="1:6" x14ac:dyDescent="0.2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</row>
    <row r="180" spans="1:6" x14ac:dyDescent="0.2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</row>
    <row r="181" spans="1:6" x14ac:dyDescent="0.2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</row>
    <row r="182" spans="1:6" x14ac:dyDescent="0.2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</row>
    <row r="183" spans="1:6" x14ac:dyDescent="0.2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</row>
    <row r="184" spans="1:6" x14ac:dyDescent="0.2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</row>
    <row r="185" spans="1:6" x14ac:dyDescent="0.2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</row>
    <row r="186" spans="1:6" x14ac:dyDescent="0.2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</row>
    <row r="187" spans="1:6" x14ac:dyDescent="0.2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</row>
    <row r="188" spans="1:6" x14ac:dyDescent="0.2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</row>
    <row r="189" spans="1:6" x14ac:dyDescent="0.2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</row>
    <row r="190" spans="1:6" x14ac:dyDescent="0.2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</row>
    <row r="191" spans="1:6" x14ac:dyDescent="0.2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</row>
    <row r="192" spans="1:6" x14ac:dyDescent="0.2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</row>
    <row r="193" spans="1:6" x14ac:dyDescent="0.2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</row>
    <row r="194" spans="1:6" x14ac:dyDescent="0.2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</row>
    <row r="195" spans="1:6" x14ac:dyDescent="0.2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</row>
    <row r="196" spans="1:6" x14ac:dyDescent="0.2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</row>
    <row r="197" spans="1:6" x14ac:dyDescent="0.2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</row>
    <row r="198" spans="1:6" x14ac:dyDescent="0.2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</row>
    <row r="199" spans="1:6" x14ac:dyDescent="0.2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</row>
    <row r="200" spans="1:6" x14ac:dyDescent="0.2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</row>
    <row r="201" spans="1:6" x14ac:dyDescent="0.2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</row>
    <row r="202" spans="1:6" x14ac:dyDescent="0.2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</row>
    <row r="203" spans="1:6" x14ac:dyDescent="0.2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ACB285-0965-4316-B142-931DDA8777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6.1</vt:lpstr>
      <vt:lpstr>6.2</vt:lpstr>
      <vt:lpstr>6.3</vt:lpstr>
      <vt:lpstr>6.5</vt:lpstr>
      <vt:lpstr>6.4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2026-03-06T15:44:07Z</dcterms:modified>
</cp:coreProperties>
</file>