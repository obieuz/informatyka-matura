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biz\OneDrive\Pulpit\informatyka-excel\2013maj6\"/>
    </mc:Choice>
  </mc:AlternateContent>
  <xr:revisionPtr revIDLastSave="0" documentId="13_ncr:1_{C1A5D318-6747-40B2-9FEB-8D3E386A54B7}" xr6:coauthVersionLast="47" xr6:coauthVersionMax="47" xr10:uidLastSave="{00000000-0000-0000-0000-000000000000}"/>
  <bookViews>
    <workbookView xWindow="-120" yWindow="-120" windowWidth="29040" windowHeight="15840" activeTab="3" xr2:uid="{B3F49E2E-CBF2-4362-842E-45BEA47DE0AD}"/>
  </bookViews>
  <sheets>
    <sheet name="a" sheetId="3" r:id="rId1"/>
    <sheet name="B" sheetId="4" r:id="rId2"/>
    <sheet name="c" sheetId="5" r:id="rId3"/>
    <sheet name="D" sheetId="6" r:id="rId4"/>
    <sheet name="dane" sheetId="2" r:id="rId5"/>
  </sheets>
  <definedNames>
    <definedName name="ExternalData_1" localSheetId="0" hidden="1">a!$A$1:$M$252</definedName>
    <definedName name="ExternalData_1" localSheetId="1" hidden="1">B!$A$1:$M$252</definedName>
    <definedName name="ExternalData_1" localSheetId="2" hidden="1">'c'!$A$1:$M$252</definedName>
    <definedName name="ExternalData_1" localSheetId="3" hidden="1">D!$A$1:$M$252</definedName>
    <definedName name="ExternalData_1" localSheetId="4" hidden="1">dane!$A$1:$M$252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55" i="3" l="1"/>
  <c r="D255" i="3"/>
  <c r="E255" i="3"/>
  <c r="F255" i="3"/>
  <c r="G255" i="3"/>
  <c r="H255" i="3"/>
  <c r="I255" i="3"/>
  <c r="J255" i="3"/>
  <c r="K255" i="3"/>
  <c r="L255" i="3"/>
  <c r="M255" i="3"/>
  <c r="B255" i="3"/>
  <c r="A258" i="6" a="1"/>
  <c r="A258" i="6" s="1"/>
  <c r="C255" i="6"/>
  <c r="D255" i="6"/>
  <c r="E255" i="6"/>
  <c r="F255" i="6"/>
  <c r="G255" i="6"/>
  <c r="H255" i="6"/>
  <c r="I255" i="6"/>
  <c r="J255" i="6"/>
  <c r="K255" i="6"/>
  <c r="L255" i="6"/>
  <c r="M255" i="6"/>
  <c r="C256" i="6"/>
  <c r="D256" i="6"/>
  <c r="E256" i="6"/>
  <c r="F256" i="6"/>
  <c r="G256" i="6"/>
  <c r="H256" i="6"/>
  <c r="I256" i="6"/>
  <c r="J256" i="6"/>
  <c r="K256" i="6"/>
  <c r="L256" i="6"/>
  <c r="M256" i="6"/>
  <c r="B256" i="6"/>
  <c r="B255" i="6"/>
  <c r="AH2" i="5"/>
  <c r="AF4" i="5"/>
  <c r="AF5" i="5"/>
  <c r="AF6" i="5"/>
  <c r="AF7" i="5"/>
  <c r="AF8" i="5"/>
  <c r="AF9" i="5"/>
  <c r="AF10" i="5"/>
  <c r="AF11" i="5"/>
  <c r="AF12" i="5"/>
  <c r="AF13" i="5"/>
  <c r="AF14" i="5"/>
  <c r="AF15" i="5"/>
  <c r="AF16" i="5"/>
  <c r="AF17" i="5"/>
  <c r="AF18" i="5"/>
  <c r="AF19" i="5"/>
  <c r="AF20" i="5"/>
  <c r="AF21" i="5"/>
  <c r="AF22" i="5"/>
  <c r="AF23" i="5"/>
  <c r="AF24" i="5"/>
  <c r="AF25" i="5"/>
  <c r="AF26" i="5" s="1"/>
  <c r="AF27" i="5"/>
  <c r="AF28" i="5" s="1"/>
  <c r="AF29" i="5"/>
  <c r="AF30" i="5" s="1"/>
  <c r="AF31" i="5" s="1"/>
  <c r="AF32" i="5"/>
  <c r="AF33" i="5"/>
  <c r="AF34" i="5" s="1"/>
  <c r="AF35" i="5" s="1"/>
  <c r="AF36" i="5"/>
  <c r="AF37" i="5"/>
  <c r="AF38" i="5" s="1"/>
  <c r="AF39" i="5"/>
  <c r="AF40" i="5"/>
  <c r="AF41" i="5"/>
  <c r="AF42" i="5"/>
  <c r="AF43" i="5"/>
  <c r="AF44" i="5"/>
  <c r="AF45" i="5"/>
  <c r="AF46" i="5"/>
  <c r="AF47" i="5"/>
  <c r="AF48" i="5"/>
  <c r="AF49" i="5"/>
  <c r="AF50" i="5"/>
  <c r="AF51" i="5"/>
  <c r="AF52" i="5"/>
  <c r="AF53" i="5"/>
  <c r="AF54" i="5"/>
  <c r="AF55" i="5"/>
  <c r="AF56" i="5"/>
  <c r="AF57" i="5"/>
  <c r="AF58" i="5"/>
  <c r="AF59" i="5"/>
  <c r="AF60" i="5"/>
  <c r="AF61" i="5"/>
  <c r="AF62" i="5" s="1"/>
  <c r="AF63" i="5"/>
  <c r="AF64" i="5"/>
  <c r="AF65" i="5"/>
  <c r="AF66" i="5"/>
  <c r="AF67" i="5"/>
  <c r="AF68" i="5"/>
  <c r="AF69" i="5"/>
  <c r="AF70" i="5"/>
  <c r="AF71" i="5"/>
  <c r="AF72" i="5"/>
  <c r="AF73" i="5"/>
  <c r="AF74" i="5"/>
  <c r="AF75" i="5"/>
  <c r="AF76" i="5"/>
  <c r="AF77" i="5"/>
  <c r="AF78" i="5"/>
  <c r="AF79" i="5"/>
  <c r="AF80" i="5" s="1"/>
  <c r="AF81" i="5"/>
  <c r="AF82" i="5"/>
  <c r="AF83" i="5"/>
  <c r="AF84" i="5"/>
  <c r="AF85" i="5"/>
  <c r="AF86" i="5"/>
  <c r="AF87" i="5"/>
  <c r="AF88" i="5"/>
  <c r="AF89" i="5"/>
  <c r="AF90" i="5"/>
  <c r="AF91" i="5"/>
  <c r="AF92" i="5" s="1"/>
  <c r="AF93" i="5"/>
  <c r="AF94" i="5"/>
  <c r="AF95" i="5"/>
  <c r="AF96" i="5"/>
  <c r="AF97" i="5"/>
  <c r="AF98" i="5"/>
  <c r="AF99" i="5"/>
  <c r="AF100" i="5"/>
  <c r="AF101" i="5"/>
  <c r="AF102" i="5"/>
  <c r="AF103" i="5"/>
  <c r="AF104" i="5" s="1"/>
  <c r="AF105" i="5"/>
  <c r="AF106" i="5"/>
  <c r="AF107" i="5"/>
  <c r="AF108" i="5"/>
  <c r="AF109" i="5"/>
  <c r="AF110" i="5"/>
  <c r="AF111" i="5"/>
  <c r="AF112" i="5" s="1"/>
  <c r="AF113" i="5"/>
  <c r="AF114" i="5"/>
  <c r="AF115" i="5"/>
  <c r="AF116" i="5"/>
  <c r="AF117" i="5"/>
  <c r="AF118" i="5"/>
  <c r="AF119" i="5"/>
  <c r="AF120" i="5"/>
  <c r="AF121" i="5"/>
  <c r="AF122" i="5"/>
  <c r="AF123" i="5"/>
  <c r="AF124" i="5"/>
  <c r="AF125" i="5"/>
  <c r="AF126" i="5"/>
  <c r="AF127" i="5"/>
  <c r="AF128" i="5" s="1"/>
  <c r="AF129" i="5"/>
  <c r="AF130" i="5"/>
  <c r="AF131" i="5"/>
  <c r="AF132" i="5"/>
  <c r="AF133" i="5"/>
  <c r="AF134" i="5"/>
  <c r="AF135" i="5"/>
  <c r="AF136" i="5"/>
  <c r="AF137" i="5"/>
  <c r="AF138" i="5" s="1"/>
  <c r="AF139" i="5" s="1"/>
  <c r="AF140" i="5"/>
  <c r="AF141" i="5"/>
  <c r="AF142" i="5"/>
  <c r="AF143" i="5"/>
  <c r="AF144" i="5"/>
  <c r="AF145" i="5"/>
  <c r="AF146" i="5" s="1"/>
  <c r="AF147" i="5"/>
  <c r="AF148" i="5" s="1"/>
  <c r="AF149" i="5"/>
  <c r="AF150" i="5"/>
  <c r="AF151" i="5"/>
  <c r="AF152" i="5"/>
  <c r="AF153" i="5"/>
  <c r="AF154" i="5"/>
  <c r="AF155" i="5"/>
  <c r="AF156" i="5"/>
  <c r="AF157" i="5"/>
  <c r="AF158" i="5"/>
  <c r="AF159" i="5"/>
  <c r="AF160" i="5"/>
  <c r="AF161" i="5"/>
  <c r="AF162" i="5"/>
  <c r="AF163" i="5"/>
  <c r="AF164" i="5"/>
  <c r="AF165" i="5"/>
  <c r="AF166" i="5"/>
  <c r="AF167" i="5"/>
  <c r="AF168" i="5"/>
  <c r="AF169" i="5"/>
  <c r="AF170" i="5"/>
  <c r="AF171" i="5"/>
  <c r="AF172" i="5"/>
  <c r="AF173" i="5"/>
  <c r="AF174" i="5" s="1"/>
  <c r="AF175" i="5"/>
  <c r="AF176" i="5"/>
  <c r="AF177" i="5"/>
  <c r="AF178" i="5"/>
  <c r="AF179" i="5"/>
  <c r="AF180" i="5"/>
  <c r="AF181" i="5"/>
  <c r="AF182" i="5"/>
  <c r="AF183" i="5"/>
  <c r="AF184" i="5"/>
  <c r="AF185" i="5"/>
  <c r="AF186" i="5"/>
  <c r="AF187" i="5"/>
  <c r="AF188" i="5"/>
  <c r="AF189" i="5"/>
  <c r="AF190" i="5"/>
  <c r="AF191" i="5"/>
  <c r="AF192" i="5"/>
  <c r="AF193" i="5"/>
  <c r="AF194" i="5"/>
  <c r="AF195" i="5"/>
  <c r="AF196" i="5" s="1"/>
  <c r="AF197" i="5" s="1"/>
  <c r="AF198" i="5"/>
  <c r="AF199" i="5"/>
  <c r="AF200" i="5"/>
  <c r="AF201" i="5"/>
  <c r="AF202" i="5"/>
  <c r="AF203" i="5"/>
  <c r="AF204" i="5"/>
  <c r="AF205" i="5"/>
  <c r="AF206" i="5" s="1"/>
  <c r="AF207" i="5"/>
  <c r="AF208" i="5"/>
  <c r="AF209" i="5"/>
  <c r="AF210" i="5" s="1"/>
  <c r="AF211" i="5"/>
  <c r="AF212" i="5"/>
  <c r="AF213" i="5"/>
  <c r="AF214" i="5"/>
  <c r="AF215" i="5"/>
  <c r="AF216" i="5"/>
  <c r="AF217" i="5"/>
  <c r="AF218" i="5"/>
  <c r="AF219" i="5"/>
  <c r="AF220" i="5"/>
  <c r="AF221" i="5"/>
  <c r="AF222" i="5" s="1"/>
  <c r="AF223" i="5"/>
  <c r="AF224" i="5"/>
  <c r="AF225" i="5"/>
  <c r="AF226" i="5"/>
  <c r="AF227" i="5"/>
  <c r="AF228" i="5" s="1"/>
  <c r="AF229" i="5"/>
  <c r="AF230" i="5"/>
  <c r="AF231" i="5"/>
  <c r="AF232" i="5"/>
  <c r="AF233" i="5"/>
  <c r="AF234" i="5"/>
  <c r="AF235" i="5"/>
  <c r="AF236" i="5"/>
  <c r="AF237" i="5"/>
  <c r="AF238" i="5"/>
  <c r="AF239" i="5"/>
  <c r="AF240" i="5"/>
  <c r="AF241" i="5"/>
  <c r="AF242" i="5" s="1"/>
  <c r="AF243" i="5" s="1"/>
  <c r="AF244" i="5"/>
  <c r="AF245" i="5"/>
  <c r="AF246" i="5"/>
  <c r="AF247" i="5"/>
  <c r="AF248" i="5" s="1"/>
  <c r="AF249" i="5"/>
  <c r="AF250" i="5" s="1"/>
  <c r="AF251" i="5"/>
  <c r="AF252" i="5" s="1"/>
  <c r="AF253" i="5"/>
  <c r="AF254" i="5" s="1"/>
  <c r="AF255" i="5"/>
  <c r="AF256" i="5" s="1"/>
  <c r="AF257" i="5" s="1"/>
  <c r="AF258" i="5"/>
  <c r="AF259" i="5"/>
  <c r="AF260" i="5"/>
  <c r="AF261" i="5"/>
  <c r="AF262" i="5"/>
  <c r="AF263" i="5"/>
  <c r="AF264" i="5"/>
  <c r="AF265" i="5"/>
  <c r="AF266" i="5" s="1"/>
  <c r="AF267" i="5"/>
  <c r="AF268" i="5"/>
  <c r="AF269" i="5"/>
  <c r="AF270" i="5" s="1"/>
  <c r="AF271" i="5" s="1"/>
  <c r="AF272" i="5"/>
  <c r="AF273" i="5" s="1"/>
  <c r="AF274" i="5"/>
  <c r="AF275" i="5"/>
  <c r="AF276" i="5"/>
  <c r="AF277" i="5"/>
  <c r="AF278" i="5"/>
  <c r="AF279" i="5"/>
  <c r="AF280" i="5"/>
  <c r="AF281" i="5"/>
  <c r="AF282" i="5"/>
  <c r="AF283" i="5"/>
  <c r="AF284" i="5" s="1"/>
  <c r="AF285" i="5" s="1"/>
  <c r="AF286" i="5"/>
  <c r="AF287" i="5"/>
  <c r="AF288" i="5"/>
  <c r="AF289" i="5"/>
  <c r="AF290" i="5"/>
  <c r="AF291" i="5"/>
  <c r="AF292" i="5" s="1"/>
  <c r="AF293" i="5"/>
  <c r="AF294" i="5" s="1"/>
  <c r="AF295" i="5" s="1"/>
  <c r="AF296" i="5"/>
  <c r="AF297" i="5" s="1"/>
  <c r="AF298" i="5" s="1"/>
  <c r="AF299" i="5"/>
  <c r="AF300" i="5"/>
  <c r="AF301" i="5"/>
  <c r="AF302" i="5" s="1"/>
  <c r="AF303" i="5"/>
  <c r="AF304" i="5" s="1"/>
  <c r="AF305" i="5"/>
  <c r="AF306" i="5"/>
  <c r="AF307" i="5"/>
  <c r="AF308" i="5"/>
  <c r="AF309" i="5"/>
  <c r="AF310" i="5"/>
  <c r="AF311" i="5"/>
  <c r="AF312" i="5"/>
  <c r="AF313" i="5"/>
  <c r="AF314" i="5"/>
  <c r="AF315" i="5"/>
  <c r="AF316" i="5"/>
  <c r="AF317" i="5"/>
  <c r="AF318" i="5"/>
  <c r="AF319" i="5"/>
  <c r="AF320" i="5"/>
  <c r="AF321" i="5"/>
  <c r="AF322" i="5" s="1"/>
  <c r="AF323" i="5"/>
  <c r="AF324" i="5" s="1"/>
  <c r="AF325" i="5"/>
  <c r="AF326" i="5"/>
  <c r="AF327" i="5"/>
  <c r="AF328" i="5" s="1"/>
  <c r="AF329" i="5"/>
  <c r="AF330" i="5"/>
  <c r="AF331" i="5"/>
  <c r="AF332" i="5" s="1"/>
  <c r="AF333" i="5"/>
  <c r="AF334" i="5" s="1"/>
  <c r="AF335" i="5"/>
  <c r="AF336" i="5" s="1"/>
  <c r="AF337" i="5"/>
  <c r="AF338" i="5"/>
  <c r="AF339" i="5"/>
  <c r="AF340" i="5"/>
  <c r="AF341" i="5"/>
  <c r="AF342" i="5"/>
  <c r="AF343" i="5"/>
  <c r="AF344" i="5" s="1"/>
  <c r="AF345" i="5"/>
  <c r="AF346" i="5"/>
  <c r="AF347" i="5"/>
  <c r="AF348" i="5"/>
  <c r="AF349" i="5"/>
  <c r="AF350" i="5" s="1"/>
  <c r="AF351" i="5"/>
  <c r="AF352" i="5" s="1"/>
  <c r="AF353" i="5" s="1"/>
  <c r="AF354" i="5"/>
  <c r="AF355" i="5"/>
  <c r="AF356" i="5"/>
  <c r="AF357" i="5"/>
  <c r="AF358" i="5"/>
  <c r="AF359" i="5"/>
  <c r="AF360" i="5"/>
  <c r="AF361" i="5"/>
  <c r="AF362" i="5" s="1"/>
  <c r="AF363" i="5"/>
  <c r="AF364" i="5" s="1"/>
  <c r="AF365" i="5"/>
  <c r="AF366" i="5" s="1"/>
  <c r="AF367" i="5"/>
  <c r="AF368" i="5" s="1"/>
  <c r="AF369" i="5" s="1"/>
  <c r="AF370" i="5"/>
  <c r="AF371" i="5"/>
  <c r="AF372" i="5"/>
  <c r="AF373" i="5"/>
  <c r="AF374" i="5" s="1"/>
  <c r="AF375" i="5"/>
  <c r="AF376" i="5" s="1"/>
  <c r="AF377" i="5"/>
  <c r="AF378" i="5"/>
  <c r="AF379" i="5"/>
  <c r="AF380" i="5"/>
  <c r="AF381" i="5" s="1"/>
  <c r="AF382" i="5" s="1"/>
  <c r="AF383" i="5" s="1"/>
  <c r="AF384" i="5"/>
  <c r="AF385" i="5"/>
  <c r="AF386" i="5"/>
  <c r="AF387" i="5"/>
  <c r="AF388" i="5"/>
  <c r="AF389" i="5"/>
  <c r="AF390" i="5"/>
  <c r="AF391" i="5"/>
  <c r="AF392" i="5" s="1"/>
  <c r="AF393" i="5" s="1"/>
  <c r="AF394" i="5"/>
  <c r="AF395" i="5"/>
  <c r="AF396" i="5" s="1"/>
  <c r="AF397" i="5" s="1"/>
  <c r="AF398" i="5" s="1"/>
  <c r="AF399" i="5"/>
  <c r="AF400" i="5"/>
  <c r="AF401" i="5"/>
  <c r="AF402" i="5" s="1"/>
  <c r="AF403" i="5" s="1"/>
  <c r="AF404" i="5" s="1"/>
  <c r="AF405" i="5"/>
  <c r="AF406" i="5" s="1"/>
  <c r="AF407" i="5"/>
  <c r="AF408" i="5" s="1"/>
  <c r="AF409" i="5" s="1"/>
  <c r="AF410" i="5" s="1"/>
  <c r="AF411" i="5"/>
  <c r="AF412" i="5"/>
  <c r="AF413" i="5"/>
  <c r="AF414" i="5"/>
  <c r="AF415" i="5"/>
  <c r="AF416" i="5" s="1"/>
  <c r="AF417" i="5"/>
  <c r="AF418" i="5"/>
  <c r="AF419" i="5"/>
  <c r="AF420" i="5"/>
  <c r="AF421" i="5"/>
  <c r="AF422" i="5"/>
  <c r="AF423" i="5"/>
  <c r="AF424" i="5" s="1"/>
  <c r="AF425" i="5" s="1"/>
  <c r="AF426" i="5"/>
  <c r="AF427" i="5"/>
  <c r="AF428" i="5" s="1"/>
  <c r="AF429" i="5"/>
  <c r="AF430" i="5" s="1"/>
  <c r="AF431" i="5" s="1"/>
  <c r="AF432" i="5"/>
  <c r="AF433" i="5"/>
  <c r="AF434" i="5" s="1"/>
  <c r="AF435" i="5"/>
  <c r="AF436" i="5"/>
  <c r="AF437" i="5"/>
  <c r="AF438" i="5"/>
  <c r="AF439" i="5"/>
  <c r="AF440" i="5"/>
  <c r="AF441" i="5" s="1"/>
  <c r="AF442" i="5" s="1"/>
  <c r="AF443" i="5"/>
  <c r="AF444" i="5" s="1"/>
  <c r="AF445" i="5" s="1"/>
  <c r="AF446" i="5"/>
  <c r="AF447" i="5"/>
  <c r="AF448" i="5" s="1"/>
  <c r="AF449" i="5"/>
  <c r="AF450" i="5" s="1"/>
  <c r="AF451" i="5"/>
  <c r="AF452" i="5" s="1"/>
  <c r="AF453" i="5" s="1"/>
  <c r="AF454" i="5"/>
  <c r="AF455" i="5"/>
  <c r="AF456" i="5"/>
  <c r="AF457" i="5"/>
  <c r="AF458" i="5"/>
  <c r="AF459" i="5"/>
  <c r="AF460" i="5" s="1"/>
  <c r="AF461" i="5"/>
  <c r="AF462" i="5"/>
  <c r="AF463" i="5"/>
  <c r="AF464" i="5" s="1"/>
  <c r="AF465" i="5" s="1"/>
  <c r="AF466" i="5"/>
  <c r="AF467" i="5"/>
  <c r="AF468" i="5"/>
  <c r="AF469" i="5"/>
  <c r="AF470" i="5"/>
  <c r="AF471" i="5"/>
  <c r="AF472" i="5"/>
  <c r="AF473" i="5"/>
  <c r="AF474" i="5" s="1"/>
  <c r="AF475" i="5"/>
  <c r="AF476" i="5" s="1"/>
  <c r="AF477" i="5"/>
  <c r="AF478" i="5"/>
  <c r="AF479" i="5"/>
  <c r="AF480" i="5"/>
  <c r="AF481" i="5"/>
  <c r="AF482" i="5" s="1"/>
  <c r="AF483" i="5"/>
  <c r="AF484" i="5"/>
  <c r="AF485" i="5"/>
  <c r="AF486" i="5"/>
  <c r="AF487" i="5"/>
  <c r="AF488" i="5"/>
  <c r="AF489" i="5" s="1"/>
  <c r="AF490" i="5"/>
  <c r="AF491" i="5"/>
  <c r="AF492" i="5"/>
  <c r="AF493" i="5"/>
  <c r="AF494" i="5" s="1"/>
  <c r="AF495" i="5"/>
  <c r="AF496" i="5"/>
  <c r="AF497" i="5"/>
  <c r="AF498" i="5"/>
  <c r="AF499" i="5"/>
  <c r="AF500" i="5" s="1"/>
  <c r="AF501" i="5"/>
  <c r="AF502" i="5"/>
  <c r="AF503" i="5"/>
  <c r="AF504" i="5"/>
  <c r="AF505" i="5"/>
  <c r="AF506" i="5"/>
  <c r="AF507" i="5"/>
  <c r="AF508" i="5"/>
  <c r="AF509" i="5"/>
  <c r="AF510" i="5"/>
  <c r="AF511" i="5"/>
  <c r="AF512" i="5"/>
  <c r="AF513" i="5" s="1"/>
  <c r="AF514" i="5" s="1"/>
  <c r="AF515" i="5"/>
  <c r="AF516" i="5"/>
  <c r="AF517" i="5"/>
  <c r="AF518" i="5" s="1"/>
  <c r="AF519" i="5"/>
  <c r="AF520" i="5"/>
  <c r="AF521" i="5"/>
  <c r="AF522" i="5" s="1"/>
  <c r="AF523" i="5" s="1"/>
  <c r="AF524" i="5"/>
  <c r="AF525" i="5"/>
  <c r="AF526" i="5"/>
  <c r="AF527" i="5"/>
  <c r="AF528" i="5"/>
  <c r="AF529" i="5"/>
  <c r="AF530" i="5" s="1"/>
  <c r="AF531" i="5"/>
  <c r="AF532" i="5"/>
  <c r="AF533" i="5"/>
  <c r="AF534" i="5"/>
  <c r="AF535" i="5"/>
  <c r="AF536" i="5" s="1"/>
  <c r="AF537" i="5"/>
  <c r="AF538" i="5"/>
  <c r="AF539" i="5"/>
  <c r="AF540" i="5"/>
  <c r="AF541" i="5"/>
  <c r="AF542" i="5" s="1"/>
  <c r="AF543" i="5"/>
  <c r="AF544" i="5"/>
  <c r="AF545" i="5"/>
  <c r="AF546" i="5"/>
  <c r="AF547" i="5"/>
  <c r="AF548" i="5" s="1"/>
  <c r="AF549" i="5" s="1"/>
  <c r="AF550" i="5"/>
  <c r="AF551" i="5"/>
  <c r="AF552" i="5"/>
  <c r="AF553" i="5"/>
  <c r="AF554" i="5"/>
  <c r="AF555" i="5"/>
  <c r="AF556" i="5"/>
  <c r="AF557" i="5"/>
  <c r="AF558" i="5"/>
  <c r="AF559" i="5"/>
  <c r="AF560" i="5"/>
  <c r="AF561" i="5"/>
  <c r="AF562" i="5"/>
  <c r="AF563" i="5"/>
  <c r="AF564" i="5"/>
  <c r="AF565" i="5"/>
  <c r="AF566" i="5"/>
  <c r="AF567" i="5"/>
  <c r="AF568" i="5" s="1"/>
  <c r="AF569" i="5"/>
  <c r="AF570" i="5"/>
  <c r="AF571" i="5"/>
  <c r="AF572" i="5"/>
  <c r="AF573" i="5"/>
  <c r="AF574" i="5"/>
  <c r="AF575" i="5"/>
  <c r="AF576" i="5"/>
  <c r="AF577" i="5"/>
  <c r="AF578" i="5"/>
  <c r="AF579" i="5"/>
  <c r="AF580" i="5"/>
  <c r="AF581" i="5"/>
  <c r="AF582" i="5"/>
  <c r="AF583" i="5"/>
  <c r="AF584" i="5"/>
  <c r="AF585" i="5"/>
  <c r="AF586" i="5"/>
  <c r="AF587" i="5"/>
  <c r="AF588" i="5"/>
  <c r="AF589" i="5"/>
  <c r="AF590" i="5"/>
  <c r="AF591" i="5"/>
  <c r="AF592" i="5"/>
  <c r="AF593" i="5"/>
  <c r="AF594" i="5"/>
  <c r="AF595" i="5"/>
  <c r="AF596" i="5"/>
  <c r="AF597" i="5"/>
  <c r="AF598" i="5"/>
  <c r="AF599" i="5"/>
  <c r="AF600" i="5"/>
  <c r="AF601" i="5"/>
  <c r="AF602" i="5"/>
  <c r="AF603" i="5"/>
  <c r="AF604" i="5"/>
  <c r="AF605" i="5"/>
  <c r="AF606" i="5"/>
  <c r="AF607" i="5"/>
  <c r="AF608" i="5"/>
  <c r="AF609" i="5" s="1"/>
  <c r="AF610" i="5"/>
  <c r="AF611" i="5"/>
  <c r="AF612" i="5"/>
  <c r="AF613" i="5"/>
  <c r="AF614" i="5"/>
  <c r="AF615" i="5"/>
  <c r="AF616" i="5" s="1"/>
  <c r="AF617" i="5"/>
  <c r="AF618" i="5"/>
  <c r="AF619" i="5"/>
  <c r="AF620" i="5"/>
  <c r="AF621" i="5" s="1"/>
  <c r="AF622" i="5"/>
  <c r="AF623" i="5"/>
  <c r="AF624" i="5"/>
  <c r="AF625" i="5"/>
  <c r="AF626" i="5"/>
  <c r="AF627" i="5"/>
  <c r="AF628" i="5"/>
  <c r="AF629" i="5"/>
  <c r="AF630" i="5"/>
  <c r="AF631" i="5"/>
  <c r="AF632" i="5"/>
  <c r="AF633" i="5"/>
  <c r="AF634" i="5"/>
  <c r="AF635" i="5"/>
  <c r="AF636" i="5"/>
  <c r="AF637" i="5"/>
  <c r="AF638" i="5"/>
  <c r="AF639" i="5"/>
  <c r="AF640" i="5" s="1"/>
  <c r="AF641" i="5" s="1"/>
  <c r="AF642" i="5"/>
  <c r="AF643" i="5"/>
  <c r="AF644" i="5"/>
  <c r="AF645" i="5"/>
  <c r="AF646" i="5"/>
  <c r="AF647" i="5"/>
  <c r="AF648" i="5"/>
  <c r="AF649" i="5"/>
  <c r="AF650" i="5" s="1"/>
  <c r="AF651" i="5"/>
  <c r="AF652" i="5"/>
  <c r="AF653" i="5"/>
  <c r="AF654" i="5"/>
  <c r="AF655" i="5"/>
  <c r="AF656" i="5"/>
  <c r="AF657" i="5"/>
  <c r="AF658" i="5"/>
  <c r="AF659" i="5"/>
  <c r="AF660" i="5"/>
  <c r="AF661" i="5"/>
  <c r="AF662" i="5"/>
  <c r="AF663" i="5"/>
  <c r="AF664" i="5"/>
  <c r="AF665" i="5"/>
  <c r="AF666" i="5"/>
  <c r="AF667" i="5"/>
  <c r="AF668" i="5"/>
  <c r="AF669" i="5"/>
  <c r="AF670" i="5"/>
  <c r="AF671" i="5"/>
  <c r="AF672" i="5"/>
  <c r="AF673" i="5"/>
  <c r="AF674" i="5" s="1"/>
  <c r="AF675" i="5"/>
  <c r="AF676" i="5"/>
  <c r="AF677" i="5"/>
  <c r="AF678" i="5"/>
  <c r="AF679" i="5"/>
  <c r="AF680" i="5"/>
  <c r="AF681" i="5"/>
  <c r="AF682" i="5"/>
  <c r="AF683" i="5"/>
  <c r="AF684" i="5"/>
  <c r="AF685" i="5"/>
  <c r="AF686" i="5"/>
  <c r="AF687" i="5"/>
  <c r="AF688" i="5"/>
  <c r="AF689" i="5"/>
  <c r="AF690" i="5"/>
  <c r="AF691" i="5"/>
  <c r="AF692" i="5" s="1"/>
  <c r="AF693" i="5"/>
  <c r="AF694" i="5"/>
  <c r="AF695" i="5"/>
  <c r="AF696" i="5"/>
  <c r="AF697" i="5"/>
  <c r="AF698" i="5"/>
  <c r="AF699" i="5"/>
  <c r="AF700" i="5"/>
  <c r="AF701" i="5"/>
  <c r="AF702" i="5"/>
  <c r="AF703" i="5"/>
  <c r="AF704" i="5"/>
  <c r="AF705" i="5"/>
  <c r="AF706" i="5"/>
  <c r="AF707" i="5"/>
  <c r="AF708" i="5"/>
  <c r="AF709" i="5"/>
  <c r="AF710" i="5"/>
  <c r="AF711" i="5"/>
  <c r="AF712" i="5"/>
  <c r="AF713" i="5"/>
  <c r="AF714" i="5"/>
  <c r="AF715" i="5"/>
  <c r="AF716" i="5"/>
  <c r="AF717" i="5"/>
  <c r="AF718" i="5"/>
  <c r="AF719" i="5"/>
  <c r="AF720" i="5"/>
  <c r="AF721" i="5"/>
  <c r="AF722" i="5" s="1"/>
  <c r="AF723" i="5"/>
  <c r="AF724" i="5"/>
  <c r="AF725" i="5"/>
  <c r="AF726" i="5"/>
  <c r="AF727" i="5"/>
  <c r="AF728" i="5" s="1"/>
  <c r="AF729" i="5"/>
  <c r="AF730" i="5" s="1"/>
  <c r="AF731" i="5"/>
  <c r="AF732" i="5"/>
  <c r="AF733" i="5"/>
  <c r="AF734" i="5"/>
  <c r="AF735" i="5"/>
  <c r="AF736" i="5"/>
  <c r="AF737" i="5"/>
  <c r="AF738" i="5"/>
  <c r="AF739" i="5"/>
  <c r="AF740" i="5"/>
  <c r="AF741" i="5"/>
  <c r="AF742" i="5"/>
  <c r="AF743" i="5"/>
  <c r="AF744" i="5"/>
  <c r="AF745" i="5"/>
  <c r="AF746" i="5"/>
  <c r="AF747" i="5"/>
  <c r="AF748" i="5"/>
  <c r="AF749" i="5"/>
  <c r="AF750" i="5"/>
  <c r="AF751" i="5"/>
  <c r="AF752" i="5" s="1"/>
  <c r="AF753" i="5"/>
  <c r="AF754" i="5"/>
  <c r="AF755" i="5"/>
  <c r="AF756" i="5"/>
  <c r="AF757" i="5"/>
  <c r="AF758" i="5"/>
  <c r="AF759" i="5"/>
  <c r="AF760" i="5"/>
  <c r="AF761" i="5"/>
  <c r="AF762" i="5"/>
  <c r="AF763" i="5"/>
  <c r="AF764" i="5"/>
  <c r="AF765" i="5"/>
  <c r="AF766" i="5"/>
  <c r="AF767" i="5"/>
  <c r="AF768" i="5"/>
  <c r="AF769" i="5"/>
  <c r="AF770" i="5"/>
  <c r="AF771" i="5"/>
  <c r="AF772" i="5"/>
  <c r="AF773" i="5"/>
  <c r="AF774" i="5"/>
  <c r="AF775" i="5"/>
  <c r="AF776" i="5" s="1"/>
  <c r="AF777" i="5"/>
  <c r="AF778" i="5"/>
  <c r="AF779" i="5"/>
  <c r="AF780" i="5"/>
  <c r="AF781" i="5"/>
  <c r="AF782" i="5"/>
  <c r="AF783" i="5"/>
  <c r="AF784" i="5"/>
  <c r="AF785" i="5"/>
  <c r="AF786" i="5"/>
  <c r="AF787" i="5"/>
  <c r="AF788" i="5"/>
  <c r="AF789" i="5" s="1"/>
  <c r="AF790" i="5"/>
  <c r="AF791" i="5"/>
  <c r="AF792" i="5"/>
  <c r="AF793" i="5"/>
  <c r="AF794" i="5" s="1"/>
  <c r="AF795" i="5"/>
  <c r="AF796" i="5"/>
  <c r="AF797" i="5"/>
  <c r="AF798" i="5"/>
  <c r="AF799" i="5"/>
  <c r="AF800" i="5"/>
  <c r="AF801" i="5" s="1"/>
  <c r="AF802" i="5"/>
  <c r="AF803" i="5"/>
  <c r="AF804" i="5"/>
  <c r="AF805" i="5"/>
  <c r="AF806" i="5"/>
  <c r="AF807" i="5"/>
  <c r="AF808" i="5"/>
  <c r="AF809" i="5"/>
  <c r="AF810" i="5"/>
  <c r="AF811" i="5"/>
  <c r="AF812" i="5"/>
  <c r="AF813" i="5"/>
  <c r="AF814" i="5"/>
  <c r="AF815" i="5"/>
  <c r="AF816" i="5"/>
  <c r="AF817" i="5"/>
  <c r="AF818" i="5"/>
  <c r="AF819" i="5"/>
  <c r="AF820" i="5" s="1"/>
  <c r="AF821" i="5"/>
  <c r="AF822" i="5"/>
  <c r="AF823" i="5"/>
  <c r="AF824" i="5"/>
  <c r="AF825" i="5"/>
  <c r="AF826" i="5"/>
  <c r="AF827" i="5"/>
  <c r="AF828" i="5"/>
  <c r="AF829" i="5"/>
  <c r="AF830" i="5"/>
  <c r="AF831" i="5"/>
  <c r="AF832" i="5"/>
  <c r="AF833" i="5"/>
  <c r="AF834" i="5"/>
  <c r="AF835" i="5"/>
  <c r="AF836" i="5"/>
  <c r="AF837" i="5" s="1"/>
  <c r="AF838" i="5"/>
  <c r="AF839" i="5"/>
  <c r="AF840" i="5"/>
  <c r="AF841" i="5"/>
  <c r="AF842" i="5"/>
  <c r="AF843" i="5"/>
  <c r="AF844" i="5"/>
  <c r="AF845" i="5"/>
  <c r="AF846" i="5"/>
  <c r="AF847" i="5"/>
  <c r="AF848" i="5"/>
  <c r="AF849" i="5"/>
  <c r="AF850" i="5"/>
  <c r="AF851" i="5"/>
  <c r="AF852" i="5"/>
  <c r="AF853" i="5"/>
  <c r="AF854" i="5"/>
  <c r="AF855" i="5"/>
  <c r="AF856" i="5" s="1"/>
  <c r="AF857" i="5"/>
  <c r="AF858" i="5"/>
  <c r="AF859" i="5"/>
  <c r="AF860" i="5"/>
  <c r="AF861" i="5" s="1"/>
  <c r="AF862" i="5"/>
  <c r="AF863" i="5"/>
  <c r="AF864" i="5"/>
  <c r="AF865" i="5"/>
  <c r="AF866" i="5"/>
  <c r="AF867" i="5"/>
  <c r="AF868" i="5" s="1"/>
  <c r="AF869" i="5"/>
  <c r="AF870" i="5"/>
  <c r="AF871" i="5"/>
  <c r="AF872" i="5"/>
  <c r="AF873" i="5"/>
  <c r="AF874" i="5"/>
  <c r="AF875" i="5"/>
  <c r="AF876" i="5"/>
  <c r="AF877" i="5"/>
  <c r="AF878" i="5"/>
  <c r="AF879" i="5"/>
  <c r="AF880" i="5"/>
  <c r="AF881" i="5"/>
  <c r="AF882" i="5"/>
  <c r="AF883" i="5"/>
  <c r="AF884" i="5"/>
  <c r="AF885" i="5"/>
  <c r="AF886" i="5" s="1"/>
  <c r="AF887" i="5"/>
  <c r="AF888" i="5"/>
  <c r="AF889" i="5"/>
  <c r="AF890" i="5"/>
  <c r="AF891" i="5"/>
  <c r="AF892" i="5" s="1"/>
  <c r="AF893" i="5"/>
  <c r="AF894" i="5"/>
  <c r="AF895" i="5"/>
  <c r="AF896" i="5" s="1"/>
  <c r="AF897" i="5" s="1"/>
  <c r="AF898" i="5"/>
  <c r="AF899" i="5"/>
  <c r="AF900" i="5"/>
  <c r="AF901" i="5"/>
  <c r="AF902" i="5"/>
  <c r="AF903" i="5"/>
  <c r="AF904" i="5"/>
  <c r="AF905" i="5"/>
  <c r="AF906" i="5"/>
  <c r="AF907" i="5"/>
  <c r="AF908" i="5" s="1"/>
  <c r="AF909" i="5"/>
  <c r="AF910" i="5" s="1"/>
  <c r="AF911" i="5"/>
  <c r="AF912" i="5"/>
  <c r="AF913" i="5"/>
  <c r="AF914" i="5"/>
  <c r="AF915" i="5"/>
  <c r="AF916" i="5" s="1"/>
  <c r="AF917" i="5"/>
  <c r="AF918" i="5"/>
  <c r="AF919" i="5"/>
  <c r="AF920" i="5"/>
  <c r="AF921" i="5"/>
  <c r="AF922" i="5"/>
  <c r="AF923" i="5"/>
  <c r="AF924" i="5"/>
  <c r="AF925" i="5"/>
  <c r="AF926" i="5"/>
  <c r="AF927" i="5"/>
  <c r="AF928" i="5"/>
  <c r="AF929" i="5"/>
  <c r="AF930" i="5"/>
  <c r="AF931" i="5"/>
  <c r="AF932" i="5"/>
  <c r="AF933" i="5"/>
  <c r="AF934" i="5"/>
  <c r="AF935" i="5"/>
  <c r="AF936" i="5"/>
  <c r="AF937" i="5"/>
  <c r="AF938" i="5"/>
  <c r="AF939" i="5"/>
  <c r="AF940" i="5"/>
  <c r="AF941" i="5"/>
  <c r="AF942" i="5"/>
  <c r="AF943" i="5"/>
  <c r="AF944" i="5"/>
  <c r="AF945" i="5"/>
  <c r="AF946" i="5" s="1"/>
  <c r="AF947" i="5"/>
  <c r="AF948" i="5"/>
  <c r="AF949" i="5"/>
  <c r="AF950" i="5" s="1"/>
  <c r="AF951" i="5"/>
  <c r="AF952" i="5"/>
  <c r="AF953" i="5"/>
  <c r="AF954" i="5"/>
  <c r="AF955" i="5"/>
  <c r="AF956" i="5"/>
  <c r="AF957" i="5"/>
  <c r="AF958" i="5"/>
  <c r="AF959" i="5"/>
  <c r="AF960" i="5"/>
  <c r="AF961" i="5"/>
  <c r="AF962" i="5" s="1"/>
  <c r="AF963" i="5"/>
  <c r="AF964" i="5"/>
  <c r="AF965" i="5"/>
  <c r="AF966" i="5"/>
  <c r="AF967" i="5"/>
  <c r="AF968" i="5"/>
  <c r="AF969" i="5"/>
  <c r="AF970" i="5" s="1"/>
  <c r="AF971" i="5" s="1"/>
  <c r="AF972" i="5"/>
  <c r="AF973" i="5"/>
  <c r="AF974" i="5" s="1"/>
  <c r="AF975" i="5"/>
  <c r="AF976" i="5"/>
  <c r="AF977" i="5"/>
  <c r="AF978" i="5"/>
  <c r="AF979" i="5"/>
  <c r="AF980" i="5"/>
  <c r="AF981" i="5" s="1"/>
  <c r="AF982" i="5"/>
  <c r="AF983" i="5"/>
  <c r="AF984" i="5"/>
  <c r="AF985" i="5"/>
  <c r="AF986" i="5"/>
  <c r="AF987" i="5"/>
  <c r="AF988" i="5"/>
  <c r="AF989" i="5"/>
  <c r="AF990" i="5"/>
  <c r="AF991" i="5"/>
  <c r="AF992" i="5"/>
  <c r="AF993" i="5"/>
  <c r="AF994" i="5" s="1"/>
  <c r="AF995" i="5"/>
  <c r="AF996" i="5"/>
  <c r="AF997" i="5"/>
  <c r="AF998" i="5"/>
  <c r="AF999" i="5"/>
  <c r="AF1000" i="5"/>
  <c r="AF1001" i="5"/>
  <c r="AF1002" i="5"/>
  <c r="AF1003" i="5"/>
  <c r="AF1004" i="5" s="1"/>
  <c r="AF1005" i="5" s="1"/>
  <c r="AF1006" i="5" s="1"/>
  <c r="AF1007" i="5"/>
  <c r="AF1008" i="5"/>
  <c r="AF1009" i="5"/>
  <c r="AF1010" i="5"/>
  <c r="AF1011" i="5"/>
  <c r="AF1012" i="5"/>
  <c r="AF1013" i="5"/>
  <c r="AF1014" i="5"/>
  <c r="AF1015" i="5"/>
  <c r="AF1016" i="5"/>
  <c r="AF1017" i="5"/>
  <c r="AF1018" i="5"/>
  <c r="AF1019" i="5"/>
  <c r="AF1020" i="5"/>
  <c r="AF1021" i="5"/>
  <c r="AF1022" i="5"/>
  <c r="AF1023" i="5"/>
  <c r="AF1024" i="5"/>
  <c r="AF1025" i="5"/>
  <c r="AF1026" i="5"/>
  <c r="AF1027" i="5"/>
  <c r="AF1028" i="5"/>
  <c r="AF1029" i="5"/>
  <c r="AF1030" i="5"/>
  <c r="AF1031" i="5"/>
  <c r="AF1032" i="5"/>
  <c r="AF1033" i="5"/>
  <c r="AF1034" i="5"/>
  <c r="AF1035" i="5"/>
  <c r="AF1036" i="5"/>
  <c r="AF1037" i="5"/>
  <c r="AF1038" i="5"/>
  <c r="AF1039" i="5"/>
  <c r="AF1040" i="5"/>
  <c r="AF1041" i="5" s="1"/>
  <c r="AF1042" i="5"/>
  <c r="AF1043" i="5"/>
  <c r="AF1044" i="5"/>
  <c r="AF1045" i="5"/>
  <c r="AF1046" i="5" s="1"/>
  <c r="AF1047" i="5"/>
  <c r="AF1048" i="5"/>
  <c r="AF1049" i="5"/>
  <c r="AF1050" i="5"/>
  <c r="AF1051" i="5"/>
  <c r="AF1052" i="5"/>
  <c r="AF1053" i="5"/>
  <c r="AF1054" i="5"/>
  <c r="AF1055" i="5"/>
  <c r="AF1056" i="5"/>
  <c r="AF1057" i="5"/>
  <c r="AF1058" i="5" s="1"/>
  <c r="AF1059" i="5"/>
  <c r="AF1060" i="5" s="1"/>
  <c r="AF1061" i="5" s="1"/>
  <c r="AF1062" i="5"/>
  <c r="AF1063" i="5"/>
  <c r="AF1064" i="5" s="1"/>
  <c r="AF1065" i="5"/>
  <c r="AF1066" i="5"/>
  <c r="AF1067" i="5"/>
  <c r="AF1068" i="5"/>
  <c r="AF1069" i="5"/>
  <c r="AF1070" i="5"/>
  <c r="AF1071" i="5"/>
  <c r="AF1072" i="5"/>
  <c r="AF1073" i="5"/>
  <c r="AF1074" i="5"/>
  <c r="AF1075" i="5"/>
  <c r="AF1076" i="5"/>
  <c r="AF1077" i="5"/>
  <c r="AF1078" i="5"/>
  <c r="AF1079" i="5"/>
  <c r="AF1080" i="5"/>
  <c r="AF1081" i="5"/>
  <c r="AF1082" i="5"/>
  <c r="AF1083" i="5"/>
  <c r="AF1084" i="5"/>
  <c r="AF1085" i="5"/>
  <c r="AF1086" i="5"/>
  <c r="AF1087" i="5"/>
  <c r="AF1088" i="5"/>
  <c r="AF1089" i="5"/>
  <c r="AF1090" i="5" s="1"/>
  <c r="AF1091" i="5"/>
  <c r="AF1092" i="5"/>
  <c r="AF1093" i="5"/>
  <c r="AF1094" i="5"/>
  <c r="AF1095" i="5"/>
  <c r="AF1096" i="5"/>
  <c r="AF1097" i="5"/>
  <c r="AF1098" i="5"/>
  <c r="AF1099" i="5"/>
  <c r="AF1100" i="5"/>
  <c r="AF1101" i="5"/>
  <c r="AF1102" i="5" s="1"/>
  <c r="AF1103" i="5" s="1"/>
  <c r="AF1104" i="5"/>
  <c r="AF1105" i="5"/>
  <c r="AF1106" i="5" s="1"/>
  <c r="AF1107" i="5"/>
  <c r="AF1108" i="5" s="1"/>
  <c r="AF1109" i="5"/>
  <c r="AF1110" i="5"/>
  <c r="AF1111" i="5"/>
  <c r="AF1112" i="5"/>
  <c r="AF1113" i="5"/>
  <c r="AF1114" i="5"/>
  <c r="AF1115" i="5"/>
  <c r="AF1116" i="5"/>
  <c r="AF1117" i="5"/>
  <c r="AF1118" i="5" s="1"/>
  <c r="AF1119" i="5"/>
  <c r="AF1120" i="5"/>
  <c r="AF1121" i="5"/>
  <c r="AF1122" i="5"/>
  <c r="AF1123" i="5"/>
  <c r="AF1124" i="5"/>
  <c r="AF1125" i="5" s="1"/>
  <c r="AF1126" i="5"/>
  <c r="AF1127" i="5"/>
  <c r="AF1128" i="5"/>
  <c r="AF1129" i="5"/>
  <c r="AF1130" i="5" s="1"/>
  <c r="AF1131" i="5"/>
  <c r="AF1132" i="5"/>
  <c r="AF1133" i="5"/>
  <c r="AF1134" i="5"/>
  <c r="AF1135" i="5"/>
  <c r="AF1136" i="5"/>
  <c r="AF1137" i="5" s="1"/>
  <c r="AF1138" i="5"/>
  <c r="AF1139" i="5"/>
  <c r="AF1140" i="5"/>
  <c r="AF1141" i="5"/>
  <c r="AF1142" i="5"/>
  <c r="AF1143" i="5"/>
  <c r="AF1144" i="5"/>
  <c r="AF1145" i="5"/>
  <c r="AF1146" i="5"/>
  <c r="AF1147" i="5"/>
  <c r="AF1148" i="5"/>
  <c r="AF1149" i="5" s="1"/>
  <c r="AF1150" i="5" s="1"/>
  <c r="AF1151" i="5"/>
  <c r="AF1152" i="5"/>
  <c r="AF1153" i="5"/>
  <c r="AF1154" i="5" s="1"/>
  <c r="AF1155" i="5"/>
  <c r="AF1156" i="5"/>
  <c r="AF1157" i="5"/>
  <c r="AF1158" i="5"/>
  <c r="AF1159" i="5"/>
  <c r="AF1160" i="5"/>
  <c r="AF1161" i="5"/>
  <c r="AF1162" i="5"/>
  <c r="AF1163" i="5" s="1"/>
  <c r="AF1164" i="5"/>
  <c r="AF1165" i="5"/>
  <c r="AF1166" i="5"/>
  <c r="AF1167" i="5"/>
  <c r="AF1168" i="5" s="1"/>
  <c r="AF1169" i="5" s="1"/>
  <c r="AF1170" i="5"/>
  <c r="AF1171" i="5"/>
  <c r="AF1172" i="5" s="1"/>
  <c r="AF1173" i="5"/>
  <c r="AF1174" i="5"/>
  <c r="AF1175" i="5"/>
  <c r="AF1176" i="5"/>
  <c r="AF1177" i="5"/>
  <c r="AF1178" i="5"/>
  <c r="AF1179" i="5"/>
  <c r="AF1180" i="5"/>
  <c r="AF1181" i="5"/>
  <c r="AF1182" i="5"/>
  <c r="AF1183" i="5"/>
  <c r="AF1184" i="5"/>
  <c r="AF1185" i="5" s="1"/>
  <c r="AF1186" i="5"/>
  <c r="AF1187" i="5"/>
  <c r="AF1188" i="5"/>
  <c r="AF1189" i="5"/>
  <c r="AF1190" i="5"/>
  <c r="AF1191" i="5"/>
  <c r="AF1192" i="5" s="1"/>
  <c r="AF1193" i="5" s="1"/>
  <c r="AF1194" i="5"/>
  <c r="AF1195" i="5"/>
  <c r="AF1196" i="5"/>
  <c r="AF1197" i="5" s="1"/>
  <c r="AF1198" i="5" s="1"/>
  <c r="AF1199" i="5"/>
  <c r="AF1200" i="5"/>
  <c r="AF1201" i="5"/>
  <c r="AF1202" i="5"/>
  <c r="AF1203" i="5"/>
  <c r="AF1204" i="5" s="1"/>
  <c r="AF1205" i="5" s="1"/>
  <c r="AF1206" i="5"/>
  <c r="AF1207" i="5"/>
  <c r="AF1208" i="5"/>
  <c r="AF1209" i="5"/>
  <c r="AF1210" i="5"/>
  <c r="AF1211" i="5"/>
  <c r="AF1212" i="5"/>
  <c r="AF1213" i="5"/>
  <c r="AF1214" i="5"/>
  <c r="AF1215" i="5"/>
  <c r="AF1216" i="5"/>
  <c r="AF1217" i="5"/>
  <c r="AF1218" i="5"/>
  <c r="AF1219" i="5"/>
  <c r="AF1220" i="5"/>
  <c r="AF1221" i="5" s="1"/>
  <c r="AF1222" i="5"/>
  <c r="AF1223" i="5"/>
  <c r="AF1224" i="5"/>
  <c r="AF1225" i="5"/>
  <c r="AF1226" i="5" s="1"/>
  <c r="AF1227" i="5"/>
  <c r="AF1228" i="5"/>
  <c r="AF1229" i="5"/>
  <c r="AF1230" i="5"/>
  <c r="AF1231" i="5"/>
  <c r="AF1232" i="5"/>
  <c r="AF1233" i="5" s="1"/>
  <c r="AF1234" i="5"/>
  <c r="AF1235" i="5"/>
  <c r="AF1236" i="5"/>
  <c r="AF1237" i="5"/>
  <c r="AF1238" i="5" s="1"/>
  <c r="AF1239" i="5"/>
  <c r="AF1240" i="5"/>
  <c r="AF1241" i="5"/>
  <c r="AF1242" i="5"/>
  <c r="AF1243" i="5"/>
  <c r="AF1244" i="5" s="1"/>
  <c r="AF1245" i="5"/>
  <c r="AF1246" i="5"/>
  <c r="AF1247" i="5" s="1"/>
  <c r="AF1248" i="5"/>
  <c r="AF1249" i="5"/>
  <c r="AF1250" i="5" s="1"/>
  <c r="AF1251" i="5"/>
  <c r="AF1252" i="5"/>
  <c r="AF1253" i="5"/>
  <c r="AF1254" i="5"/>
  <c r="AF1255" i="5"/>
  <c r="AF1256" i="5"/>
  <c r="AF1257" i="5"/>
  <c r="AF1258" i="5"/>
  <c r="AF1259" i="5" s="1"/>
  <c r="AF1260" i="5"/>
  <c r="AF1261" i="5"/>
  <c r="AF1262" i="5"/>
  <c r="AF1263" i="5"/>
  <c r="AF1264" i="5" s="1"/>
  <c r="AF1265" i="5"/>
  <c r="AF1266" i="5"/>
  <c r="AF1267" i="5"/>
  <c r="AF1268" i="5"/>
  <c r="AF1269" i="5" s="1"/>
  <c r="AF1270" i="5"/>
  <c r="AF1271" i="5"/>
  <c r="AF1272" i="5"/>
  <c r="AF1273" i="5"/>
  <c r="AF1274" i="5"/>
  <c r="AF1275" i="5"/>
  <c r="AF1276" i="5" s="1"/>
  <c r="AF1277" i="5" s="1"/>
  <c r="AF1278" i="5"/>
  <c r="AF1279" i="5"/>
  <c r="AF1280" i="5"/>
  <c r="AF1281" i="5"/>
  <c r="AF1282" i="5"/>
  <c r="AF1283" i="5" s="1"/>
  <c r="AF1284" i="5" s="1"/>
  <c r="AF1285" i="5" s="1"/>
  <c r="AF1286" i="5"/>
  <c r="AF1287" i="5"/>
  <c r="AF1288" i="5"/>
  <c r="AF1289" i="5"/>
  <c r="AF1290" i="5"/>
  <c r="AF1291" i="5"/>
  <c r="AF1292" i="5"/>
  <c r="AF1293" i="5"/>
  <c r="AF1294" i="5"/>
  <c r="AF1295" i="5" s="1"/>
  <c r="AF1296" i="5"/>
  <c r="AF1297" i="5"/>
  <c r="AF1298" i="5"/>
  <c r="AF1299" i="5"/>
  <c r="AF1300" i="5" s="1"/>
  <c r="AF1301" i="5"/>
  <c r="AF1302" i="5"/>
  <c r="AF1303" i="5"/>
  <c r="AF1304" i="5"/>
  <c r="AF1305" i="5"/>
  <c r="AF1306" i="5"/>
  <c r="AF1307" i="5"/>
  <c r="AF1308" i="5"/>
  <c r="AF1309" i="5"/>
  <c r="AF1310" i="5" s="1"/>
  <c r="AF1311" i="5"/>
  <c r="AF1312" i="5" s="1"/>
  <c r="AF1313" i="5"/>
  <c r="AF1314" i="5"/>
  <c r="AF1315" i="5"/>
  <c r="AF1316" i="5"/>
  <c r="AF1317" i="5" s="1"/>
  <c r="AF1318" i="5"/>
  <c r="AF1319" i="5" s="1"/>
  <c r="AF1320" i="5"/>
  <c r="AF1321" i="5"/>
  <c r="AF1322" i="5" s="1"/>
  <c r="AF1323" i="5"/>
  <c r="AF1324" i="5" s="1"/>
  <c r="AF1325" i="5"/>
  <c r="AF1326" i="5"/>
  <c r="AF1327" i="5" s="1"/>
  <c r="AF1328" i="5" s="1"/>
  <c r="AF1329" i="5"/>
  <c r="AF1330" i="5"/>
  <c r="AF1331" i="5"/>
  <c r="AF1332" i="5"/>
  <c r="AF1333" i="5"/>
  <c r="AF1334" i="5"/>
  <c r="AF1335" i="5"/>
  <c r="AF1336" i="5" s="1"/>
  <c r="AF1337" i="5"/>
  <c r="AF1338" i="5"/>
  <c r="AF1339" i="5"/>
  <c r="AF1340" i="5"/>
  <c r="AF1341" i="5" s="1"/>
  <c r="AF1342" i="5"/>
  <c r="AF1343" i="5" s="1"/>
  <c r="AF1344" i="5" s="1"/>
  <c r="AF1345" i="5"/>
  <c r="AF1346" i="5" s="1"/>
  <c r="AF1347" i="5"/>
  <c r="AF1348" i="5"/>
  <c r="AF1349" i="5"/>
  <c r="AF1350" i="5"/>
  <c r="AF1351" i="5"/>
  <c r="AF1352" i="5" s="1"/>
  <c r="AF1353" i="5"/>
  <c r="AF1354" i="5"/>
  <c r="AF1355" i="5" s="1"/>
  <c r="AF1356" i="5" s="1"/>
  <c r="AF1357" i="5" s="1"/>
  <c r="AF1358" i="5"/>
  <c r="AF1359" i="5"/>
  <c r="AF1360" i="5"/>
  <c r="AF1361" i="5"/>
  <c r="AF1362" i="5"/>
  <c r="AF1363" i="5"/>
  <c r="AF1364" i="5"/>
  <c r="AF1365" i="5"/>
  <c r="AF1366" i="5"/>
  <c r="AF1367" i="5"/>
  <c r="AF1368" i="5"/>
  <c r="AF1369" i="5"/>
  <c r="AF1370" i="5"/>
  <c r="AF1371" i="5"/>
  <c r="AF1372" i="5" s="1"/>
  <c r="AF1373" i="5"/>
  <c r="AF1374" i="5"/>
  <c r="AF1375" i="5"/>
  <c r="AF1376" i="5" s="1"/>
  <c r="AF1377" i="5"/>
  <c r="AF1378" i="5"/>
  <c r="AF1379" i="5" s="1"/>
  <c r="AF1380" i="5"/>
  <c r="AF1381" i="5"/>
  <c r="AF1382" i="5" s="1"/>
  <c r="AF1383" i="5"/>
  <c r="AF1384" i="5" s="1"/>
  <c r="AF1385" i="5"/>
  <c r="AF1386" i="5"/>
  <c r="AF1387" i="5"/>
  <c r="AF1388" i="5" s="1"/>
  <c r="AF1389" i="5" s="1"/>
  <c r="AF1390" i="5" s="1"/>
  <c r="AF1391" i="5"/>
  <c r="AF1392" i="5"/>
  <c r="AF1393" i="5"/>
  <c r="AF1394" i="5" s="1"/>
  <c r="AF1395" i="5"/>
  <c r="AF1396" i="5" s="1"/>
  <c r="AF1397" i="5"/>
  <c r="AF1398" i="5"/>
  <c r="AF1399" i="5"/>
  <c r="AF1400" i="5"/>
  <c r="AF1401" i="5"/>
  <c r="AF1402" i="5"/>
  <c r="AF1403" i="5" s="1"/>
  <c r="AF1404" i="5" s="1"/>
  <c r="AF1405" i="5"/>
  <c r="AF1406" i="5"/>
  <c r="AF1407" i="5"/>
  <c r="AF1408" i="5"/>
  <c r="AF1409" i="5"/>
  <c r="AF1410" i="5"/>
  <c r="AF1411" i="5"/>
  <c r="AF1412" i="5"/>
  <c r="AF1413" i="5" s="1"/>
  <c r="AF1414" i="5" s="1"/>
  <c r="AF1415" i="5"/>
  <c r="AF1416" i="5"/>
  <c r="AF1417" i="5" s="1"/>
  <c r="AF1418" i="5" s="1"/>
  <c r="AF1419" i="5"/>
  <c r="AF1420" i="5" s="1"/>
  <c r="AF1421" i="5" s="1"/>
  <c r="AF1422" i="5"/>
  <c r="AF1423" i="5"/>
  <c r="AF1424" i="5"/>
  <c r="AF1425" i="5" s="1"/>
  <c r="AF1426" i="5"/>
  <c r="AF1427" i="5"/>
  <c r="AF1428" i="5"/>
  <c r="AF1429" i="5"/>
  <c r="AF1430" i="5" s="1"/>
  <c r="AF1431" i="5"/>
  <c r="AF1432" i="5" s="1"/>
  <c r="AF1433" i="5" s="1"/>
  <c r="AF1434" i="5" s="1"/>
  <c r="AF1435" i="5" s="1"/>
  <c r="AF1436" i="5"/>
  <c r="AF1437" i="5"/>
  <c r="AF1438" i="5"/>
  <c r="AF1439" i="5"/>
  <c r="AF1440" i="5"/>
  <c r="AF1441" i="5"/>
  <c r="AF1442" i="5" s="1"/>
  <c r="AF1443" i="5"/>
  <c r="AF1444" i="5" s="1"/>
  <c r="AF1445" i="5"/>
  <c r="AF1446" i="5"/>
  <c r="AF1447" i="5"/>
  <c r="AF1448" i="5" s="1"/>
  <c r="AF1449" i="5"/>
  <c r="AF1450" i="5"/>
  <c r="AF1451" i="5"/>
  <c r="AF1452" i="5"/>
  <c r="AF1453" i="5"/>
  <c r="AF1454" i="5"/>
  <c r="AF1455" i="5"/>
  <c r="AF1456" i="5"/>
  <c r="AF1457" i="5"/>
  <c r="AF1458" i="5"/>
  <c r="AF1459" i="5"/>
  <c r="AF1460" i="5"/>
  <c r="AF1461" i="5" s="1"/>
  <c r="AF1462" i="5" s="1"/>
  <c r="AF1463" i="5"/>
  <c r="AF1464" i="5"/>
  <c r="AF1465" i="5" s="1"/>
  <c r="AF1466" i="5"/>
  <c r="AF1467" i="5"/>
  <c r="AF1468" i="5"/>
  <c r="AF1469" i="5"/>
  <c r="AF1470" i="5"/>
  <c r="AF1471" i="5" s="1"/>
  <c r="AF1472" i="5"/>
  <c r="AF1473" i="5" s="1"/>
  <c r="AF1474" i="5" s="1"/>
  <c r="AF1475" i="5"/>
  <c r="AF1476" i="5"/>
  <c r="AF1477" i="5"/>
  <c r="AF1478" i="5"/>
  <c r="AF1479" i="5"/>
  <c r="AF1480" i="5" s="1"/>
  <c r="AF1481" i="5" s="1"/>
  <c r="AF1482" i="5" s="1"/>
  <c r="AF1483" i="5" s="1"/>
  <c r="AF1484" i="5" s="1"/>
  <c r="AF1485" i="5"/>
  <c r="AF1486" i="5"/>
  <c r="AF1487" i="5"/>
  <c r="AF1488" i="5"/>
  <c r="AF1489" i="5"/>
  <c r="AF1490" i="5"/>
  <c r="AF1491" i="5"/>
  <c r="AF1492" i="5"/>
  <c r="AF1493" i="5" s="1"/>
  <c r="AF1494" i="5"/>
  <c r="AF1495" i="5" s="1"/>
  <c r="AF1496" i="5"/>
  <c r="AF1497" i="5"/>
  <c r="AF1498" i="5"/>
  <c r="AF1499" i="5" s="1"/>
  <c r="AF1500" i="5"/>
  <c r="AF1501" i="5"/>
  <c r="AF1502" i="5"/>
  <c r="AF1503" i="5"/>
  <c r="AF1504" i="5" s="1"/>
  <c r="AF1505" i="5"/>
  <c r="AF1506" i="5"/>
  <c r="AF1507" i="5"/>
  <c r="AF1508" i="5"/>
  <c r="AF1509" i="5" s="1"/>
  <c r="AF1510" i="5"/>
  <c r="AF1511" i="5" s="1"/>
  <c r="AF1512" i="5"/>
  <c r="AF1513" i="5" s="1"/>
  <c r="AF1514" i="5" s="1"/>
  <c r="AF1515" i="5"/>
  <c r="AF1516" i="5"/>
  <c r="AF1517" i="5" s="1"/>
  <c r="AF1518" i="5"/>
  <c r="AF1519" i="5"/>
  <c r="AF1520" i="5"/>
  <c r="AF1521" i="5" s="1"/>
  <c r="AF1522" i="5"/>
  <c r="AF1523" i="5"/>
  <c r="AF1524" i="5"/>
  <c r="AF1525" i="5" s="1"/>
  <c r="AF1526" i="5" s="1"/>
  <c r="AF1527" i="5"/>
  <c r="AF1528" i="5" s="1"/>
  <c r="AF1529" i="5"/>
  <c r="AF1530" i="5"/>
  <c r="AF1531" i="5"/>
  <c r="AF1532" i="5"/>
  <c r="AF1533" i="5"/>
  <c r="AF1534" i="5"/>
  <c r="AF1535" i="5"/>
  <c r="AF1536" i="5"/>
  <c r="AF1537" i="5"/>
  <c r="AF1538" i="5"/>
  <c r="AF1539" i="5"/>
  <c r="AF1540" i="5" s="1"/>
  <c r="AF1541" i="5"/>
  <c r="AF1542" i="5"/>
  <c r="AF1543" i="5" s="1"/>
  <c r="AF1544" i="5" s="1"/>
  <c r="AF1545" i="5"/>
  <c r="AF1546" i="5"/>
  <c r="AF1547" i="5" s="1"/>
  <c r="AF1548" i="5" s="1"/>
  <c r="AF1549" i="5"/>
  <c r="AF1550" i="5"/>
  <c r="AF1551" i="5"/>
  <c r="AF1552" i="5"/>
  <c r="AF1553" i="5" s="1"/>
  <c r="AF1554" i="5" s="1"/>
  <c r="AF1555" i="5" s="1"/>
  <c r="AF1556" i="5"/>
  <c r="AF1557" i="5" s="1"/>
  <c r="AF1558" i="5"/>
  <c r="AF1559" i="5" s="1"/>
  <c r="AF1560" i="5"/>
  <c r="AF1561" i="5"/>
  <c r="AF1562" i="5"/>
  <c r="AF1563" i="5"/>
  <c r="AF1564" i="5" s="1"/>
  <c r="AF1565" i="5"/>
  <c r="AF1566" i="5"/>
  <c r="AF1567" i="5" s="1"/>
  <c r="AF1568" i="5"/>
  <c r="AF1569" i="5" s="1"/>
  <c r="AF1570" i="5"/>
  <c r="AF1571" i="5" s="1"/>
  <c r="AF1572" i="5"/>
  <c r="AF1573" i="5"/>
  <c r="AF1574" i="5" s="1"/>
  <c r="AF1575" i="5"/>
  <c r="AF1576" i="5" s="1"/>
  <c r="AF1577" i="5"/>
  <c r="AF1578" i="5"/>
  <c r="AF1579" i="5"/>
  <c r="AF1580" i="5"/>
  <c r="AF1581" i="5" s="1"/>
  <c r="AF1582" i="5"/>
  <c r="AF1583" i="5" s="1"/>
  <c r="AF1584" i="5"/>
  <c r="AF1585" i="5"/>
  <c r="AF1586" i="5"/>
  <c r="AF1587" i="5"/>
  <c r="AF1588" i="5"/>
  <c r="AF1589" i="5" s="1"/>
  <c r="AF1590" i="5"/>
  <c r="AF1591" i="5"/>
  <c r="AF1592" i="5"/>
  <c r="AF1593" i="5"/>
  <c r="AF1594" i="5"/>
  <c r="AF1595" i="5"/>
  <c r="AF1596" i="5"/>
  <c r="AF1597" i="5"/>
  <c r="AF1598" i="5"/>
  <c r="AF1599" i="5"/>
  <c r="AF1600" i="5"/>
  <c r="AF1601" i="5" s="1"/>
  <c r="AF1602" i="5" s="1"/>
  <c r="AF1603" i="5"/>
  <c r="AF1604" i="5"/>
  <c r="AF1605" i="5" s="1"/>
  <c r="AF1606" i="5"/>
  <c r="AF1607" i="5"/>
  <c r="AF1608" i="5"/>
  <c r="AF1609" i="5"/>
  <c r="AF1610" i="5" s="1"/>
  <c r="AF1611" i="5" s="1"/>
  <c r="AF1612" i="5"/>
  <c r="AF1613" i="5"/>
  <c r="AF1614" i="5"/>
  <c r="AF1615" i="5" s="1"/>
  <c r="AF1616" i="5"/>
  <c r="AF1617" i="5" s="1"/>
  <c r="AF1618" i="5" s="1"/>
  <c r="AF1619" i="5"/>
  <c r="AF1620" i="5"/>
  <c r="AF1621" i="5"/>
  <c r="AF1622" i="5"/>
  <c r="AF1623" i="5"/>
  <c r="AF1624" i="5" s="1"/>
  <c r="AF1625" i="5" s="1"/>
  <c r="AF1626" i="5" s="1"/>
  <c r="AF1627" i="5"/>
  <c r="AF1628" i="5" s="1"/>
  <c r="AF1629" i="5"/>
  <c r="AF1630" i="5"/>
  <c r="AF1631" i="5" s="1"/>
  <c r="AF1632" i="5" s="1"/>
  <c r="AF1633" i="5"/>
  <c r="AF1634" i="5"/>
  <c r="AF1635" i="5"/>
  <c r="AF1636" i="5" s="1"/>
  <c r="AF1637" i="5"/>
  <c r="AF1638" i="5"/>
  <c r="AF1639" i="5"/>
  <c r="AF1640" i="5"/>
  <c r="AF1641" i="5"/>
  <c r="AF1642" i="5"/>
  <c r="AF1643" i="5"/>
  <c r="AF1644" i="5"/>
  <c r="AF1645" i="5"/>
  <c r="AF1646" i="5"/>
  <c r="AF1647" i="5"/>
  <c r="AF1648" i="5"/>
  <c r="AF1649" i="5" s="1"/>
  <c r="AF1650" i="5" s="1"/>
  <c r="AF1651" i="5"/>
  <c r="AF1652" i="5"/>
  <c r="AF1653" i="5"/>
  <c r="AF1654" i="5"/>
  <c r="AF1655" i="5"/>
  <c r="AF1656" i="5"/>
  <c r="AF1657" i="5"/>
  <c r="AF1658" i="5"/>
  <c r="AF1659" i="5"/>
  <c r="AF1660" i="5" s="1"/>
  <c r="AF1661" i="5" s="1"/>
  <c r="AF1662" i="5"/>
  <c r="AF1663" i="5"/>
  <c r="AF1664" i="5"/>
  <c r="AF1665" i="5" s="1"/>
  <c r="AF1666" i="5"/>
  <c r="AF1667" i="5" s="1"/>
  <c r="AF1668" i="5"/>
  <c r="AF1669" i="5"/>
  <c r="AF1670" i="5"/>
  <c r="AF1671" i="5"/>
  <c r="AF1672" i="5"/>
  <c r="AF1673" i="5"/>
  <c r="AF1674" i="5"/>
  <c r="AF1675" i="5" s="1"/>
  <c r="AF1676" i="5"/>
  <c r="AF1677" i="5" s="1"/>
  <c r="AF1678" i="5" s="1"/>
  <c r="AF1679" i="5"/>
  <c r="AF1680" i="5"/>
  <c r="AF1681" i="5"/>
  <c r="AF1682" i="5" s="1"/>
  <c r="AF1683" i="5"/>
  <c r="AF1684" i="5"/>
  <c r="AF1685" i="5" s="1"/>
  <c r="AF1686" i="5" s="1"/>
  <c r="AF1687" i="5"/>
  <c r="AF1688" i="5"/>
  <c r="AF1689" i="5" s="1"/>
  <c r="AF1690" i="5" s="1"/>
  <c r="AF1691" i="5" s="1"/>
  <c r="AF1692" i="5"/>
  <c r="AF1693" i="5"/>
  <c r="AF1694" i="5"/>
  <c r="AF1695" i="5"/>
  <c r="AF1696" i="5"/>
  <c r="AF1697" i="5"/>
  <c r="AF1698" i="5"/>
  <c r="AF1699" i="5"/>
  <c r="AF1700" i="5" s="1"/>
  <c r="AF1701" i="5"/>
  <c r="AF1702" i="5"/>
  <c r="AF1703" i="5"/>
  <c r="AF1704" i="5"/>
  <c r="AF1705" i="5"/>
  <c r="AF1706" i="5"/>
  <c r="AF1707" i="5"/>
  <c r="AF1708" i="5"/>
  <c r="AF1709" i="5" s="1"/>
  <c r="AF1710" i="5" s="1"/>
  <c r="AF1711" i="5" s="1"/>
  <c r="AF1712" i="5"/>
  <c r="AF1713" i="5" s="1"/>
  <c r="AF1714" i="5"/>
  <c r="AF1715" i="5"/>
  <c r="AF1716" i="5"/>
  <c r="AF1717" i="5"/>
  <c r="AF1718" i="5"/>
  <c r="AF1719" i="5"/>
  <c r="AF1720" i="5" s="1"/>
  <c r="AF1721" i="5" s="1"/>
  <c r="AF1722" i="5" s="1"/>
  <c r="AF1723" i="5"/>
  <c r="AF1724" i="5" s="1"/>
  <c r="AF1725" i="5"/>
  <c r="AF1726" i="5"/>
  <c r="AF1727" i="5"/>
  <c r="AF1728" i="5"/>
  <c r="AF1729" i="5"/>
  <c r="AF1730" i="5"/>
  <c r="AF1731" i="5"/>
  <c r="AF1732" i="5" s="1"/>
  <c r="AF1733" i="5" s="1"/>
  <c r="AF1734" i="5"/>
  <c r="AF1735" i="5"/>
  <c r="AF1736" i="5"/>
  <c r="AF1737" i="5" s="1"/>
  <c r="AF1738" i="5" s="1"/>
  <c r="AF1739" i="5"/>
  <c r="AF1740" i="5"/>
  <c r="AF1741" i="5"/>
  <c r="AF1742" i="5"/>
  <c r="AF1743" i="5"/>
  <c r="AF1744" i="5" s="1"/>
  <c r="AF1745" i="5"/>
  <c r="AF1746" i="5"/>
  <c r="AF1747" i="5"/>
  <c r="AF1748" i="5"/>
  <c r="AF1749" i="5"/>
  <c r="AF1750" i="5"/>
  <c r="AF1751" i="5"/>
  <c r="AF1752" i="5"/>
  <c r="AF1753" i="5"/>
  <c r="AF1754" i="5"/>
  <c r="AF1755" i="5"/>
  <c r="AF1756" i="5" s="1"/>
  <c r="AF1757" i="5" s="1"/>
  <c r="AF1758" i="5"/>
  <c r="AF1759" i="5"/>
  <c r="AF1760" i="5"/>
  <c r="AF1761" i="5" s="1"/>
  <c r="AF1762" i="5" s="1"/>
  <c r="AF1763" i="5"/>
  <c r="AF1764" i="5"/>
  <c r="AF1765" i="5"/>
  <c r="AF1766" i="5"/>
  <c r="AF1767" i="5"/>
  <c r="AF1768" i="5" s="1"/>
  <c r="AF1769" i="5"/>
  <c r="AF1770" i="5"/>
  <c r="AF1771" i="5"/>
  <c r="AF1772" i="5"/>
  <c r="AF1773" i="5"/>
  <c r="AF1774" i="5"/>
  <c r="AF1775" i="5"/>
  <c r="AF1776" i="5"/>
  <c r="AF1777" i="5"/>
  <c r="AF1778" i="5"/>
  <c r="AF1779" i="5"/>
  <c r="AF1780" i="5" s="1"/>
  <c r="AF1781" i="5" s="1"/>
  <c r="AF1782" i="5"/>
  <c r="AF1783" i="5"/>
  <c r="AF1784" i="5"/>
  <c r="AF1785" i="5" s="1"/>
  <c r="AF1786" i="5"/>
  <c r="AF1787" i="5"/>
  <c r="AF1788" i="5"/>
  <c r="AF1789" i="5"/>
  <c r="AF1790" i="5"/>
  <c r="AF1791" i="5"/>
  <c r="AF1792" i="5" s="1"/>
  <c r="AF1793" i="5"/>
  <c r="AF1794" i="5"/>
  <c r="AF1795" i="5"/>
  <c r="AF1796" i="5" s="1"/>
  <c r="AF1797" i="5"/>
  <c r="AF1798" i="5"/>
  <c r="AF1799" i="5"/>
  <c r="AF1800" i="5"/>
  <c r="AF1801" i="5"/>
  <c r="AF1802" i="5"/>
  <c r="AF1803" i="5"/>
  <c r="AF1804" i="5"/>
  <c r="AF1805" i="5"/>
  <c r="AF1806" i="5"/>
  <c r="AF1807" i="5"/>
  <c r="AF1808" i="5"/>
  <c r="AF1809" i="5" s="1"/>
  <c r="AF1810" i="5" s="1"/>
  <c r="AF1811" i="5" s="1"/>
  <c r="AF1812" i="5"/>
  <c r="AF1813" i="5"/>
  <c r="AF1814" i="5"/>
  <c r="AF1815" i="5"/>
  <c r="AF1816" i="5" s="1"/>
  <c r="AF1817" i="5" s="1"/>
  <c r="AF1818" i="5" s="1"/>
  <c r="AF1819" i="5" s="1"/>
  <c r="AF1820" i="5" s="1"/>
  <c r="AF1821" i="5"/>
  <c r="AF1822" i="5"/>
  <c r="AF1823" i="5"/>
  <c r="AF1824" i="5"/>
  <c r="AF1825" i="5"/>
  <c r="AF1826" i="5"/>
  <c r="AF1827" i="5"/>
  <c r="AF1828" i="5" s="1"/>
  <c r="AF1829" i="5" s="1"/>
  <c r="AF1830" i="5" s="1"/>
  <c r="AF1831" i="5" s="1"/>
  <c r="AF1832" i="5"/>
  <c r="AF1833" i="5" s="1"/>
  <c r="AF1834" i="5" s="1"/>
  <c r="AF1835" i="5"/>
  <c r="AF1836" i="5"/>
  <c r="AF1837" i="5"/>
  <c r="AF1838" i="5"/>
  <c r="AF1839" i="5"/>
  <c r="AF1840" i="5" s="1"/>
  <c r="AF1841" i="5"/>
  <c r="AF1842" i="5"/>
  <c r="AF1843" i="5"/>
  <c r="AF1844" i="5"/>
  <c r="AF1845" i="5" s="1"/>
  <c r="AF1846" i="5"/>
  <c r="AF1847" i="5"/>
  <c r="AF1848" i="5"/>
  <c r="AF1849" i="5"/>
  <c r="AF1850" i="5"/>
  <c r="AF1851" i="5"/>
  <c r="AF1852" i="5" s="1"/>
  <c r="AF1853" i="5" s="1"/>
  <c r="AF1854" i="5" s="1"/>
  <c r="AF1855" i="5"/>
  <c r="AF1856" i="5" s="1"/>
  <c r="AF1857" i="5" s="1"/>
  <c r="AF1858" i="5" s="1"/>
  <c r="AF1859" i="5"/>
  <c r="AF1860" i="5"/>
  <c r="AF1861" i="5"/>
  <c r="AF1862" i="5"/>
  <c r="AF1863" i="5"/>
  <c r="AF1864" i="5" s="1"/>
  <c r="AF1865" i="5"/>
  <c r="AF1866" i="5"/>
  <c r="AF1867" i="5"/>
  <c r="AF1868" i="5"/>
  <c r="AF1869" i="5"/>
  <c r="AF1870" i="5"/>
  <c r="AF1871" i="5"/>
  <c r="AF1872" i="5"/>
  <c r="AF1873" i="5"/>
  <c r="AF1874" i="5"/>
  <c r="AF1875" i="5"/>
  <c r="AF1876" i="5" s="1"/>
  <c r="AF1877" i="5"/>
  <c r="AF1878" i="5"/>
  <c r="AF1879" i="5"/>
  <c r="AF1880" i="5"/>
  <c r="AF1881" i="5" s="1"/>
  <c r="AF1882" i="5"/>
  <c r="AF1883" i="5"/>
  <c r="AF1884" i="5"/>
  <c r="AF1885" i="5"/>
  <c r="AF1886" i="5"/>
  <c r="AF1887" i="5"/>
  <c r="AF1888" i="5"/>
  <c r="AF1889" i="5"/>
  <c r="AF1890" i="5"/>
  <c r="AF1891" i="5"/>
  <c r="AF1892" i="5" s="1"/>
  <c r="AF1893" i="5" s="1"/>
  <c r="AF1894" i="5"/>
  <c r="AF1895" i="5"/>
  <c r="AF1896" i="5"/>
  <c r="AF1897" i="5"/>
  <c r="AF1898" i="5"/>
  <c r="AF1899" i="5"/>
  <c r="AF1900" i="5" s="1"/>
  <c r="AF1901" i="5"/>
  <c r="AF1902" i="5"/>
  <c r="AF1903" i="5"/>
  <c r="AF1904" i="5"/>
  <c r="AF1905" i="5"/>
  <c r="AF1906" i="5"/>
  <c r="AF1907" i="5"/>
  <c r="AF1908" i="5" s="1"/>
  <c r="AF1909" i="5" s="1"/>
  <c r="AF1910" i="5" s="1"/>
  <c r="AF1911" i="5"/>
  <c r="AF1912" i="5"/>
  <c r="AF1913" i="5"/>
  <c r="AF1914" i="5"/>
  <c r="AF1915" i="5"/>
  <c r="AF1916" i="5"/>
  <c r="AF1917" i="5"/>
  <c r="AF1918" i="5"/>
  <c r="AF1919" i="5"/>
  <c r="AF1920" i="5"/>
  <c r="AF1921" i="5"/>
  <c r="AF1922" i="5"/>
  <c r="AF1923" i="5"/>
  <c r="AF1924" i="5" s="1"/>
  <c r="AF1925" i="5"/>
  <c r="AF1926" i="5"/>
  <c r="AF1927" i="5"/>
  <c r="AF1928" i="5"/>
  <c r="AF1929" i="5"/>
  <c r="AF1930" i="5"/>
  <c r="AF1931" i="5"/>
  <c r="AF1932" i="5"/>
  <c r="AF1933" i="5"/>
  <c r="AF1934" i="5"/>
  <c r="AF1935" i="5"/>
  <c r="AF1936" i="5" s="1"/>
  <c r="AF1937" i="5" s="1"/>
  <c r="AF1938" i="5"/>
  <c r="AF1939" i="5"/>
  <c r="AF1940" i="5" s="1"/>
  <c r="AF1941" i="5" s="1"/>
  <c r="AF1942" i="5" s="1"/>
  <c r="AF1943" i="5" s="1"/>
  <c r="AF1944" i="5"/>
  <c r="AF1945" i="5"/>
  <c r="AF1946" i="5"/>
  <c r="AF1947" i="5"/>
  <c r="AF1948" i="5" s="1"/>
  <c r="AF1949" i="5" s="1"/>
  <c r="AF1950" i="5"/>
  <c r="AF1951" i="5"/>
  <c r="AF1952" i="5" s="1"/>
  <c r="AF1953" i="5"/>
  <c r="AF1954" i="5"/>
  <c r="AF1955" i="5"/>
  <c r="AF1956" i="5" s="1"/>
  <c r="AF1957" i="5" s="1"/>
  <c r="AF1958" i="5"/>
  <c r="AF1959" i="5"/>
  <c r="AF1960" i="5" s="1"/>
  <c r="AF1961" i="5" s="1"/>
  <c r="AF1962" i="5"/>
  <c r="AF1963" i="5"/>
  <c r="AF1964" i="5"/>
  <c r="AF1965" i="5"/>
  <c r="AF1966" i="5"/>
  <c r="AF1967" i="5"/>
  <c r="AF1968" i="5"/>
  <c r="AF1969" i="5"/>
  <c r="AF1970" i="5"/>
  <c r="AF1971" i="5"/>
  <c r="AF1972" i="5"/>
  <c r="AF1973" i="5"/>
  <c r="AF1974" i="5"/>
  <c r="AF1975" i="5"/>
  <c r="AF1976" i="5" s="1"/>
  <c r="AF1977" i="5"/>
  <c r="AF1978" i="5"/>
  <c r="AF1979" i="5"/>
  <c r="AF1980" i="5"/>
  <c r="AF1981" i="5"/>
  <c r="AF1982" i="5"/>
  <c r="AF1983" i="5"/>
  <c r="AF1984" i="5"/>
  <c r="AF1985" i="5"/>
  <c r="AF1986" i="5"/>
  <c r="AF1987" i="5"/>
  <c r="AF1988" i="5" s="1"/>
  <c r="AF1989" i="5" s="1"/>
  <c r="AF1990" i="5" s="1"/>
  <c r="AF1991" i="5"/>
  <c r="AF1992" i="5" s="1"/>
  <c r="AF1993" i="5" s="1"/>
  <c r="AF1994" i="5" s="1"/>
  <c r="AF1995" i="5"/>
  <c r="AF1996" i="5" s="1"/>
  <c r="AF1997" i="5" s="1"/>
  <c r="AF1998" i="5"/>
  <c r="AF1999" i="5"/>
  <c r="AF2000" i="5" s="1"/>
  <c r="AF2001" i="5" s="1"/>
  <c r="AF2002" i="5"/>
  <c r="AF2003" i="5"/>
  <c r="AF2004" i="5"/>
  <c r="AF2005" i="5"/>
  <c r="AF2006" i="5"/>
  <c r="AF2007" i="5"/>
  <c r="AF2008" i="5"/>
  <c r="AF2009" i="5"/>
  <c r="AF2010" i="5"/>
  <c r="AF2011" i="5"/>
  <c r="AF2012" i="5"/>
  <c r="AF2013" i="5" s="1"/>
  <c r="AF2014" i="5" s="1"/>
  <c r="AF2015" i="5" s="1"/>
  <c r="AF2016" i="5" s="1"/>
  <c r="AF2017" i="5"/>
  <c r="AF2018" i="5" s="1"/>
  <c r="AF2019" i="5" s="1"/>
  <c r="AF2020" i="5"/>
  <c r="AF2021" i="5"/>
  <c r="AF2022" i="5"/>
  <c r="AF2023" i="5"/>
  <c r="AF2024" i="5"/>
  <c r="AF2025" i="5" s="1"/>
  <c r="AF2026" i="5"/>
  <c r="AF2027" i="5"/>
  <c r="AF2028" i="5"/>
  <c r="AF2029" i="5"/>
  <c r="AF2030" i="5"/>
  <c r="AF2031" i="5"/>
  <c r="AF2032" i="5" s="1"/>
  <c r="AF2033" i="5" s="1"/>
  <c r="AF2034" i="5"/>
  <c r="AF2035" i="5"/>
  <c r="AF2036" i="5" s="1"/>
  <c r="AF2037" i="5"/>
  <c r="AF2038" i="5" s="1"/>
  <c r="AF2039" i="5"/>
  <c r="AF2040" i="5" s="1"/>
  <c r="AF2041" i="5" s="1"/>
  <c r="AF2042" i="5"/>
  <c r="AF2043" i="5"/>
  <c r="AF2044" i="5"/>
  <c r="AF2045" i="5"/>
  <c r="AF2046" i="5" s="1"/>
  <c r="AF2047" i="5" s="1"/>
  <c r="AF2048" i="5"/>
  <c r="AF2049" i="5"/>
  <c r="AF2050" i="5" s="1"/>
  <c r="AF2051" i="5"/>
  <c r="AF2052" i="5" s="1"/>
  <c r="AF2053" i="5"/>
  <c r="AF2054" i="5"/>
  <c r="AF2055" i="5"/>
  <c r="AF2056" i="5" s="1"/>
  <c r="AF2057" i="5"/>
  <c r="AF2058" i="5" s="1"/>
  <c r="AF2059" i="5" s="1"/>
  <c r="AF2060" i="5"/>
  <c r="AF2061" i="5" s="1"/>
  <c r="AF2062" i="5" s="1"/>
  <c r="AF2063" i="5" s="1"/>
  <c r="AF2064" i="5" s="1"/>
  <c r="AF2065" i="5" s="1"/>
  <c r="AF2066" i="5"/>
  <c r="AF2067" i="5"/>
  <c r="AF2068" i="5" s="1"/>
  <c r="AF2069" i="5" s="1"/>
  <c r="AF2070" i="5"/>
  <c r="AF2071" i="5"/>
  <c r="AF2072" i="5"/>
  <c r="AF2073" i="5" s="1"/>
  <c r="AF2074" i="5"/>
  <c r="AF2075" i="5" s="1"/>
  <c r="AF2076" i="5"/>
  <c r="AF2077" i="5"/>
  <c r="AF2078" i="5" s="1"/>
  <c r="AF2079" i="5"/>
  <c r="AF2080" i="5" s="1"/>
  <c r="AF2081" i="5" s="1"/>
  <c r="AF2082" i="5" s="1"/>
  <c r="AF2083" i="5" s="1"/>
  <c r="AF2084" i="5"/>
  <c r="AF2085" i="5"/>
  <c r="AF2086" i="5" s="1"/>
  <c r="AF2087" i="5" s="1"/>
  <c r="AF2088" i="5"/>
  <c r="AF2089" i="5"/>
  <c r="AF2090" i="5" s="1"/>
  <c r="AF2091" i="5"/>
  <c r="AF2092" i="5"/>
  <c r="AF2093" i="5" s="1"/>
  <c r="AF2094" i="5" s="1"/>
  <c r="AF2095" i="5"/>
  <c r="AF2096" i="5" s="1"/>
  <c r="AF2097" i="5"/>
  <c r="AF2098" i="5" s="1"/>
  <c r="AF2099" i="5" s="1"/>
  <c r="AF2100" i="5"/>
  <c r="AF2101" i="5"/>
  <c r="AF2102" i="5" s="1"/>
  <c r="AF2103" i="5"/>
  <c r="AF2104" i="5" s="1"/>
  <c r="AF2105" i="5" s="1"/>
  <c r="AF2106" i="5"/>
  <c r="AF2107" i="5"/>
  <c r="AF2108" i="5"/>
  <c r="AF2109" i="5" s="1"/>
  <c r="AF2110" i="5" s="1"/>
  <c r="AF2111" i="5" s="1"/>
  <c r="AF2112" i="5"/>
  <c r="AF2113" i="5"/>
  <c r="AF2114" i="5" s="1"/>
  <c r="AF2115" i="5"/>
  <c r="AF2116" i="5" s="1"/>
  <c r="AF2117" i="5"/>
  <c r="AF2118" i="5" s="1"/>
  <c r="AF2119" i="5" s="1"/>
  <c r="AF2120" i="5" s="1"/>
  <c r="AF2121" i="5"/>
  <c r="AF2122" i="5"/>
  <c r="AF2123" i="5"/>
  <c r="AF2124" i="5" s="1"/>
  <c r="AF2125" i="5" s="1"/>
  <c r="AF2126" i="5" s="1"/>
  <c r="AF2127" i="5"/>
  <c r="AF2128" i="5" s="1"/>
  <c r="AF2129" i="5" s="1"/>
  <c r="AF2130" i="5" s="1"/>
  <c r="AF2131" i="5"/>
  <c r="AF2132" i="5" s="1"/>
  <c r="AF2133" i="5"/>
  <c r="AF2134" i="5" s="1"/>
  <c r="AF2135" i="5" s="1"/>
  <c r="AF2136" i="5" s="1"/>
  <c r="AF2137" i="5"/>
  <c r="AF2138" i="5" s="1"/>
  <c r="AF2139" i="5"/>
  <c r="AF2140" i="5" s="1"/>
  <c r="AF2141" i="5" s="1"/>
  <c r="AF2142" i="5" s="1"/>
  <c r="AF2143" i="5"/>
  <c r="AF2144" i="5" s="1"/>
  <c r="AF2145" i="5" s="1"/>
  <c r="AF2146" i="5" s="1"/>
  <c r="AF2147" i="5"/>
  <c r="AF2148" i="5" s="1"/>
  <c r="AF2149" i="5" s="1"/>
  <c r="AF2150" i="5"/>
  <c r="AF2151" i="5"/>
  <c r="AF2152" i="5" s="1"/>
  <c r="AF2153" i="5"/>
  <c r="AF2154" i="5"/>
  <c r="AF2155" i="5"/>
  <c r="AF2156" i="5" s="1"/>
  <c r="AF2157" i="5"/>
  <c r="AF2158" i="5" s="1"/>
  <c r="AF2159" i="5" s="1"/>
  <c r="AF2160" i="5"/>
  <c r="AF2161" i="5"/>
  <c r="AF2162" i="5"/>
  <c r="AF2163" i="5"/>
  <c r="AF2164" i="5" s="1"/>
  <c r="AF2165" i="5" s="1"/>
  <c r="AF2166" i="5" s="1"/>
  <c r="AF2167" i="5" s="1"/>
  <c r="AF2168" i="5"/>
  <c r="AF2169" i="5"/>
  <c r="AF2170" i="5" s="1"/>
  <c r="AF2171" i="5"/>
  <c r="AF2172" i="5" s="1"/>
  <c r="AF2173" i="5"/>
  <c r="AF2174" i="5" s="1"/>
  <c r="AF2175" i="5" s="1"/>
  <c r="AF2176" i="5" s="1"/>
  <c r="AF2177" i="5"/>
  <c r="AF2178" i="5" s="1"/>
  <c r="AF2179" i="5" s="1"/>
  <c r="AF2180" i="5"/>
  <c r="AF2181" i="5"/>
  <c r="AF2182" i="5" s="1"/>
  <c r="AF2183" i="5" s="1"/>
  <c r="AF2184" i="5" s="1"/>
  <c r="AF2185" i="5"/>
  <c r="AF2186" i="5" s="1"/>
  <c r="AF2187" i="5" s="1"/>
  <c r="AF2188" i="5"/>
  <c r="AF2189" i="5" s="1"/>
  <c r="AF2190" i="5" s="1"/>
  <c r="AF2191" i="5" s="1"/>
  <c r="AF2192" i="5"/>
  <c r="AF2193" i="5"/>
  <c r="AF2194" i="5" s="1"/>
  <c r="AF2195" i="5"/>
  <c r="AF2196" i="5" s="1"/>
  <c r="AF2197" i="5" s="1"/>
  <c r="AF2198" i="5"/>
  <c r="AF2199" i="5"/>
  <c r="AF2200" i="5" s="1"/>
  <c r="AF2201" i="5"/>
  <c r="AF2202" i="5" s="1"/>
  <c r="AF2203" i="5" s="1"/>
  <c r="AF2204" i="5" s="1"/>
  <c r="AF2205" i="5"/>
  <c r="AF2206" i="5"/>
  <c r="AF2207" i="5" s="1"/>
  <c r="AF2208" i="5" s="1"/>
  <c r="AF2209" i="5"/>
  <c r="AF2210" i="5" s="1"/>
  <c r="AF2211" i="5"/>
  <c r="AF2212" i="5" s="1"/>
  <c r="AF2213" i="5"/>
  <c r="AF2214" i="5" s="1"/>
  <c r="AF2215" i="5" s="1"/>
  <c r="AF2216" i="5"/>
  <c r="AF2217" i="5"/>
  <c r="AF2218" i="5" s="1"/>
  <c r="AF2219" i="5" s="1"/>
  <c r="AF2220" i="5" s="1"/>
  <c r="AF2221" i="5"/>
  <c r="AF2222" i="5" s="1"/>
  <c r="AF2223" i="5"/>
  <c r="AF2224" i="5"/>
  <c r="AF2225" i="5" s="1"/>
  <c r="AF2226" i="5" s="1"/>
  <c r="AF2227" i="5" s="1"/>
  <c r="AF2228" i="5" s="1"/>
  <c r="AF2229" i="5"/>
  <c r="AF2230" i="5" s="1"/>
  <c r="AF2231" i="5" s="1"/>
  <c r="AF2232" i="5" s="1"/>
  <c r="AF2233" i="5"/>
  <c r="AF2234" i="5" s="1"/>
  <c r="AF2235" i="5" s="1"/>
  <c r="AF2236" i="5" s="1"/>
  <c r="AF2237" i="5" s="1"/>
  <c r="AF2238" i="5" s="1"/>
  <c r="AF2239" i="5" s="1"/>
  <c r="AF2240" i="5"/>
  <c r="AF2241" i="5"/>
  <c r="AF2242" i="5" s="1"/>
  <c r="AF2243" i="5"/>
  <c r="AF2244" i="5" s="1"/>
  <c r="AF2245" i="5" s="1"/>
  <c r="AF2246" i="5"/>
  <c r="AF2247" i="5"/>
  <c r="AF2248" i="5" s="1"/>
  <c r="AF2249" i="5"/>
  <c r="AF2250" i="5" s="1"/>
  <c r="AF2251" i="5" s="1"/>
  <c r="AF2252" i="5" s="1"/>
  <c r="AF2253" i="5" s="1"/>
  <c r="AF2254" i="5" s="1"/>
  <c r="AF2255" i="5"/>
  <c r="AF2256" i="5" s="1"/>
  <c r="AF2257" i="5"/>
  <c r="AF2258" i="5"/>
  <c r="AF2259" i="5"/>
  <c r="AF2260" i="5" s="1"/>
  <c r="AF2261" i="5"/>
  <c r="AF2262" i="5" s="1"/>
  <c r="AF2263" i="5"/>
  <c r="AF2264" i="5"/>
  <c r="AF2265" i="5"/>
  <c r="AF2266" i="5" s="1"/>
  <c r="AF2267" i="5"/>
  <c r="AF2268" i="5"/>
  <c r="AF2269" i="5"/>
  <c r="AF2270" i="5" s="1"/>
  <c r="AF2271" i="5" s="1"/>
  <c r="AF2272" i="5"/>
  <c r="AF2273" i="5"/>
  <c r="AF2274" i="5" s="1"/>
  <c r="AF2275" i="5" s="1"/>
  <c r="AF2276" i="5" s="1"/>
  <c r="AF2277" i="5"/>
  <c r="AF2278" i="5"/>
  <c r="AF2279" i="5"/>
  <c r="AF2280" i="5" s="1"/>
  <c r="AF2281" i="5"/>
  <c r="AF2282" i="5" s="1"/>
  <c r="AF2283" i="5"/>
  <c r="AF2284" i="5"/>
  <c r="AF2285" i="5"/>
  <c r="AF2286" i="5" s="1"/>
  <c r="AF2287" i="5"/>
  <c r="AF2288" i="5" s="1"/>
  <c r="AF2289" i="5" s="1"/>
  <c r="AF2290" i="5" s="1"/>
  <c r="AF2291" i="5" s="1"/>
  <c r="AF2292" i="5"/>
  <c r="AF2293" i="5"/>
  <c r="AF2294" i="5" s="1"/>
  <c r="AF2295" i="5"/>
  <c r="AF2296" i="5" s="1"/>
  <c r="AF2297" i="5"/>
  <c r="AF2298" i="5" s="1"/>
  <c r="AF2299" i="5"/>
  <c r="AF2300" i="5"/>
  <c r="AF2301" i="5"/>
  <c r="AF2302" i="5"/>
  <c r="AF2303" i="5"/>
  <c r="AF2304" i="5"/>
  <c r="AF2305" i="5"/>
  <c r="AF2306" i="5"/>
  <c r="AF2307" i="5"/>
  <c r="AF2308" i="5" s="1"/>
  <c r="AF2309" i="5" s="1"/>
  <c r="AF2310" i="5"/>
  <c r="AF2311" i="5"/>
  <c r="AF2312" i="5"/>
  <c r="AF2313" i="5"/>
  <c r="AF2314" i="5"/>
  <c r="AF2315" i="5"/>
  <c r="AF2316" i="5"/>
  <c r="AF2317" i="5"/>
  <c r="AF2318" i="5"/>
  <c r="AF2319" i="5"/>
  <c r="AF2320" i="5" s="1"/>
  <c r="AF2321" i="5" s="1"/>
  <c r="AF2322" i="5"/>
  <c r="AF2323" i="5"/>
  <c r="AF2324" i="5"/>
  <c r="AF2325" i="5"/>
  <c r="AF2326" i="5"/>
  <c r="AF2327" i="5" s="1"/>
  <c r="AF2328" i="5"/>
  <c r="AF2329" i="5"/>
  <c r="AF2330" i="5"/>
  <c r="AF2331" i="5"/>
  <c r="AF2332" i="5"/>
  <c r="AF2333" i="5"/>
  <c r="AF2334" i="5" s="1"/>
  <c r="AF2335" i="5" s="1"/>
  <c r="AF2336" i="5" s="1"/>
  <c r="AF2337" i="5"/>
  <c r="AF2338" i="5"/>
  <c r="AF2339" i="5"/>
  <c r="AF2340" i="5" s="1"/>
  <c r="AF2341" i="5"/>
  <c r="AF2342" i="5"/>
  <c r="AF2343" i="5"/>
  <c r="AF2344" i="5" s="1"/>
  <c r="AF2345" i="5"/>
  <c r="AF2346" i="5"/>
  <c r="AF2347" i="5"/>
  <c r="AF2348" i="5" s="1"/>
  <c r="AF2349" i="5" s="1"/>
  <c r="AF2350" i="5"/>
  <c r="AF2351" i="5"/>
  <c r="AF2352" i="5" s="1"/>
  <c r="AF2353" i="5"/>
  <c r="AF2354" i="5"/>
  <c r="AF2355" i="5"/>
  <c r="AF2356" i="5" s="1"/>
  <c r="AF2357" i="5" s="1"/>
  <c r="AF2358" i="5"/>
  <c r="AF2359" i="5"/>
  <c r="AF2360" i="5"/>
  <c r="AF2361" i="5" s="1"/>
  <c r="AF2362" i="5"/>
  <c r="AF2363" i="5"/>
  <c r="AF2364" i="5"/>
  <c r="AF2365" i="5"/>
  <c r="AF2366" i="5"/>
  <c r="AF2367" i="5"/>
  <c r="AF2368" i="5"/>
  <c r="AF2369" i="5"/>
  <c r="AF2370" i="5"/>
  <c r="AF2371" i="5"/>
  <c r="AF2372" i="5"/>
  <c r="AF2373" i="5" s="1"/>
  <c r="AF2374" i="5" s="1"/>
  <c r="AF2375" i="5"/>
  <c r="AF2376" i="5" s="1"/>
  <c r="AF2377" i="5"/>
  <c r="AF2378" i="5"/>
  <c r="AF2379" i="5"/>
  <c r="AF2380" i="5"/>
  <c r="AF2381" i="5" s="1"/>
  <c r="AF2382" i="5"/>
  <c r="AF2383" i="5"/>
  <c r="AF2384" i="5"/>
  <c r="AF2385" i="5"/>
  <c r="AF2386" i="5"/>
  <c r="AF2387" i="5"/>
  <c r="AF2388" i="5" s="1"/>
  <c r="AF2389" i="5"/>
  <c r="AF2390" i="5"/>
  <c r="AF2391" i="5"/>
  <c r="AF2392" i="5"/>
  <c r="AF2393" i="5"/>
  <c r="AF2394" i="5" s="1"/>
  <c r="AF2395" i="5" s="1"/>
  <c r="AF2396" i="5"/>
  <c r="AF2397" i="5"/>
  <c r="AF2398" i="5"/>
  <c r="AF2399" i="5"/>
  <c r="AF2400" i="5"/>
  <c r="AF2401" i="5"/>
  <c r="AF2402" i="5"/>
  <c r="AF2403" i="5"/>
  <c r="AF2404" i="5"/>
  <c r="AF2405" i="5"/>
  <c r="AF2406" i="5"/>
  <c r="AF2407" i="5"/>
  <c r="AF2408" i="5"/>
  <c r="AF2409" i="5"/>
  <c r="AF2410" i="5"/>
  <c r="AF2411" i="5"/>
  <c r="AF2412" i="5"/>
  <c r="AF2413" i="5"/>
  <c r="AF2414" i="5"/>
  <c r="AF2415" i="5"/>
  <c r="AF2416" i="5"/>
  <c r="AF2417" i="5" s="1"/>
  <c r="AF2418" i="5"/>
  <c r="AF2419" i="5"/>
  <c r="AF2420" i="5"/>
  <c r="AF2421" i="5"/>
  <c r="AF2422" i="5"/>
  <c r="AF2423" i="5"/>
  <c r="AF2424" i="5" s="1"/>
  <c r="AF2425" i="5"/>
  <c r="AF2426" i="5"/>
  <c r="AF2427" i="5"/>
  <c r="AF2428" i="5"/>
  <c r="AF2429" i="5" s="1"/>
  <c r="AF2430" i="5"/>
  <c r="AF2431" i="5"/>
  <c r="AF2432" i="5"/>
  <c r="AF2433" i="5"/>
  <c r="AF2434" i="5"/>
  <c r="AF2435" i="5"/>
  <c r="AF2436" i="5" s="1"/>
  <c r="AF2437" i="5" s="1"/>
  <c r="AF2438" i="5"/>
  <c r="AF2439" i="5"/>
  <c r="AF2440" i="5"/>
  <c r="AF2441" i="5"/>
  <c r="AF2442" i="5" s="1"/>
  <c r="AF2443" i="5"/>
  <c r="AF2444" i="5"/>
  <c r="AF2445" i="5"/>
  <c r="AF2446" i="5"/>
  <c r="AF2447" i="5"/>
  <c r="AF2448" i="5"/>
  <c r="AF2449" i="5"/>
  <c r="AF2450" i="5"/>
  <c r="AF2451" i="5"/>
  <c r="AF2452" i="5"/>
  <c r="AF2453" i="5"/>
  <c r="AF2454" i="5" s="1"/>
  <c r="AF2455" i="5" s="1"/>
  <c r="AF2456" i="5"/>
  <c r="AF2457" i="5"/>
  <c r="AF2458" i="5"/>
  <c r="AF2459" i="5"/>
  <c r="AF2460" i="5" s="1"/>
  <c r="AF2461" i="5"/>
  <c r="AF2462" i="5"/>
  <c r="AF2463" i="5"/>
  <c r="AF2464" i="5"/>
  <c r="AF2465" i="5"/>
  <c r="AF2466" i="5" s="1"/>
  <c r="AF2467" i="5"/>
  <c r="AF2468" i="5"/>
  <c r="AF2469" i="5"/>
  <c r="AF2470" i="5"/>
  <c r="AF2471" i="5"/>
  <c r="AF2472" i="5" s="1"/>
  <c r="AF2473" i="5" s="1"/>
  <c r="AF2474" i="5" s="1"/>
  <c r="AF2475" i="5" s="1"/>
  <c r="AF2476" i="5" s="1"/>
  <c r="AF2477" i="5"/>
  <c r="AF2478" i="5"/>
  <c r="AF2479" i="5"/>
  <c r="AF2480" i="5"/>
  <c r="AF2481" i="5"/>
  <c r="AF2482" i="5"/>
  <c r="AF2483" i="5"/>
  <c r="AF2484" i="5" s="1"/>
  <c r="AF2485" i="5"/>
  <c r="AF2486" i="5"/>
  <c r="AF2487" i="5"/>
  <c r="AF2488" i="5"/>
  <c r="AF2489" i="5"/>
  <c r="AF2490" i="5"/>
  <c r="AF2491" i="5"/>
  <c r="AF2492" i="5"/>
  <c r="AF2493" i="5"/>
  <c r="AF2494" i="5"/>
  <c r="AF2495" i="5"/>
  <c r="AF2496" i="5" s="1"/>
  <c r="AF2497" i="5"/>
  <c r="AF2498" i="5"/>
  <c r="AF2499" i="5"/>
  <c r="AF2500" i="5"/>
  <c r="AF2501" i="5"/>
  <c r="AF2502" i="5"/>
  <c r="AF2503" i="5"/>
  <c r="AF2504" i="5"/>
  <c r="AF2505" i="5"/>
  <c r="AF2506" i="5"/>
  <c r="AF2507" i="5"/>
  <c r="AF2508" i="5"/>
  <c r="AF2509" i="5"/>
  <c r="AF2510" i="5"/>
  <c r="AF2511" i="5"/>
  <c r="AF2512" i="5"/>
  <c r="AF2513" i="5" s="1"/>
  <c r="AF2514" i="5"/>
  <c r="AF2515" i="5"/>
  <c r="AF2516" i="5"/>
  <c r="AF2517" i="5"/>
  <c r="AF2518" i="5"/>
  <c r="AF2519" i="5"/>
  <c r="AF2520" i="5"/>
  <c r="AF2521" i="5"/>
  <c r="AF2522" i="5"/>
  <c r="AF2523" i="5"/>
  <c r="AF2524" i="5"/>
  <c r="AF2525" i="5"/>
  <c r="AF2526" i="5"/>
  <c r="AF2527" i="5"/>
  <c r="AF2528" i="5"/>
  <c r="AF2529" i="5"/>
  <c r="AF2530" i="5"/>
  <c r="AF2531" i="5"/>
  <c r="AF2532" i="5" s="1"/>
  <c r="AF2533" i="5" s="1"/>
  <c r="AF2534" i="5" s="1"/>
  <c r="AF2535" i="5" s="1"/>
  <c r="AF2536" i="5" s="1"/>
  <c r="AF2537" i="5"/>
  <c r="AF2538" i="5" s="1"/>
  <c r="AF2539" i="5" s="1"/>
  <c r="AF2540" i="5"/>
  <c r="AF2541" i="5"/>
  <c r="AF2542" i="5"/>
  <c r="AF2543" i="5"/>
  <c r="AF2544" i="5" s="1"/>
  <c r="AF2545" i="5" s="1"/>
  <c r="AF2546" i="5"/>
  <c r="AF2547" i="5"/>
  <c r="AF2548" i="5"/>
  <c r="AF2549" i="5" s="1"/>
  <c r="AF2550" i="5"/>
  <c r="AF2551" i="5"/>
  <c r="AF2552" i="5"/>
  <c r="AF2553" i="5"/>
  <c r="AF2554" i="5"/>
  <c r="AF2555" i="5"/>
  <c r="AF2556" i="5"/>
  <c r="AF2557" i="5"/>
  <c r="AF2558" i="5"/>
  <c r="AF2559" i="5"/>
  <c r="AF2560" i="5"/>
  <c r="AF2561" i="5"/>
  <c r="AF2562" i="5"/>
  <c r="AF2563" i="5"/>
  <c r="AF2564" i="5"/>
  <c r="AF2565" i="5"/>
  <c r="AF2566" i="5"/>
  <c r="AF2567" i="5"/>
  <c r="AF2568" i="5" s="1"/>
  <c r="AF2569" i="5"/>
  <c r="AF2570" i="5"/>
  <c r="AF2571" i="5"/>
  <c r="AF2572" i="5"/>
  <c r="AF2573" i="5"/>
  <c r="AF2574" i="5"/>
  <c r="AF2575" i="5"/>
  <c r="AF2576" i="5"/>
  <c r="AF2577" i="5"/>
  <c r="AF2578" i="5"/>
  <c r="AF2579" i="5"/>
  <c r="AF2580" i="5" s="1"/>
  <c r="AF2581" i="5"/>
  <c r="AF2582" i="5"/>
  <c r="AF2583" i="5"/>
  <c r="AF2584" i="5"/>
  <c r="AF2585" i="5"/>
  <c r="AF2586" i="5" s="1"/>
  <c r="AF2587" i="5" s="1"/>
  <c r="AF2588" i="5" s="1"/>
  <c r="AF2589" i="5"/>
  <c r="AF2590" i="5"/>
  <c r="AF2591" i="5"/>
  <c r="AF2592" i="5" s="1"/>
  <c r="AF2593" i="5"/>
  <c r="AF2594" i="5"/>
  <c r="AF2595" i="5"/>
  <c r="AF2596" i="5"/>
  <c r="AF2597" i="5" s="1"/>
  <c r="AF2598" i="5" s="1"/>
  <c r="AF2599" i="5" s="1"/>
  <c r="AF2600" i="5"/>
  <c r="AF2601" i="5"/>
  <c r="AF2602" i="5"/>
  <c r="AF2603" i="5"/>
  <c r="AF2604" i="5" s="1"/>
  <c r="AF2605" i="5"/>
  <c r="AF2606" i="5"/>
  <c r="AF2607" i="5"/>
  <c r="AF2608" i="5"/>
  <c r="AF2609" i="5"/>
  <c r="AF2610" i="5" s="1"/>
  <c r="AF2611" i="5"/>
  <c r="AF2612" i="5"/>
  <c r="AF2613" i="5"/>
  <c r="AF2614" i="5"/>
  <c r="AF2615" i="5"/>
  <c r="AF2616" i="5" s="1"/>
  <c r="AF2617" i="5"/>
  <c r="AF2618" i="5"/>
  <c r="AF2619" i="5"/>
  <c r="AF2620" i="5"/>
  <c r="AF2621" i="5"/>
  <c r="AF2622" i="5"/>
  <c r="AF2623" i="5"/>
  <c r="AF2624" i="5"/>
  <c r="AF2625" i="5"/>
  <c r="AF2626" i="5"/>
  <c r="AF2627" i="5"/>
  <c r="AF2628" i="5" s="1"/>
  <c r="AF2629" i="5" s="1"/>
  <c r="AF2630" i="5" s="1"/>
  <c r="AF2631" i="5"/>
  <c r="AF2632" i="5"/>
  <c r="AF2633" i="5"/>
  <c r="AF2634" i="5" s="1"/>
  <c r="AF2635" i="5"/>
  <c r="AF2636" i="5"/>
  <c r="AF2637" i="5"/>
  <c r="AF2638" i="5"/>
  <c r="AF2639" i="5"/>
  <c r="AF2640" i="5"/>
  <c r="AF2641" i="5"/>
  <c r="AF2642" i="5"/>
  <c r="AF2643" i="5"/>
  <c r="AF2644" i="5"/>
  <c r="AF2645" i="5"/>
  <c r="AF2646" i="5" s="1"/>
  <c r="AF2647" i="5"/>
  <c r="AF2648" i="5"/>
  <c r="AF2649" i="5"/>
  <c r="AF2650" i="5"/>
  <c r="AF2651" i="5"/>
  <c r="AF2652" i="5"/>
  <c r="AF2653" i="5"/>
  <c r="AF2654" i="5"/>
  <c r="AF2655" i="5"/>
  <c r="AF2656" i="5"/>
  <c r="AF2657" i="5"/>
  <c r="AF2658" i="5"/>
  <c r="AF2659" i="5"/>
  <c r="AF2660" i="5"/>
  <c r="AF2661" i="5"/>
  <c r="AF2662" i="5"/>
  <c r="AF2663" i="5"/>
  <c r="AF2664" i="5"/>
  <c r="AF2665" i="5"/>
  <c r="AF2666" i="5"/>
  <c r="AF2667" i="5"/>
  <c r="AF2668" i="5"/>
  <c r="AF2669" i="5"/>
  <c r="AF2670" i="5"/>
  <c r="AF2671" i="5"/>
  <c r="AF2672" i="5"/>
  <c r="AF2673" i="5"/>
  <c r="AF2674" i="5"/>
  <c r="AF2675" i="5"/>
  <c r="AF2676" i="5"/>
  <c r="AF2677" i="5"/>
  <c r="AF2678" i="5"/>
  <c r="AF2679" i="5"/>
  <c r="AF2680" i="5"/>
  <c r="AF2681" i="5"/>
  <c r="AF2682" i="5" s="1"/>
  <c r="AF2683" i="5" s="1"/>
  <c r="AF2684" i="5" s="1"/>
  <c r="AF2685" i="5"/>
  <c r="AF2686" i="5"/>
  <c r="AF2687" i="5"/>
  <c r="AF2688" i="5"/>
  <c r="AF2689" i="5"/>
  <c r="AF2690" i="5"/>
  <c r="AF2691" i="5"/>
  <c r="AF2692" i="5"/>
  <c r="AF2693" i="5"/>
  <c r="AF2694" i="5"/>
  <c r="AF2695" i="5"/>
  <c r="AF2696" i="5"/>
  <c r="AF2697" i="5"/>
  <c r="AF2698" i="5"/>
  <c r="AF2699" i="5"/>
  <c r="AF2700" i="5"/>
  <c r="AF2701" i="5"/>
  <c r="AF2702" i="5"/>
  <c r="AF2703" i="5"/>
  <c r="AF2704" i="5"/>
  <c r="AF2705" i="5"/>
  <c r="AF2706" i="5"/>
  <c r="AF2707" i="5"/>
  <c r="AF2708" i="5"/>
  <c r="AF2709" i="5"/>
  <c r="AF2710" i="5"/>
  <c r="AF2711" i="5"/>
  <c r="AF2712" i="5" s="1"/>
  <c r="AF2713" i="5"/>
  <c r="AF2714" i="5"/>
  <c r="AF2715" i="5"/>
  <c r="AF2716" i="5"/>
  <c r="AF2717" i="5" s="1"/>
  <c r="AF2718" i="5" s="1"/>
  <c r="AF2719" i="5"/>
  <c r="AF2720" i="5"/>
  <c r="AF2721" i="5"/>
  <c r="AF2722" i="5"/>
  <c r="AF2723" i="5"/>
  <c r="AF2724" i="5" s="1"/>
  <c r="AF2725" i="5"/>
  <c r="AF2726" i="5"/>
  <c r="AF2727" i="5"/>
  <c r="AF2728" i="5"/>
  <c r="AF2729" i="5"/>
  <c r="AF2730" i="5"/>
  <c r="AF2731" i="5"/>
  <c r="AF2732" i="5"/>
  <c r="AF2733" i="5"/>
  <c r="AF2734" i="5"/>
  <c r="AF2735" i="5"/>
  <c r="AF2736" i="5"/>
  <c r="AF2737" i="5"/>
  <c r="AF2738" i="5"/>
  <c r="AF2739" i="5"/>
  <c r="AF2740" i="5"/>
  <c r="AF2741" i="5"/>
  <c r="AF2742" i="5"/>
  <c r="AF2743" i="5"/>
  <c r="AF2744" i="5"/>
  <c r="AF2745" i="5"/>
  <c r="AF2746" i="5" s="1"/>
  <c r="AF2747" i="5"/>
  <c r="AF2748" i="5" s="1"/>
  <c r="AF2749" i="5"/>
  <c r="AF2750" i="5"/>
  <c r="AF2751" i="5"/>
  <c r="AF2752" i="5"/>
  <c r="AF2753" i="5" s="1"/>
  <c r="AF2754" i="5"/>
  <c r="AF2755" i="5"/>
  <c r="AF2756" i="5"/>
  <c r="AF2757" i="5"/>
  <c r="AF2758" i="5" s="1"/>
  <c r="AF2759" i="5" s="1"/>
  <c r="AF2760" i="5"/>
  <c r="AF2761" i="5"/>
  <c r="AF2762" i="5"/>
  <c r="AF2763" i="5"/>
  <c r="AF2764" i="5"/>
  <c r="AF2765" i="5" s="1"/>
  <c r="AF2766" i="5"/>
  <c r="AF2767" i="5"/>
  <c r="AF2768" i="5"/>
  <c r="AF2769" i="5"/>
  <c r="AF2770" i="5"/>
  <c r="AF2771" i="5"/>
  <c r="AF2772" i="5" s="1"/>
  <c r="AF2773" i="5"/>
  <c r="AF2774" i="5"/>
  <c r="AF2775" i="5"/>
  <c r="AF2776" i="5"/>
  <c r="AF2777" i="5"/>
  <c r="AF2778" i="5"/>
  <c r="AF2779" i="5"/>
  <c r="AF2780" i="5"/>
  <c r="AF2781" i="5"/>
  <c r="AF2782" i="5" s="1"/>
  <c r="AF2783" i="5"/>
  <c r="AF2784" i="5"/>
  <c r="AF2785" i="5"/>
  <c r="AF2786" i="5"/>
  <c r="AF2787" i="5"/>
  <c r="AF2788" i="5"/>
  <c r="AF2789" i="5"/>
  <c r="AF2790" i="5"/>
  <c r="AF2791" i="5"/>
  <c r="AF2792" i="5"/>
  <c r="AF2793" i="5"/>
  <c r="AF2794" i="5"/>
  <c r="AF2795" i="5"/>
  <c r="AF2796" i="5" s="1"/>
  <c r="AF2797" i="5"/>
  <c r="AF2798" i="5"/>
  <c r="AF2799" i="5"/>
  <c r="AF2800" i="5"/>
  <c r="AF2801" i="5" s="1"/>
  <c r="AF2802" i="5"/>
  <c r="AF2803" i="5"/>
  <c r="AF2804" i="5"/>
  <c r="AF2805" i="5"/>
  <c r="AF2806" i="5"/>
  <c r="AF2807" i="5"/>
  <c r="AF2808" i="5"/>
  <c r="AF2809" i="5"/>
  <c r="AF2810" i="5"/>
  <c r="AF2811" i="5"/>
  <c r="AF2812" i="5"/>
  <c r="AF2813" i="5" s="1"/>
  <c r="AF2814" i="5"/>
  <c r="AF2815" i="5"/>
  <c r="AF2816" i="5"/>
  <c r="AF2817" i="5"/>
  <c r="AF2818" i="5"/>
  <c r="AF2819" i="5"/>
  <c r="AF2820" i="5"/>
  <c r="AF2821" i="5"/>
  <c r="AF2822" i="5" s="1"/>
  <c r="AF2823" i="5"/>
  <c r="AF2824" i="5"/>
  <c r="AF2825" i="5"/>
  <c r="AF2826" i="5"/>
  <c r="AF2827" i="5"/>
  <c r="AF2828" i="5"/>
  <c r="AF2829" i="5"/>
  <c r="AF2830" i="5"/>
  <c r="AF2831" i="5"/>
  <c r="AF2832" i="5"/>
  <c r="AF2833" i="5" s="1"/>
  <c r="AF2834" i="5"/>
  <c r="AF2835" i="5"/>
  <c r="AF2836" i="5"/>
  <c r="AF2837" i="5" s="1"/>
  <c r="AF2838" i="5"/>
  <c r="AF2839" i="5"/>
  <c r="AF2840" i="5"/>
  <c r="AF2841" i="5"/>
  <c r="AF2842" i="5"/>
  <c r="AF2843" i="5"/>
  <c r="AF2844" i="5"/>
  <c r="AF2845" i="5"/>
  <c r="AF2846" i="5" s="1"/>
  <c r="AF2847" i="5"/>
  <c r="AF2848" i="5"/>
  <c r="AF2849" i="5"/>
  <c r="AF2850" i="5" s="1"/>
  <c r="AF2851" i="5" s="1"/>
  <c r="AF2852" i="5"/>
  <c r="AF2853" i="5"/>
  <c r="AF2854" i="5"/>
  <c r="AF2855" i="5"/>
  <c r="AF2856" i="5"/>
  <c r="AF2857" i="5" s="1"/>
  <c r="AF2858" i="5"/>
  <c r="AF2859" i="5"/>
  <c r="AF2860" i="5"/>
  <c r="AF2861" i="5"/>
  <c r="AF2862" i="5" s="1"/>
  <c r="AF2863" i="5"/>
  <c r="AF2864" i="5"/>
  <c r="AF2865" i="5"/>
  <c r="AF2866" i="5"/>
  <c r="AF2867" i="5"/>
  <c r="AF2868" i="5" s="1"/>
  <c r="AF2869" i="5"/>
  <c r="AF2870" i="5"/>
  <c r="AF2871" i="5"/>
  <c r="AF2872" i="5"/>
  <c r="AF2873" i="5"/>
  <c r="AF2874" i="5"/>
  <c r="AF2875" i="5"/>
  <c r="AF2876" i="5"/>
  <c r="AF2877" i="5"/>
  <c r="AF2878" i="5"/>
  <c r="AF2879" i="5"/>
  <c r="AF2880" i="5"/>
  <c r="AF2881" i="5"/>
  <c r="AF2882" i="5"/>
  <c r="AF2883" i="5"/>
  <c r="AF2884" i="5"/>
  <c r="AF2885" i="5"/>
  <c r="AF2886" i="5" s="1"/>
  <c r="AF2887" i="5"/>
  <c r="AF2888" i="5"/>
  <c r="AF2889" i="5"/>
  <c r="AF2890" i="5"/>
  <c r="AF2891" i="5"/>
  <c r="AF2892" i="5"/>
  <c r="AF2893" i="5"/>
  <c r="AF2894" i="5"/>
  <c r="AF2895" i="5"/>
  <c r="AF2896" i="5"/>
  <c r="AF2897" i="5"/>
  <c r="AF2898" i="5" s="1"/>
  <c r="AF2899" i="5"/>
  <c r="AF2900" i="5"/>
  <c r="AF2901" i="5"/>
  <c r="AF2902" i="5"/>
  <c r="AF2903" i="5"/>
  <c r="AF2904" i="5"/>
  <c r="AF2905" i="5"/>
  <c r="AF2906" i="5"/>
  <c r="AF2907" i="5"/>
  <c r="AF2908" i="5"/>
  <c r="AF2909" i="5"/>
  <c r="AF2910" i="5"/>
  <c r="AF2911" i="5"/>
  <c r="AF2912" i="5"/>
  <c r="AF2913" i="5"/>
  <c r="AF2914" i="5"/>
  <c r="AF2915" i="5"/>
  <c r="AF2916" i="5" s="1"/>
  <c r="AF2917" i="5" s="1"/>
  <c r="AF2918" i="5"/>
  <c r="AF2919" i="5"/>
  <c r="AF2920" i="5"/>
  <c r="AF2921" i="5"/>
  <c r="AF2922" i="5" s="1"/>
  <c r="AF2923" i="5"/>
  <c r="AF2924" i="5"/>
  <c r="AF2925" i="5"/>
  <c r="AF2926" i="5"/>
  <c r="AF2927" i="5"/>
  <c r="AF2928" i="5"/>
  <c r="AF2929" i="5"/>
  <c r="AF2930" i="5"/>
  <c r="AF2931" i="5"/>
  <c r="AF2932" i="5"/>
  <c r="AF2933" i="5"/>
  <c r="AF2934" i="5"/>
  <c r="AF2935" i="5"/>
  <c r="AF2936" i="5"/>
  <c r="AF2937" i="5"/>
  <c r="AF2938" i="5"/>
  <c r="AF2939" i="5"/>
  <c r="AF2940" i="5"/>
  <c r="AF2941" i="5"/>
  <c r="AF2942" i="5"/>
  <c r="AF2943" i="5"/>
  <c r="AF2944" i="5"/>
  <c r="AF2945" i="5"/>
  <c r="AF2946" i="5"/>
  <c r="AF2947" i="5"/>
  <c r="AF2948" i="5"/>
  <c r="AF2949" i="5"/>
  <c r="AF2950" i="5"/>
  <c r="AF2951" i="5"/>
  <c r="AF2952" i="5"/>
  <c r="AF2953" i="5"/>
  <c r="AF2954" i="5"/>
  <c r="AF2955" i="5"/>
  <c r="AF2956" i="5"/>
  <c r="AF2957" i="5"/>
  <c r="AF2958" i="5"/>
  <c r="AF2959" i="5"/>
  <c r="AF2960" i="5"/>
  <c r="AF2961" i="5"/>
  <c r="AF2962" i="5"/>
  <c r="AF2963" i="5"/>
  <c r="AF2964" i="5"/>
  <c r="AF2965" i="5"/>
  <c r="AF2966" i="5"/>
  <c r="AF2967" i="5"/>
  <c r="AF2968" i="5"/>
  <c r="AF2969" i="5"/>
  <c r="AF2970" i="5"/>
  <c r="AF2971" i="5"/>
  <c r="AF2972" i="5"/>
  <c r="AF2973" i="5"/>
  <c r="AF2974" i="5"/>
  <c r="AF2975" i="5"/>
  <c r="AF2976" i="5"/>
  <c r="AF2977" i="5"/>
  <c r="AF2978" i="5"/>
  <c r="AF2979" i="5"/>
  <c r="AF2980" i="5"/>
  <c r="AF2981" i="5"/>
  <c r="AF2982" i="5"/>
  <c r="AF2983" i="5"/>
  <c r="AF2984" i="5"/>
  <c r="AF2985" i="5"/>
  <c r="AF2986" i="5"/>
  <c r="AF2987" i="5"/>
  <c r="AF2988" i="5"/>
  <c r="AF2989" i="5"/>
  <c r="AF2990" i="5"/>
  <c r="AF2991" i="5"/>
  <c r="AF2992" i="5"/>
  <c r="AF2993" i="5"/>
  <c r="AF2994" i="5"/>
  <c r="AF2995" i="5"/>
  <c r="AF2996" i="5"/>
  <c r="AF2997" i="5"/>
  <c r="AF2998" i="5"/>
  <c r="AF2999" i="5"/>
  <c r="AF3000" i="5"/>
  <c r="AF3001" i="5"/>
  <c r="AF3002" i="5"/>
  <c r="AF3003" i="5"/>
  <c r="AF3004" i="5"/>
  <c r="AF3005" i="5"/>
  <c r="AF3006" i="5"/>
  <c r="AF3007" i="5"/>
  <c r="AF3008" i="5"/>
  <c r="AF3009" i="5"/>
  <c r="AF3010" i="5"/>
  <c r="AF3011" i="5"/>
  <c r="AF3012" i="5"/>
  <c r="AF3013" i="5"/>
  <c r="AF3" i="5"/>
  <c r="AE2" i="5" a="1"/>
  <c r="AE2" i="5" s="1"/>
  <c r="AC2763" i="5" a="1"/>
  <c r="AC2763" i="5" s="1"/>
  <c r="AC2512" i="5" a="1"/>
  <c r="AC2512" i="5" s="1"/>
  <c r="AC2261" i="5" a="1"/>
  <c r="AC2261" i="5" s="1"/>
  <c r="AC2010" i="5" a="1"/>
  <c r="AC2010" i="5" s="1"/>
  <c r="AC1759" i="5" a="1"/>
  <c r="AC1759" i="5" s="1"/>
  <c r="AC1508" i="5" a="1"/>
  <c r="AC1508" i="5" s="1"/>
  <c r="AC1257" i="5" a="1"/>
  <c r="AC1257" i="5" s="1"/>
  <c r="AC1006" i="5" a="1"/>
  <c r="AC1006" i="5" s="1"/>
  <c r="AC755" i="5" a="1"/>
  <c r="AC755" i="5" s="1"/>
  <c r="AC504" i="5" a="1"/>
  <c r="AC504" i="5" s="1"/>
  <c r="AC253" i="5" a="1"/>
  <c r="AC253" i="5" s="1"/>
  <c r="AC2" i="5" a="1"/>
  <c r="AC2" i="5" s="1"/>
  <c r="P2" i="5" a="1"/>
  <c r="P2" i="5" s="1"/>
  <c r="R2" i="4"/>
  <c r="O5" i="4"/>
  <c r="Q5" i="4" s="1"/>
  <c r="P5" i="4"/>
  <c r="O6" i="4"/>
  <c r="Q6" i="4" s="1"/>
  <c r="P6" i="4"/>
  <c r="O7" i="4"/>
  <c r="Q7" i="4" s="1"/>
  <c r="P7" i="4"/>
  <c r="O8" i="4"/>
  <c r="P8" i="4"/>
  <c r="Q8" i="4"/>
  <c r="O9" i="4"/>
  <c r="Q9" i="4" s="1"/>
  <c r="P9" i="4"/>
  <c r="O10" i="4"/>
  <c r="Q10" i="4" s="1"/>
  <c r="P10" i="4"/>
  <c r="O11" i="4"/>
  <c r="Q11" i="4" s="1"/>
  <c r="P11" i="4"/>
  <c r="O12" i="4"/>
  <c r="P12" i="4"/>
  <c r="Q12" i="4"/>
  <c r="O13" i="4"/>
  <c r="Q13" i="4" s="1"/>
  <c r="P13" i="4"/>
  <c r="O14" i="4"/>
  <c r="Q14" i="4" s="1"/>
  <c r="P14" i="4"/>
  <c r="O15" i="4"/>
  <c r="Q15" i="4" s="1"/>
  <c r="P15" i="4"/>
  <c r="O16" i="4"/>
  <c r="P16" i="4"/>
  <c r="Q16" i="4"/>
  <c r="O17" i="4"/>
  <c r="Q17" i="4" s="1"/>
  <c r="P17" i="4"/>
  <c r="O18" i="4"/>
  <c r="Q18" i="4" s="1"/>
  <c r="P18" i="4"/>
  <c r="O19" i="4"/>
  <c r="Q19" i="4" s="1"/>
  <c r="P19" i="4"/>
  <c r="O20" i="4"/>
  <c r="P20" i="4"/>
  <c r="Q20" i="4"/>
  <c r="O21" i="4"/>
  <c r="Q21" i="4" s="1"/>
  <c r="P21" i="4"/>
  <c r="O22" i="4"/>
  <c r="Q22" i="4" s="1"/>
  <c r="P22" i="4"/>
  <c r="O23" i="4"/>
  <c r="Q23" i="4" s="1"/>
  <c r="P23" i="4"/>
  <c r="O24" i="4"/>
  <c r="P24" i="4"/>
  <c r="Q24" i="4"/>
  <c r="O25" i="4"/>
  <c r="Q25" i="4" s="1"/>
  <c r="P25" i="4"/>
  <c r="O26" i="4"/>
  <c r="Q26" i="4" s="1"/>
  <c r="P26" i="4"/>
  <c r="O27" i="4"/>
  <c r="Q27" i="4" s="1"/>
  <c r="P27" i="4"/>
  <c r="O28" i="4"/>
  <c r="P28" i="4"/>
  <c r="Q28" i="4"/>
  <c r="O29" i="4"/>
  <c r="Q29" i="4" s="1"/>
  <c r="P29" i="4"/>
  <c r="O30" i="4"/>
  <c r="Q30" i="4" s="1"/>
  <c r="P30" i="4"/>
  <c r="O31" i="4"/>
  <c r="Q31" i="4" s="1"/>
  <c r="P31" i="4"/>
  <c r="O32" i="4"/>
  <c r="P32" i="4"/>
  <c r="Q32" i="4"/>
  <c r="O33" i="4"/>
  <c r="Q33" i="4" s="1"/>
  <c r="P33" i="4"/>
  <c r="O34" i="4"/>
  <c r="Q34" i="4" s="1"/>
  <c r="P34" i="4"/>
  <c r="O35" i="4"/>
  <c r="Q35" i="4" s="1"/>
  <c r="P35" i="4"/>
  <c r="O36" i="4"/>
  <c r="P36" i="4"/>
  <c r="Q36" i="4"/>
  <c r="O37" i="4"/>
  <c r="Q37" i="4" s="1"/>
  <c r="P37" i="4"/>
  <c r="O38" i="4"/>
  <c r="Q38" i="4" s="1"/>
  <c r="P38" i="4"/>
  <c r="O39" i="4"/>
  <c r="Q39" i="4" s="1"/>
  <c r="P39" i="4"/>
  <c r="O40" i="4"/>
  <c r="P40" i="4"/>
  <c r="Q40" i="4"/>
  <c r="O41" i="4"/>
  <c r="Q41" i="4" s="1"/>
  <c r="P41" i="4"/>
  <c r="O42" i="4"/>
  <c r="Q42" i="4" s="1"/>
  <c r="P42" i="4"/>
  <c r="O43" i="4"/>
  <c r="Q43" i="4" s="1"/>
  <c r="P43" i="4"/>
  <c r="O44" i="4"/>
  <c r="P44" i="4"/>
  <c r="Q44" i="4"/>
  <c r="O45" i="4"/>
  <c r="Q45" i="4" s="1"/>
  <c r="P45" i="4"/>
  <c r="O46" i="4"/>
  <c r="Q46" i="4" s="1"/>
  <c r="P46" i="4"/>
  <c r="O47" i="4"/>
  <c r="Q47" i="4" s="1"/>
  <c r="P47" i="4"/>
  <c r="O48" i="4"/>
  <c r="P48" i="4"/>
  <c r="Q48" i="4"/>
  <c r="O49" i="4"/>
  <c r="Q49" i="4" s="1"/>
  <c r="P49" i="4"/>
  <c r="O50" i="4"/>
  <c r="Q50" i="4" s="1"/>
  <c r="P50" i="4"/>
  <c r="O51" i="4"/>
  <c r="Q51" i="4" s="1"/>
  <c r="P51" i="4"/>
  <c r="O52" i="4"/>
  <c r="P52" i="4"/>
  <c r="Q52" i="4"/>
  <c r="O53" i="4"/>
  <c r="Q53" i="4" s="1"/>
  <c r="P53" i="4"/>
  <c r="O54" i="4"/>
  <c r="Q54" i="4" s="1"/>
  <c r="P54" i="4"/>
  <c r="O55" i="4"/>
  <c r="Q55" i="4" s="1"/>
  <c r="P55" i="4"/>
  <c r="O56" i="4"/>
  <c r="P56" i="4"/>
  <c r="Q56" i="4"/>
  <c r="O57" i="4"/>
  <c r="Q57" i="4" s="1"/>
  <c r="P57" i="4"/>
  <c r="O58" i="4"/>
  <c r="Q58" i="4" s="1"/>
  <c r="P58" i="4"/>
  <c r="O59" i="4"/>
  <c r="Q59" i="4" s="1"/>
  <c r="P59" i="4"/>
  <c r="O60" i="4"/>
  <c r="P60" i="4"/>
  <c r="Q60" i="4"/>
  <c r="O61" i="4"/>
  <c r="Q61" i="4" s="1"/>
  <c r="P61" i="4"/>
  <c r="O62" i="4"/>
  <c r="Q62" i="4" s="1"/>
  <c r="P62" i="4"/>
  <c r="O63" i="4"/>
  <c r="Q63" i="4" s="1"/>
  <c r="P63" i="4"/>
  <c r="O64" i="4"/>
  <c r="P64" i="4"/>
  <c r="Q64" i="4"/>
  <c r="O65" i="4"/>
  <c r="Q65" i="4" s="1"/>
  <c r="P65" i="4"/>
  <c r="O66" i="4"/>
  <c r="Q66" i="4" s="1"/>
  <c r="P66" i="4"/>
  <c r="O67" i="4"/>
  <c r="Q67" i="4" s="1"/>
  <c r="P67" i="4"/>
  <c r="O68" i="4"/>
  <c r="P68" i="4"/>
  <c r="Q68" i="4"/>
  <c r="O69" i="4"/>
  <c r="Q69" i="4" s="1"/>
  <c r="P69" i="4"/>
  <c r="O70" i="4"/>
  <c r="Q70" i="4" s="1"/>
  <c r="P70" i="4"/>
  <c r="O71" i="4"/>
  <c r="Q71" i="4" s="1"/>
  <c r="P71" i="4"/>
  <c r="O72" i="4"/>
  <c r="P72" i="4"/>
  <c r="Q72" i="4"/>
  <c r="O73" i="4"/>
  <c r="Q73" i="4" s="1"/>
  <c r="P73" i="4"/>
  <c r="O74" i="4"/>
  <c r="Q74" i="4" s="1"/>
  <c r="P74" i="4"/>
  <c r="O75" i="4"/>
  <c r="Q75" i="4" s="1"/>
  <c r="P75" i="4"/>
  <c r="O76" i="4"/>
  <c r="P76" i="4"/>
  <c r="Q76" i="4"/>
  <c r="O77" i="4"/>
  <c r="Q77" i="4" s="1"/>
  <c r="P77" i="4"/>
  <c r="O78" i="4"/>
  <c r="Q78" i="4" s="1"/>
  <c r="P78" i="4"/>
  <c r="O79" i="4"/>
  <c r="Q79" i="4" s="1"/>
  <c r="P79" i="4"/>
  <c r="O80" i="4"/>
  <c r="P80" i="4"/>
  <c r="Q80" i="4"/>
  <c r="O81" i="4"/>
  <c r="Q81" i="4" s="1"/>
  <c r="P81" i="4"/>
  <c r="O82" i="4"/>
  <c r="Q82" i="4" s="1"/>
  <c r="P82" i="4"/>
  <c r="O83" i="4"/>
  <c r="Q83" i="4" s="1"/>
  <c r="P83" i="4"/>
  <c r="O84" i="4"/>
  <c r="P84" i="4"/>
  <c r="Q84" i="4"/>
  <c r="O85" i="4"/>
  <c r="Q85" i="4" s="1"/>
  <c r="P85" i="4"/>
  <c r="O86" i="4"/>
  <c r="Q86" i="4" s="1"/>
  <c r="P86" i="4"/>
  <c r="O87" i="4"/>
  <c r="Q87" i="4" s="1"/>
  <c r="P87" i="4"/>
  <c r="O88" i="4"/>
  <c r="P88" i="4"/>
  <c r="Q88" i="4"/>
  <c r="O89" i="4"/>
  <c r="Q89" i="4" s="1"/>
  <c r="P89" i="4"/>
  <c r="O90" i="4"/>
  <c r="Q90" i="4" s="1"/>
  <c r="P90" i="4"/>
  <c r="O91" i="4"/>
  <c r="Q91" i="4" s="1"/>
  <c r="P91" i="4"/>
  <c r="O92" i="4"/>
  <c r="P92" i="4"/>
  <c r="Q92" i="4"/>
  <c r="O93" i="4"/>
  <c r="Q93" i="4" s="1"/>
  <c r="P93" i="4"/>
  <c r="O94" i="4"/>
  <c r="Q94" i="4" s="1"/>
  <c r="P94" i="4"/>
  <c r="O95" i="4"/>
  <c r="Q95" i="4" s="1"/>
  <c r="P95" i="4"/>
  <c r="O96" i="4"/>
  <c r="P96" i="4"/>
  <c r="Q96" i="4"/>
  <c r="O97" i="4"/>
  <c r="Q97" i="4" s="1"/>
  <c r="P97" i="4"/>
  <c r="O98" i="4"/>
  <c r="Q98" i="4" s="1"/>
  <c r="P98" i="4"/>
  <c r="O99" i="4"/>
  <c r="Q99" i="4" s="1"/>
  <c r="P99" i="4"/>
  <c r="O100" i="4"/>
  <c r="P100" i="4"/>
  <c r="Q100" i="4"/>
  <c r="O101" i="4"/>
  <c r="Q101" i="4" s="1"/>
  <c r="P101" i="4"/>
  <c r="O102" i="4"/>
  <c r="Q102" i="4" s="1"/>
  <c r="P102" i="4"/>
  <c r="O103" i="4"/>
  <c r="Q103" i="4" s="1"/>
  <c r="P103" i="4"/>
  <c r="O104" i="4"/>
  <c r="P104" i="4"/>
  <c r="Q104" i="4"/>
  <c r="O105" i="4"/>
  <c r="Q105" i="4" s="1"/>
  <c r="P105" i="4"/>
  <c r="O106" i="4"/>
  <c r="Q106" i="4" s="1"/>
  <c r="P106" i="4"/>
  <c r="O107" i="4"/>
  <c r="Q107" i="4" s="1"/>
  <c r="P107" i="4"/>
  <c r="O108" i="4"/>
  <c r="P108" i="4"/>
  <c r="Q108" i="4"/>
  <c r="O109" i="4"/>
  <c r="Q109" i="4" s="1"/>
  <c r="P109" i="4"/>
  <c r="O110" i="4"/>
  <c r="Q110" i="4" s="1"/>
  <c r="P110" i="4"/>
  <c r="O111" i="4"/>
  <c r="Q111" i="4" s="1"/>
  <c r="P111" i="4"/>
  <c r="O112" i="4"/>
  <c r="P112" i="4"/>
  <c r="Q112" i="4"/>
  <c r="O113" i="4"/>
  <c r="Q113" i="4" s="1"/>
  <c r="P113" i="4"/>
  <c r="O114" i="4"/>
  <c r="Q114" i="4" s="1"/>
  <c r="P114" i="4"/>
  <c r="O115" i="4"/>
  <c r="Q115" i="4" s="1"/>
  <c r="P115" i="4"/>
  <c r="O116" i="4"/>
  <c r="P116" i="4"/>
  <c r="Q116" i="4"/>
  <c r="O117" i="4"/>
  <c r="Q117" i="4" s="1"/>
  <c r="P117" i="4"/>
  <c r="O118" i="4"/>
  <c r="Q118" i="4" s="1"/>
  <c r="P118" i="4"/>
  <c r="O119" i="4"/>
  <c r="Q119" i="4" s="1"/>
  <c r="P119" i="4"/>
  <c r="O120" i="4"/>
  <c r="P120" i="4"/>
  <c r="Q120" i="4"/>
  <c r="O121" i="4"/>
  <c r="Q121" i="4" s="1"/>
  <c r="P121" i="4"/>
  <c r="O122" i="4"/>
  <c r="Q122" i="4" s="1"/>
  <c r="P122" i="4"/>
  <c r="O123" i="4"/>
  <c r="Q123" i="4" s="1"/>
  <c r="P123" i="4"/>
  <c r="O124" i="4"/>
  <c r="P124" i="4"/>
  <c r="Q124" i="4"/>
  <c r="O125" i="4"/>
  <c r="Q125" i="4" s="1"/>
  <c r="P125" i="4"/>
  <c r="O126" i="4"/>
  <c r="Q126" i="4" s="1"/>
  <c r="P126" i="4"/>
  <c r="O127" i="4"/>
  <c r="Q127" i="4" s="1"/>
  <c r="P127" i="4"/>
  <c r="O128" i="4"/>
  <c r="P128" i="4"/>
  <c r="Q128" i="4"/>
  <c r="O129" i="4"/>
  <c r="Q129" i="4" s="1"/>
  <c r="P129" i="4"/>
  <c r="O130" i="4"/>
  <c r="Q130" i="4" s="1"/>
  <c r="P130" i="4"/>
  <c r="O131" i="4"/>
  <c r="Q131" i="4" s="1"/>
  <c r="P131" i="4"/>
  <c r="O132" i="4"/>
  <c r="P132" i="4"/>
  <c r="Q132" i="4"/>
  <c r="O133" i="4"/>
  <c r="Q133" i="4" s="1"/>
  <c r="P133" i="4"/>
  <c r="O134" i="4"/>
  <c r="Q134" i="4" s="1"/>
  <c r="P134" i="4"/>
  <c r="O135" i="4"/>
  <c r="Q135" i="4" s="1"/>
  <c r="P135" i="4"/>
  <c r="O136" i="4"/>
  <c r="P136" i="4"/>
  <c r="Q136" i="4"/>
  <c r="O137" i="4"/>
  <c r="Q137" i="4" s="1"/>
  <c r="P137" i="4"/>
  <c r="O138" i="4"/>
  <c r="Q138" i="4" s="1"/>
  <c r="P138" i="4"/>
  <c r="O139" i="4"/>
  <c r="Q139" i="4" s="1"/>
  <c r="P139" i="4"/>
  <c r="O140" i="4"/>
  <c r="P140" i="4"/>
  <c r="Q140" i="4"/>
  <c r="O141" i="4"/>
  <c r="Q141" i="4" s="1"/>
  <c r="P141" i="4"/>
  <c r="O142" i="4"/>
  <c r="Q142" i="4" s="1"/>
  <c r="P142" i="4"/>
  <c r="O143" i="4"/>
  <c r="Q143" i="4" s="1"/>
  <c r="P143" i="4"/>
  <c r="O144" i="4"/>
  <c r="P144" i="4"/>
  <c r="Q144" i="4"/>
  <c r="O145" i="4"/>
  <c r="Q145" i="4" s="1"/>
  <c r="P145" i="4"/>
  <c r="O146" i="4"/>
  <c r="Q146" i="4" s="1"/>
  <c r="P146" i="4"/>
  <c r="O147" i="4"/>
  <c r="Q147" i="4" s="1"/>
  <c r="P147" i="4"/>
  <c r="O148" i="4"/>
  <c r="P148" i="4"/>
  <c r="Q148" i="4"/>
  <c r="O149" i="4"/>
  <c r="Q149" i="4" s="1"/>
  <c r="P149" i="4"/>
  <c r="O150" i="4"/>
  <c r="Q150" i="4" s="1"/>
  <c r="P150" i="4"/>
  <c r="O151" i="4"/>
  <c r="Q151" i="4" s="1"/>
  <c r="P151" i="4"/>
  <c r="O152" i="4"/>
  <c r="P152" i="4"/>
  <c r="Q152" i="4"/>
  <c r="O153" i="4"/>
  <c r="Q153" i="4" s="1"/>
  <c r="P153" i="4"/>
  <c r="O154" i="4"/>
  <c r="Q154" i="4" s="1"/>
  <c r="P154" i="4"/>
  <c r="O155" i="4"/>
  <c r="Q155" i="4" s="1"/>
  <c r="P155" i="4"/>
  <c r="O156" i="4"/>
  <c r="P156" i="4"/>
  <c r="Q156" i="4"/>
  <c r="O157" i="4"/>
  <c r="Q157" i="4" s="1"/>
  <c r="P157" i="4"/>
  <c r="O158" i="4"/>
  <c r="Q158" i="4" s="1"/>
  <c r="P158" i="4"/>
  <c r="O159" i="4"/>
  <c r="Q159" i="4" s="1"/>
  <c r="P159" i="4"/>
  <c r="O160" i="4"/>
  <c r="P160" i="4"/>
  <c r="Q160" i="4"/>
  <c r="O161" i="4"/>
  <c r="Q161" i="4" s="1"/>
  <c r="P161" i="4"/>
  <c r="O162" i="4"/>
  <c r="Q162" i="4" s="1"/>
  <c r="P162" i="4"/>
  <c r="O163" i="4"/>
  <c r="Q163" i="4" s="1"/>
  <c r="P163" i="4"/>
  <c r="O164" i="4"/>
  <c r="P164" i="4"/>
  <c r="Q164" i="4"/>
  <c r="O165" i="4"/>
  <c r="Q165" i="4" s="1"/>
  <c r="P165" i="4"/>
  <c r="O166" i="4"/>
  <c r="Q166" i="4" s="1"/>
  <c r="P166" i="4"/>
  <c r="O167" i="4"/>
  <c r="Q167" i="4" s="1"/>
  <c r="P167" i="4"/>
  <c r="O168" i="4"/>
  <c r="P168" i="4"/>
  <c r="Q168" i="4"/>
  <c r="O169" i="4"/>
  <c r="Q169" i="4" s="1"/>
  <c r="P169" i="4"/>
  <c r="O170" i="4"/>
  <c r="Q170" i="4" s="1"/>
  <c r="P170" i="4"/>
  <c r="O171" i="4"/>
  <c r="Q171" i="4" s="1"/>
  <c r="P171" i="4"/>
  <c r="O172" i="4"/>
  <c r="P172" i="4"/>
  <c r="Q172" i="4"/>
  <c r="O173" i="4"/>
  <c r="Q173" i="4" s="1"/>
  <c r="P173" i="4"/>
  <c r="O174" i="4"/>
  <c r="Q174" i="4" s="1"/>
  <c r="P174" i="4"/>
  <c r="O175" i="4"/>
  <c r="Q175" i="4" s="1"/>
  <c r="P175" i="4"/>
  <c r="O176" i="4"/>
  <c r="P176" i="4"/>
  <c r="Q176" i="4"/>
  <c r="O177" i="4"/>
  <c r="Q177" i="4" s="1"/>
  <c r="P177" i="4"/>
  <c r="O178" i="4"/>
  <c r="Q178" i="4" s="1"/>
  <c r="P178" i="4"/>
  <c r="O179" i="4"/>
  <c r="Q179" i="4" s="1"/>
  <c r="P179" i="4"/>
  <c r="O180" i="4"/>
  <c r="P180" i="4"/>
  <c r="Q180" i="4"/>
  <c r="O181" i="4"/>
  <c r="Q181" i="4" s="1"/>
  <c r="P181" i="4"/>
  <c r="O182" i="4"/>
  <c r="Q182" i="4" s="1"/>
  <c r="P182" i="4"/>
  <c r="O183" i="4"/>
  <c r="Q183" i="4" s="1"/>
  <c r="P183" i="4"/>
  <c r="O184" i="4"/>
  <c r="P184" i="4"/>
  <c r="Q184" i="4"/>
  <c r="O185" i="4"/>
  <c r="Q185" i="4" s="1"/>
  <c r="P185" i="4"/>
  <c r="O186" i="4"/>
  <c r="Q186" i="4" s="1"/>
  <c r="P186" i="4"/>
  <c r="O187" i="4"/>
  <c r="Q187" i="4" s="1"/>
  <c r="P187" i="4"/>
  <c r="O188" i="4"/>
  <c r="P188" i="4"/>
  <c r="Q188" i="4"/>
  <c r="O189" i="4"/>
  <c r="Q189" i="4" s="1"/>
  <c r="P189" i="4"/>
  <c r="O190" i="4"/>
  <c r="Q190" i="4" s="1"/>
  <c r="P190" i="4"/>
  <c r="O191" i="4"/>
  <c r="Q191" i="4" s="1"/>
  <c r="P191" i="4"/>
  <c r="O192" i="4"/>
  <c r="P192" i="4"/>
  <c r="Q192" i="4"/>
  <c r="O193" i="4"/>
  <c r="Q193" i="4" s="1"/>
  <c r="P193" i="4"/>
  <c r="O194" i="4"/>
  <c r="Q194" i="4" s="1"/>
  <c r="P194" i="4"/>
  <c r="O195" i="4"/>
  <c r="Q195" i="4" s="1"/>
  <c r="P195" i="4"/>
  <c r="O196" i="4"/>
  <c r="P196" i="4"/>
  <c r="Q196" i="4"/>
  <c r="O197" i="4"/>
  <c r="Q197" i="4" s="1"/>
  <c r="P197" i="4"/>
  <c r="O198" i="4"/>
  <c r="Q198" i="4" s="1"/>
  <c r="P198" i="4"/>
  <c r="O199" i="4"/>
  <c r="Q199" i="4" s="1"/>
  <c r="P199" i="4"/>
  <c r="O200" i="4"/>
  <c r="P200" i="4"/>
  <c r="Q200" i="4"/>
  <c r="O201" i="4"/>
  <c r="Q201" i="4" s="1"/>
  <c r="P201" i="4"/>
  <c r="O202" i="4"/>
  <c r="Q202" i="4" s="1"/>
  <c r="P202" i="4"/>
  <c r="O203" i="4"/>
  <c r="Q203" i="4" s="1"/>
  <c r="P203" i="4"/>
  <c r="O204" i="4"/>
  <c r="P204" i="4"/>
  <c r="Q204" i="4"/>
  <c r="O205" i="4"/>
  <c r="Q205" i="4" s="1"/>
  <c r="P205" i="4"/>
  <c r="O206" i="4"/>
  <c r="Q206" i="4" s="1"/>
  <c r="P206" i="4"/>
  <c r="O207" i="4"/>
  <c r="Q207" i="4" s="1"/>
  <c r="P207" i="4"/>
  <c r="O208" i="4"/>
  <c r="P208" i="4"/>
  <c r="Q208" i="4"/>
  <c r="O209" i="4"/>
  <c r="Q209" i="4" s="1"/>
  <c r="P209" i="4"/>
  <c r="O210" i="4"/>
  <c r="Q210" i="4" s="1"/>
  <c r="P210" i="4"/>
  <c r="O211" i="4"/>
  <c r="Q211" i="4" s="1"/>
  <c r="P211" i="4"/>
  <c r="O212" i="4"/>
  <c r="P212" i="4"/>
  <c r="Q212" i="4"/>
  <c r="O213" i="4"/>
  <c r="Q213" i="4" s="1"/>
  <c r="P213" i="4"/>
  <c r="O214" i="4"/>
  <c r="Q214" i="4" s="1"/>
  <c r="P214" i="4"/>
  <c r="O215" i="4"/>
  <c r="Q215" i="4" s="1"/>
  <c r="P215" i="4"/>
  <c r="O216" i="4"/>
  <c r="P216" i="4"/>
  <c r="Q216" i="4"/>
  <c r="O217" i="4"/>
  <c r="Q217" i="4" s="1"/>
  <c r="P217" i="4"/>
  <c r="O218" i="4"/>
  <c r="Q218" i="4" s="1"/>
  <c r="P218" i="4"/>
  <c r="O219" i="4"/>
  <c r="Q219" i="4" s="1"/>
  <c r="P219" i="4"/>
  <c r="O220" i="4"/>
  <c r="P220" i="4"/>
  <c r="Q220" i="4"/>
  <c r="O221" i="4"/>
  <c r="Q221" i="4" s="1"/>
  <c r="P221" i="4"/>
  <c r="O222" i="4"/>
  <c r="Q222" i="4" s="1"/>
  <c r="P222" i="4"/>
  <c r="O223" i="4"/>
  <c r="Q223" i="4" s="1"/>
  <c r="P223" i="4"/>
  <c r="O224" i="4"/>
  <c r="P224" i="4"/>
  <c r="Q224" i="4"/>
  <c r="O225" i="4"/>
  <c r="Q225" i="4" s="1"/>
  <c r="P225" i="4"/>
  <c r="O226" i="4"/>
  <c r="Q226" i="4" s="1"/>
  <c r="P226" i="4"/>
  <c r="O227" i="4"/>
  <c r="Q227" i="4" s="1"/>
  <c r="P227" i="4"/>
  <c r="O228" i="4"/>
  <c r="P228" i="4"/>
  <c r="Q228" i="4"/>
  <c r="O229" i="4"/>
  <c r="Q229" i="4" s="1"/>
  <c r="P229" i="4"/>
  <c r="O230" i="4"/>
  <c r="Q230" i="4" s="1"/>
  <c r="P230" i="4"/>
  <c r="O231" i="4"/>
  <c r="Q231" i="4" s="1"/>
  <c r="P231" i="4"/>
  <c r="O232" i="4"/>
  <c r="P232" i="4"/>
  <c r="Q232" i="4"/>
  <c r="O233" i="4"/>
  <c r="Q233" i="4" s="1"/>
  <c r="P233" i="4"/>
  <c r="O234" i="4"/>
  <c r="Q234" i="4" s="1"/>
  <c r="P234" i="4"/>
  <c r="O235" i="4"/>
  <c r="Q235" i="4" s="1"/>
  <c r="P235" i="4"/>
  <c r="O236" i="4"/>
  <c r="P236" i="4"/>
  <c r="Q236" i="4"/>
  <c r="O237" i="4"/>
  <c r="Q237" i="4" s="1"/>
  <c r="P237" i="4"/>
  <c r="O238" i="4"/>
  <c r="Q238" i="4" s="1"/>
  <c r="P238" i="4"/>
  <c r="O239" i="4"/>
  <c r="Q239" i="4" s="1"/>
  <c r="P239" i="4"/>
  <c r="O240" i="4"/>
  <c r="P240" i="4"/>
  <c r="Q240" i="4"/>
  <c r="O241" i="4"/>
  <c r="Q241" i="4" s="1"/>
  <c r="P241" i="4"/>
  <c r="O242" i="4"/>
  <c r="Q242" i="4" s="1"/>
  <c r="P242" i="4"/>
  <c r="O243" i="4"/>
  <c r="Q243" i="4" s="1"/>
  <c r="P243" i="4"/>
  <c r="O244" i="4"/>
  <c r="P244" i="4"/>
  <c r="Q244" i="4"/>
  <c r="O245" i="4"/>
  <c r="Q245" i="4" s="1"/>
  <c r="P245" i="4"/>
  <c r="O246" i="4"/>
  <c r="Q246" i="4" s="1"/>
  <c r="P246" i="4"/>
  <c r="O247" i="4"/>
  <c r="Q247" i="4" s="1"/>
  <c r="P247" i="4"/>
  <c r="O248" i="4"/>
  <c r="P248" i="4"/>
  <c r="Q248" i="4"/>
  <c r="O249" i="4"/>
  <c r="Q249" i="4" s="1"/>
  <c r="P249" i="4"/>
  <c r="O250" i="4"/>
  <c r="Q250" i="4" s="1"/>
  <c r="P250" i="4"/>
  <c r="O251" i="4"/>
  <c r="Q251" i="4" s="1"/>
  <c r="P251" i="4"/>
  <c r="O252" i="4"/>
  <c r="P252" i="4"/>
  <c r="Q252" i="4"/>
  <c r="O3" i="4"/>
  <c r="Q3" i="4" s="1"/>
  <c r="P3" i="4"/>
  <c r="O4" i="4"/>
  <c r="Q4" i="4" s="1"/>
  <c r="P4" i="4"/>
  <c r="P2" i="4"/>
  <c r="Q2" i="4"/>
  <c r="O2" i="4"/>
  <c r="C254" i="3"/>
  <c r="D254" i="3"/>
  <c r="E254" i="3"/>
  <c r="F254" i="3"/>
  <c r="G254" i="3"/>
  <c r="H254" i="3"/>
  <c r="I254" i="3"/>
  <c r="J254" i="3"/>
  <c r="K254" i="3"/>
  <c r="L254" i="3"/>
  <c r="M254" i="3"/>
  <c r="B254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52BC932-BE45-4228-AE1C-6D2D761765C0}" keepAlive="1" name="Zapytanie — historia" description="Połączenie z zapytaniem „historia” w skoroszycie." type="5" refreshedVersion="8" background="1" saveData="1">
    <dbPr connection="Provider=Microsoft.Mashup.OleDb.1;Data Source=$Workbook$;Location=historia;Extended Properties=&quot;&quot;" command="SELECT * FROM [historia]"/>
  </connection>
  <connection id="2" xr16:uid="{C5D2DC84-1803-4985-B349-2EBA7E917407}" keepAlive="1" name="Zapytanie — historia (2)" description="Połączenie z zapytaniem „historia (2)” w skoroszycie." type="5" refreshedVersion="8" background="1" saveData="1">
    <dbPr connection="Provider=Microsoft.Mashup.OleDb.1;Data Source=$Workbook$;Location=&quot;historia (2)&quot;;Extended Properties=&quot;&quot;" command="SELECT * FROM [historia (2)]"/>
  </connection>
  <connection id="3" xr16:uid="{D92A022A-7C77-465A-854D-4E17A16577DD}" keepAlive="1" name="Zapytanie — historia (3)" description="Połączenie z zapytaniem „historia (3)” w skoroszycie." type="5" refreshedVersion="8" background="1" saveData="1">
    <dbPr connection="Provider=Microsoft.Mashup.OleDb.1;Data Source=$Workbook$;Location=&quot;historia (3)&quot;;Extended Properties=&quot;&quot;" command="SELECT * FROM [historia (3)]"/>
  </connection>
  <connection id="4" xr16:uid="{B9C89EBC-A7E9-4619-BD7B-EEEB3A6E2FA9}" keepAlive="1" name="Zapytanie — historia (4)" description="Połączenie z zapytaniem „historia (4)” w skoroszycie." type="5" refreshedVersion="8" background="1" saveData="1">
    <dbPr connection="Provider=Microsoft.Mashup.OleDb.1;Data Source=$Workbook$;Location=&quot;historia (4)&quot;;Extended Properties=&quot;&quot;" command="SELECT * FROM [historia (4)]"/>
  </connection>
  <connection id="5" xr16:uid="{6E6F9F16-F0A2-4ECB-9D02-9178A0ECB025}" keepAlive="1" name="Zapytanie — historia (5)" description="Połączenie z zapytaniem „historia (5)” w skoroszycie." type="5" refreshedVersion="8" background="1" saveData="1">
    <dbPr connection="Provider=Microsoft.Mashup.OleDb.1;Data Source=$Workbook$;Location=&quot;historia (5)&quot;;Extended Properties=&quot;&quot;" command="SELECT * FROM [historia (5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<sst xmlns="http://schemas.openxmlformats.org/spreadsheetml/2006/main" count="88" uniqueCount="24">
  <si>
    <t>Data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</si>
  <si>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</si>
  <si>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</si>
  <si>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</si>
  <si>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</si>
  <si>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</si>
  <si>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</si>
  <si>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</si>
  <si>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</si>
  <si>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</si>
  <si>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</si>
  <si>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</si>
  <si>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</si>
  <si>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ŚREDNIA CENA</t>
  </si>
  <si>
    <t>SUMA</t>
  </si>
  <si>
    <t>SUMA JEŚLI WYŻSZE OD 33</t>
  </si>
  <si>
    <t>CZY WSZYSTKIE &gt;&gt; 33</t>
  </si>
  <si>
    <t>ile dni wszystko &gt;&gt; 33</t>
  </si>
  <si>
    <t>POSOROTWANE</t>
  </si>
  <si>
    <t>LICZBA WYSTĄPIEŃ</t>
  </si>
  <si>
    <t>NAJWIECEJ WYSTAPIEN</t>
  </si>
  <si>
    <t>LICZBA KTÓRA WYSTEPOWAŁA</t>
  </si>
  <si>
    <t>NAJWIĘKSZA</t>
  </si>
  <si>
    <t>NAJMNIEJSZA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</si>
</sst>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4" fontId="0" fillId="2" borderId="0" xfId="0" applyNumberFormat="1" applyFill="1"/>
    <xf numFmtId="0" fontId="0" fillId="2" borderId="0" xfId="0" applyFill="1"/>
  </cellXfs>
  <cellStyles count="1">
    <cellStyle name="Normalny" xfId="0" builtinId="0"/>
  </cellStyles>
  <dxfs count="7"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NAJNIŻSZA</a:t>
            </a:r>
            <a:r>
              <a:rPr lang="pl-PL" baseline="0"/>
              <a:t> I NAJWYŻSZA CENA JEDNOSTKI  FUNDUSZU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D!$B$258</c:f>
              <c:strCache>
                <c:ptCount val="1"/>
                <c:pt idx="0">
                  <c:v>NAJWIĘKSZA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D!$A$259:$A$270</c:f>
              <c:strCache>
                <c:ptCount val="12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  <c:pt idx="8">
                  <c:v>I</c:v>
                </c:pt>
                <c:pt idx="9">
                  <c:v>J</c:v>
                </c:pt>
                <c:pt idx="10">
                  <c:v>K</c:v>
                </c:pt>
                <c:pt idx="11">
                  <c:v>L</c:v>
                </c:pt>
              </c:strCache>
            </c:strRef>
          </c:cat>
          <c:val>
            <c:numRef>
              <c:f>D!$B$259:$B$270</c:f>
              <c:numCache>
                <c:formatCode>General</c:formatCode>
                <c:ptCount val="12"/>
                <c:pt idx="0">
                  <c:v>50.9</c:v>
                </c:pt>
                <c:pt idx="1">
                  <c:v>51.62</c:v>
                </c:pt>
                <c:pt idx="2">
                  <c:v>53.12</c:v>
                </c:pt>
                <c:pt idx="3">
                  <c:v>58.66</c:v>
                </c:pt>
                <c:pt idx="4">
                  <c:v>58.96</c:v>
                </c:pt>
                <c:pt idx="5">
                  <c:v>59.26</c:v>
                </c:pt>
                <c:pt idx="6">
                  <c:v>48.15</c:v>
                </c:pt>
                <c:pt idx="7">
                  <c:v>48.17</c:v>
                </c:pt>
                <c:pt idx="8">
                  <c:v>48.19</c:v>
                </c:pt>
                <c:pt idx="9">
                  <c:v>50.23</c:v>
                </c:pt>
                <c:pt idx="10">
                  <c:v>50.23</c:v>
                </c:pt>
                <c:pt idx="11">
                  <c:v>50.23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28-45EE-AED8-4EF83E3A2205}"/>
            </c:ext>
          </c:extLst>
        </c:ser>
        <c:ser>
          <c:idx val="1"/>
          <c:order val="1"/>
          <c:tx>
            <c:strRef>
              <c:f>D!$C$258</c:f>
              <c:strCache>
                <c:ptCount val="1"/>
                <c:pt idx="0">
                  <c:v>NAJMNIEJSZA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D!$A$259:$A$270</c:f>
              <c:strCache>
                <c:ptCount val="12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  <c:pt idx="8">
                  <c:v>I</c:v>
                </c:pt>
                <c:pt idx="9">
                  <c:v>J</c:v>
                </c:pt>
                <c:pt idx="10">
                  <c:v>K</c:v>
                </c:pt>
                <c:pt idx="11">
                  <c:v>L</c:v>
                </c:pt>
              </c:strCache>
            </c:strRef>
          </c:cat>
          <c:val>
            <c:numRef>
              <c:f>D!$C$259:$C$270</c:f>
              <c:numCache>
                <c:formatCode>General</c:formatCode>
                <c:ptCount val="12"/>
                <c:pt idx="0">
                  <c:v>20.82</c:v>
                </c:pt>
                <c:pt idx="1">
                  <c:v>21.21</c:v>
                </c:pt>
                <c:pt idx="2">
                  <c:v>21.92</c:v>
                </c:pt>
                <c:pt idx="3">
                  <c:v>18.760000000000002</c:v>
                </c:pt>
                <c:pt idx="4">
                  <c:v>18.940000000000001</c:v>
                </c:pt>
                <c:pt idx="5">
                  <c:v>19.12</c:v>
                </c:pt>
                <c:pt idx="6">
                  <c:v>16.04</c:v>
                </c:pt>
                <c:pt idx="7">
                  <c:v>16.079999999999998</c:v>
                </c:pt>
                <c:pt idx="8">
                  <c:v>16.12</c:v>
                </c:pt>
                <c:pt idx="9">
                  <c:v>20.329999999999998</c:v>
                </c:pt>
                <c:pt idx="10">
                  <c:v>20.41</c:v>
                </c:pt>
                <c:pt idx="11">
                  <c:v>20.5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28-45EE-AED8-4EF83E3A22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065024"/>
        <c:axId val="175066944"/>
      </c:lineChart>
      <c:catAx>
        <c:axId val="1750650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Fundusze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5066944"/>
        <c:crosses val="autoZero"/>
        <c:auto val="1"/>
        <c:lblAlgn val="ctr"/>
        <c:lblOffset val="100"/>
        <c:noMultiLvlLbl val="0"/>
      </c:catAx>
      <c:valAx>
        <c:axId val="175066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Cena jednostki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7506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133349</xdr:colOff>
      <xdr:row>248</xdr:row>
      <xdr:rowOff>161925</xdr:rowOff>
    </xdr:from>
    <xdr:to>
      <xdr:col>25</xdr:col>
      <xdr:colOff>85724</xdr:colOff>
      <xdr:row>269</xdr:row>
      <xdr:rowOff>4762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8D2769FF-0BB6-97FD-6EB2-702EDCA579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789F78FF-338E-4C26-A29C-3D8243F25273}" autoFormatId="16" applyNumberFormats="0" applyBorderFormats="0" applyFontFormats="0" applyPatternFormats="0" applyAlignmentFormats="0" applyWidthHeightFormats="0">
  <queryTableRefresh nextId="14">
    <queryTableFields count="13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D4AF3AE-C1AF-4EB2-8BB6-2192A28D011F}" autoFormatId="16" applyNumberFormats="0" applyBorderFormats="0" applyFontFormats="0" applyPatternFormats="0" applyAlignmentFormats="0" applyWidthHeightFormats="0">
  <queryTableRefresh nextId="14">
    <queryTableFields count="13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C1C5E5C6-12BF-426E-906A-30A4E9C9C772}" autoFormatId="16" applyNumberFormats="0" applyBorderFormats="0" applyFontFormats="0" applyPatternFormats="0" applyAlignmentFormats="0" applyWidthHeightFormats="0">
  <queryTableRefresh nextId="14">
    <queryTableFields count="13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1324745E-62AF-4D23-ACA0-1B2B13610273}" autoFormatId="16" applyNumberFormats="0" applyBorderFormats="0" applyFontFormats="0" applyPatternFormats="0" applyAlignmentFormats="0" applyWidthHeightFormats="0">
  <queryTableRefresh nextId="14">
    <queryTableFields count="13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8D6C365-A510-4E26-8756-D7708AE3571A}" autoFormatId="16" applyNumberFormats="0" applyBorderFormats="0" applyFontFormats="0" applyPatternFormats="0" applyAlignmentFormats="0" applyWidthHeightFormats="0">
  <queryTableRefresh nextId="14">
    <queryTableFields count="13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AFF70B-83D6-4AE0-99EF-8ECC58BD49C1}" name="historia3" displayName="historia3" ref="A1:M253" tableType="queryTable" totalsRowCount="1">
  <autoFilter ref="A1:M252" xr:uid="{BDA636AA-9B5E-4338-8998-5E70976F3D94}"/>
  <tableColumns count="13">
    <tableColumn id="1" xr3:uid="{4D892E78-6640-4D10-AB65-AE631ABABCB8}" uniqueName="1" name="Data" queryTableFieldId="1" dataDxfId="6"/>
    <tableColumn id="2" xr3:uid="{67C3048E-BD8C-4A36-8BF7-02D05CE2AE7F}" uniqueName="2" name="A" queryTableFieldId="2"/>
    <tableColumn id="3" xr3:uid="{09A5C831-4406-4007-97F7-1B2AF27468F9}" uniqueName="3" name="B" queryTableFieldId="3"/>
    <tableColumn id="4" xr3:uid="{774760E2-C845-4F3E-8E35-2620A4EB71D4}" uniqueName="4" name="C" queryTableFieldId="4"/>
    <tableColumn id="5" xr3:uid="{13ECE460-660F-47F4-A50E-0E72BF8D0A33}" uniqueName="5" name="D" queryTableFieldId="5"/>
    <tableColumn id="6" xr3:uid="{A4FF469F-6E90-4AAE-8DC4-20726087B1A3}" uniqueName="6" name="E" queryTableFieldId="6"/>
    <tableColumn id="7" xr3:uid="{A0CC9FB1-F209-41C3-AE62-F2F87F27F3B0}" uniqueName="7" name="F" queryTableFieldId="7"/>
    <tableColumn id="8" xr3:uid="{C8ED8780-FB88-499B-9696-EBDF0B95B46F}" uniqueName="8" name="G" queryTableFieldId="8"/>
    <tableColumn id="9" xr3:uid="{F8A38034-64F3-4319-9EC5-4D514CD47B48}" uniqueName="9" name="H" queryTableFieldId="9"/>
    <tableColumn id="10" xr3:uid="{86D67226-4604-453C-B005-871423353119}" uniqueName="10" name="I" queryTableFieldId="10"/>
    <tableColumn id="11" xr3:uid="{B566F754-A795-40C8-8123-6F461E3A88AD}" uniqueName="11" name="J" queryTableFieldId="11"/>
    <tableColumn id="12" xr3:uid="{758BF801-8FE6-40BF-AED0-50D0EF966180}" uniqueName="12" name="K" queryTableFieldId="12"/>
    <tableColumn id="13" xr3:uid="{19786A7D-C214-496C-A346-AE496D08DFD4}" uniqueName="13" name="L" queryTableFieldId="1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600775-293B-43E5-816D-346C1CB7D1FB}" name="historia4" displayName="historia4" ref="A1:M252" tableType="queryTable" totalsRowShown="0">
  <autoFilter ref="A1:M252" xr:uid="{BDA636AA-9B5E-4338-8998-5E70976F3D94}"/>
  <tableColumns count="13">
    <tableColumn id="1" xr3:uid="{6C8C32C9-BCB1-4CA1-8A30-6DD4EDEA21C8}" uniqueName="1" name="Data" queryTableFieldId="1" dataDxfId="5"/>
    <tableColumn id="2" xr3:uid="{B80F1854-E1B0-42D2-BB66-0BBE3FCF2A04}" uniqueName="2" name="A" queryTableFieldId="2"/>
    <tableColumn id="3" xr3:uid="{259AAF6D-46DD-431B-996D-82485C463563}" uniqueName="3" name="B" queryTableFieldId="3"/>
    <tableColumn id="4" xr3:uid="{BEF9CABC-1620-464D-ABD3-7A07D20E6E18}" uniqueName="4" name="C" queryTableFieldId="4"/>
    <tableColumn id="5" xr3:uid="{0EC08C66-57B0-4C64-967E-6C41535379F8}" uniqueName="5" name="D" queryTableFieldId="5"/>
    <tableColumn id="6" xr3:uid="{B1CCA67B-6830-4A85-B171-AA74B7F3A335}" uniqueName="6" name="E" queryTableFieldId="6"/>
    <tableColumn id="7" xr3:uid="{9A932B91-21B8-40C4-9624-4AE760A78907}" uniqueName="7" name="F" queryTableFieldId="7"/>
    <tableColumn id="8" xr3:uid="{464B0EDC-E9AE-4E75-A3F4-109C00771156}" uniqueName="8" name="G" queryTableFieldId="8"/>
    <tableColumn id="9" xr3:uid="{CF77BEC8-660C-4422-B4B5-5BA3F0BE176D}" uniqueName="9" name="H" queryTableFieldId="9"/>
    <tableColumn id="10" xr3:uid="{D925258F-F693-4859-9658-9A7B341B4518}" uniqueName="10" name="I" queryTableFieldId="10"/>
    <tableColumn id="11" xr3:uid="{CC1BECE6-046E-433C-8E5A-EF05ABFA8457}" uniqueName="11" name="J" queryTableFieldId="11"/>
    <tableColumn id="12" xr3:uid="{FB132F70-D418-4809-9DC6-702C56E04434}" uniqueName="12" name="K" queryTableFieldId="12"/>
    <tableColumn id="13" xr3:uid="{4E0B8F86-54CC-40AB-96DB-FF2FE088C14C}" uniqueName="13" name="L" queryTableFieldId="1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ED4BCF9-1858-4C13-8F9E-6CADE056A613}" name="historia5" displayName="historia5" ref="A1:M252" tableType="queryTable" totalsRowShown="0">
  <autoFilter ref="A1:M252" xr:uid="{BDA636AA-9B5E-4338-8998-5E70976F3D94}"/>
  <tableColumns count="13">
    <tableColumn id="1" xr3:uid="{890B9E81-FB8D-4FCE-98DC-353761D7AD8F}" uniqueName="1" name="Data" queryTableFieldId="1" dataDxfId="4"/>
    <tableColumn id="2" xr3:uid="{E5E122EB-F284-4660-A8F5-A0F66FA8D382}" uniqueName="2" name="A" queryTableFieldId="2"/>
    <tableColumn id="3" xr3:uid="{5AF1C0C3-1FE9-4750-916A-D04B138CB344}" uniqueName="3" name="B" queryTableFieldId="3"/>
    <tableColumn id="4" xr3:uid="{E1623467-237D-44CB-B211-1371B3B97EF3}" uniqueName="4" name="C" queryTableFieldId="4"/>
    <tableColumn id="5" xr3:uid="{08E0FCA8-EB9C-4BF2-A691-FFB987579E9C}" uniqueName="5" name="D" queryTableFieldId="5"/>
    <tableColumn id="6" xr3:uid="{2DB71720-5A01-450D-8253-E50501EA94DE}" uniqueName="6" name="E" queryTableFieldId="6"/>
    <tableColumn id="7" xr3:uid="{ED91C62F-469A-4E5D-B122-03E5310AEE89}" uniqueName="7" name="F" queryTableFieldId="7"/>
    <tableColumn id="8" xr3:uid="{10FD58EB-4751-48A9-8EA8-3C8753C0CA0C}" uniqueName="8" name="G" queryTableFieldId="8"/>
    <tableColumn id="9" xr3:uid="{19D23BD8-26FD-4CCB-B99C-EF5F551AEB50}" uniqueName="9" name="H" queryTableFieldId="9"/>
    <tableColumn id="10" xr3:uid="{0323F8B2-046F-46A7-BFF9-4C8F5706A4DB}" uniqueName="10" name="I" queryTableFieldId="10"/>
    <tableColumn id="11" xr3:uid="{53409675-B563-4849-BB86-EADEAE919EB8}" uniqueName="11" name="J" queryTableFieldId="11"/>
    <tableColumn id="12" xr3:uid="{972D2C37-813C-4D6D-B0E6-1298DC0DFBD7}" uniqueName="12" name="K" queryTableFieldId="12"/>
    <tableColumn id="13" xr3:uid="{950233AD-6E6B-4245-BA4C-AC265CED452F}" uniqueName="13" name="L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995F70C-81C7-4885-B410-9B2C20A29170}" name="historia6" displayName="historia6" ref="A1:M252" tableType="queryTable" totalsRowShown="0">
  <autoFilter ref="A1:M252" xr:uid="{BDA636AA-9B5E-4338-8998-5E70976F3D94}"/>
  <tableColumns count="13">
    <tableColumn id="1" xr3:uid="{C5FA8298-CC82-4030-8D3E-0BFC520A00DD}" uniqueName="1" name="Data" queryTableFieldId="1" dataDxfId="0"/>
    <tableColumn id="2" xr3:uid="{29327E51-D4D3-4E75-950B-BC6EAA5E6B19}" uniqueName="2" name="A" queryTableFieldId="2"/>
    <tableColumn id="3" xr3:uid="{6138885D-4A6B-4BF1-BCFC-CEF65E12BAC0}" uniqueName="3" name="B" queryTableFieldId="3"/>
    <tableColumn id="4" xr3:uid="{FEAB48B5-FCA7-4CB2-951B-B2BC61C00807}" uniqueName="4" name="C" queryTableFieldId="4"/>
    <tableColumn id="5" xr3:uid="{431CFC1A-AA5A-40D9-9026-8923DE36291F}" uniqueName="5" name="D" queryTableFieldId="5"/>
    <tableColumn id="6" xr3:uid="{28869FD2-3009-4658-A88C-9DFD58F9BE05}" uniqueName="6" name="E" queryTableFieldId="6"/>
    <tableColumn id="7" xr3:uid="{68E6A863-EC04-4F95-9D8B-4A71F5F3B977}" uniqueName="7" name="F" queryTableFieldId="7"/>
    <tableColumn id="8" xr3:uid="{B98DBCC4-F194-48D7-85B4-A8AB8FA3D2E2}" uniqueName="8" name="G" queryTableFieldId="8"/>
    <tableColumn id="9" xr3:uid="{6ED07767-BC47-4093-8076-0E91266F49EC}" uniqueName="9" name="H" queryTableFieldId="9"/>
    <tableColumn id="10" xr3:uid="{977FD5A4-D3ED-403C-B545-32CEE13DF05A}" uniqueName="10" name="I" queryTableFieldId="10"/>
    <tableColumn id="11" xr3:uid="{158CA0EA-1C1D-47E3-9E22-F6FB7D3DA536}" uniqueName="11" name="J" queryTableFieldId="11"/>
    <tableColumn id="12" xr3:uid="{2FFC5674-68F3-407E-B23A-7ABC485842D2}" uniqueName="12" name="K" queryTableFieldId="12"/>
    <tableColumn id="13" xr3:uid="{8D726944-01A4-4A3E-A419-DEA98C5E5435}" uniqueName="13" name="L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A636AA-9B5E-4338-8998-5E70976F3D94}" name="historia" displayName="historia" ref="A1:M252" tableType="queryTable" totalsRowShown="0">
  <autoFilter ref="A1:M252" xr:uid="{BDA636AA-9B5E-4338-8998-5E70976F3D94}"/>
  <tableColumns count="13">
    <tableColumn id="1" xr3:uid="{F924BDD3-FACD-4681-AF33-FCA1014101A5}" uniqueName="1" name="Data" queryTableFieldId="1" dataDxfId="3"/>
    <tableColumn id="2" xr3:uid="{E1185535-E366-448E-90BC-616C436A0EE9}" uniqueName="2" name="A" queryTableFieldId="2"/>
    <tableColumn id="3" xr3:uid="{D6E5223D-0B63-43AA-B9E3-71898F16C905}" uniqueName="3" name="B" queryTableFieldId="3"/>
    <tableColumn id="4" xr3:uid="{BACFFCEA-87A4-4D3A-A26F-30F35F4CE5A2}" uniqueName="4" name="C" queryTableFieldId="4"/>
    <tableColumn id="5" xr3:uid="{022951C3-1567-4545-ADB6-6929E752F2ED}" uniqueName="5" name="D" queryTableFieldId="5"/>
    <tableColumn id="6" xr3:uid="{6005FF22-5EE5-460C-91F1-17541447192D}" uniqueName="6" name="E" queryTableFieldId="6"/>
    <tableColumn id="7" xr3:uid="{BEE579B7-4A9F-4871-9BE0-CFB871EBE09A}" uniqueName="7" name="F" queryTableFieldId="7"/>
    <tableColumn id="8" xr3:uid="{57110648-5778-40F9-8130-F2F5E8B21BDA}" uniqueName="8" name="G" queryTableFieldId="8"/>
    <tableColumn id="9" xr3:uid="{9E727EC6-C499-4756-83DB-3A25481AC1CA}" uniqueName="9" name="H" queryTableFieldId="9"/>
    <tableColumn id="10" xr3:uid="{C0D05062-D829-4C33-A7A8-3DBDF959F108}" uniqueName="10" name="I" queryTableFieldId="10"/>
    <tableColumn id="11" xr3:uid="{02A5B4DF-F287-440F-B8AC-DB6846CF9BC0}" uniqueName="11" name="J" queryTableFieldId="11"/>
    <tableColumn id="12" xr3:uid="{20971363-51E2-456B-829C-A38A631B50A5}" uniqueName="12" name="K" queryTableFieldId="12"/>
    <tableColumn id="13" xr3:uid="{18B16D63-1827-412C-B69E-D31345094E73}" uniqueName="13" name="L" queryTableFieldId="1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65AD5-F7AA-48C7-86BD-9374FD674015}">
  <dimension ref="A1:M255"/>
  <sheetViews>
    <sheetView topLeftCell="A226" workbookViewId="0">
      <selection activeCell="A254" sqref="A254:M255"/>
    </sheetView>
  </sheetViews>
  <sheetFormatPr defaultRowHeight="15" x14ac:dyDescent="0.25"/>
  <cols>
    <col min="1" max="1" width="14.140625" bestFit="1" customWidth="1"/>
    <col min="2" max="9" width="11.140625" bestFit="1" customWidth="1"/>
    <col min="10" max="13" width="12.140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s="1">
        <v>39449</v>
      </c>
      <c r="B2">
        <v>50.9</v>
      </c>
      <c r="C2">
        <v>51.62</v>
      </c>
      <c r="D2">
        <v>53.12</v>
      </c>
      <c r="E2">
        <v>58.66</v>
      </c>
      <c r="F2">
        <v>58.96</v>
      </c>
      <c r="G2">
        <v>59.26</v>
      </c>
      <c r="H2">
        <v>48.15</v>
      </c>
      <c r="I2">
        <v>48.17</v>
      </c>
      <c r="J2">
        <v>48.19</v>
      </c>
      <c r="K2">
        <v>50.23</v>
      </c>
      <c r="L2">
        <v>50.23</v>
      </c>
      <c r="M2">
        <v>50.23</v>
      </c>
    </row>
    <row r="3" spans="1:13" x14ac:dyDescent="0.25">
      <c r="A3" s="1">
        <v>39450</v>
      </c>
      <c r="B3">
        <v>50.42</v>
      </c>
      <c r="C3">
        <v>51.13</v>
      </c>
      <c r="D3">
        <v>52.62</v>
      </c>
      <c r="E3">
        <v>57.92</v>
      </c>
      <c r="F3">
        <v>58.22</v>
      </c>
      <c r="G3">
        <v>58.51</v>
      </c>
      <c r="H3">
        <v>48.04</v>
      </c>
      <c r="I3">
        <v>48.06</v>
      </c>
      <c r="J3">
        <v>48.08</v>
      </c>
      <c r="K3">
        <v>50.07</v>
      </c>
      <c r="L3">
        <v>50.07</v>
      </c>
      <c r="M3">
        <v>50.07</v>
      </c>
    </row>
    <row r="4" spans="1:13" x14ac:dyDescent="0.25">
      <c r="A4" s="1">
        <v>39451</v>
      </c>
      <c r="B4">
        <v>49.68</v>
      </c>
      <c r="C4">
        <v>50.39</v>
      </c>
      <c r="D4">
        <v>51.85</v>
      </c>
      <c r="E4">
        <v>56.86</v>
      </c>
      <c r="F4">
        <v>57.15</v>
      </c>
      <c r="G4">
        <v>57.44</v>
      </c>
      <c r="H4">
        <v>47.14</v>
      </c>
      <c r="I4">
        <v>47.16</v>
      </c>
      <c r="J4">
        <v>47.17</v>
      </c>
      <c r="K4">
        <v>49.27</v>
      </c>
      <c r="L4">
        <v>49.28</v>
      </c>
      <c r="M4">
        <v>49.28</v>
      </c>
    </row>
    <row r="5" spans="1:13" x14ac:dyDescent="0.25">
      <c r="A5" s="1">
        <v>39454</v>
      </c>
      <c r="B5">
        <v>48.97</v>
      </c>
      <c r="C5">
        <v>49.66</v>
      </c>
      <c r="D5">
        <v>51.11</v>
      </c>
      <c r="E5">
        <v>56.19</v>
      </c>
      <c r="F5">
        <v>56.48</v>
      </c>
      <c r="G5">
        <v>56.77</v>
      </c>
      <c r="H5">
        <v>46.52</v>
      </c>
      <c r="I5">
        <v>46.54</v>
      </c>
      <c r="J5">
        <v>46.56</v>
      </c>
      <c r="K5">
        <v>48.25</v>
      </c>
      <c r="L5">
        <v>48.26</v>
      </c>
      <c r="M5">
        <v>48.26</v>
      </c>
    </row>
    <row r="6" spans="1:13" x14ac:dyDescent="0.25">
      <c r="A6" s="1">
        <v>39455</v>
      </c>
      <c r="B6">
        <v>49.17</v>
      </c>
      <c r="C6">
        <v>49.87</v>
      </c>
      <c r="D6">
        <v>51.32</v>
      </c>
      <c r="E6">
        <v>56.65</v>
      </c>
      <c r="F6">
        <v>56.94</v>
      </c>
      <c r="G6">
        <v>57.24</v>
      </c>
      <c r="H6">
        <v>46.76</v>
      </c>
      <c r="I6">
        <v>46.78</v>
      </c>
      <c r="J6">
        <v>46.8</v>
      </c>
      <c r="K6">
        <v>48.69</v>
      </c>
      <c r="L6">
        <v>48.69</v>
      </c>
      <c r="M6">
        <v>48.69</v>
      </c>
    </row>
    <row r="7" spans="1:13" x14ac:dyDescent="0.25">
      <c r="A7" s="1">
        <v>39456</v>
      </c>
      <c r="B7">
        <v>48.08</v>
      </c>
      <c r="C7">
        <v>48.76</v>
      </c>
      <c r="D7">
        <v>50.19</v>
      </c>
      <c r="E7">
        <v>55.41</v>
      </c>
      <c r="F7">
        <v>55.7</v>
      </c>
      <c r="G7">
        <v>55.99</v>
      </c>
      <c r="H7">
        <v>45.34</v>
      </c>
      <c r="I7">
        <v>45.36</v>
      </c>
      <c r="J7">
        <v>45.38</v>
      </c>
      <c r="K7">
        <v>47.85</v>
      </c>
      <c r="L7">
        <v>47.85</v>
      </c>
      <c r="M7">
        <v>47.86</v>
      </c>
    </row>
    <row r="8" spans="1:13" x14ac:dyDescent="0.25">
      <c r="A8" s="1">
        <v>39457</v>
      </c>
      <c r="B8">
        <v>46.78</v>
      </c>
      <c r="C8">
        <v>47.44</v>
      </c>
      <c r="D8">
        <v>48.83</v>
      </c>
      <c r="E8">
        <v>54.31</v>
      </c>
      <c r="F8">
        <v>54.59</v>
      </c>
      <c r="G8">
        <v>54.88</v>
      </c>
      <c r="H8">
        <v>44.44</v>
      </c>
      <c r="I8">
        <v>44.46</v>
      </c>
      <c r="J8">
        <v>44.48</v>
      </c>
      <c r="K8">
        <v>46.23</v>
      </c>
      <c r="L8">
        <v>46.23</v>
      </c>
      <c r="M8">
        <v>46.24</v>
      </c>
    </row>
    <row r="9" spans="1:13" x14ac:dyDescent="0.25">
      <c r="A9" s="1">
        <v>39458</v>
      </c>
      <c r="B9">
        <v>46.19</v>
      </c>
      <c r="C9">
        <v>46.85</v>
      </c>
      <c r="D9">
        <v>48.22</v>
      </c>
      <c r="E9">
        <v>53.47</v>
      </c>
      <c r="F9">
        <v>53.75</v>
      </c>
      <c r="G9">
        <v>54.03</v>
      </c>
      <c r="H9">
        <v>43.93</v>
      </c>
      <c r="I9">
        <v>43.95</v>
      </c>
      <c r="J9">
        <v>43.97</v>
      </c>
      <c r="K9">
        <v>45.58</v>
      </c>
      <c r="L9">
        <v>45.58</v>
      </c>
      <c r="M9">
        <v>45.59</v>
      </c>
    </row>
    <row r="10" spans="1:13" x14ac:dyDescent="0.25">
      <c r="A10" s="1">
        <v>39461</v>
      </c>
      <c r="B10">
        <v>45.92</v>
      </c>
      <c r="C10">
        <v>46.58</v>
      </c>
      <c r="D10">
        <v>47.94</v>
      </c>
      <c r="E10">
        <v>53.25</v>
      </c>
      <c r="F10">
        <v>53.53</v>
      </c>
      <c r="G10">
        <v>53.81</v>
      </c>
      <c r="H10">
        <v>44.11</v>
      </c>
      <c r="I10">
        <v>44.14</v>
      </c>
      <c r="J10">
        <v>44.16</v>
      </c>
      <c r="K10">
        <v>45.87</v>
      </c>
      <c r="L10">
        <v>45.88</v>
      </c>
      <c r="M10">
        <v>45.89</v>
      </c>
    </row>
    <row r="11" spans="1:13" x14ac:dyDescent="0.25">
      <c r="A11" s="1">
        <v>39462</v>
      </c>
      <c r="B11">
        <v>44.59</v>
      </c>
      <c r="C11">
        <v>45.23</v>
      </c>
      <c r="D11">
        <v>46.55</v>
      </c>
      <c r="E11">
        <v>51.61</v>
      </c>
      <c r="F11">
        <v>51.88</v>
      </c>
      <c r="G11">
        <v>52.15</v>
      </c>
      <c r="H11">
        <v>42.81</v>
      </c>
      <c r="I11">
        <v>42.83</v>
      </c>
      <c r="J11">
        <v>42.85</v>
      </c>
      <c r="K11">
        <v>44.67</v>
      </c>
      <c r="L11">
        <v>44.68</v>
      </c>
      <c r="M11">
        <v>44.68</v>
      </c>
    </row>
    <row r="12" spans="1:13" x14ac:dyDescent="0.25">
      <c r="A12" s="1">
        <v>39463</v>
      </c>
      <c r="B12">
        <v>42.88</v>
      </c>
      <c r="C12">
        <v>43.5</v>
      </c>
      <c r="D12">
        <v>44.77</v>
      </c>
      <c r="E12">
        <v>49.94</v>
      </c>
      <c r="F12">
        <v>50.2</v>
      </c>
      <c r="G12">
        <v>50.47</v>
      </c>
      <c r="H12">
        <v>41.38</v>
      </c>
      <c r="I12">
        <v>41.4</v>
      </c>
      <c r="J12">
        <v>41.42</v>
      </c>
      <c r="K12">
        <v>43.37</v>
      </c>
      <c r="L12">
        <v>43.37</v>
      </c>
      <c r="M12">
        <v>43.38</v>
      </c>
    </row>
    <row r="13" spans="1:13" x14ac:dyDescent="0.25">
      <c r="A13" s="1">
        <v>39464</v>
      </c>
      <c r="B13">
        <v>43.16</v>
      </c>
      <c r="C13">
        <v>43.78</v>
      </c>
      <c r="D13">
        <v>45.06</v>
      </c>
      <c r="E13">
        <v>49.84</v>
      </c>
      <c r="F13">
        <v>50.1</v>
      </c>
      <c r="G13">
        <v>50.37</v>
      </c>
      <c r="H13">
        <v>41.66</v>
      </c>
      <c r="I13">
        <v>41.69</v>
      </c>
      <c r="J13">
        <v>41.71</v>
      </c>
      <c r="K13">
        <v>43.31</v>
      </c>
      <c r="L13">
        <v>43.32</v>
      </c>
      <c r="M13">
        <v>43.32</v>
      </c>
    </row>
    <row r="14" spans="1:13" x14ac:dyDescent="0.25">
      <c r="A14" s="1">
        <v>39465</v>
      </c>
      <c r="B14">
        <v>43.58</v>
      </c>
      <c r="C14">
        <v>44.2</v>
      </c>
      <c r="D14">
        <v>45.5</v>
      </c>
      <c r="E14">
        <v>49.99</v>
      </c>
      <c r="F14">
        <v>50.26</v>
      </c>
      <c r="G14">
        <v>50.52</v>
      </c>
      <c r="H14">
        <v>41.64</v>
      </c>
      <c r="I14">
        <v>41.66</v>
      </c>
      <c r="J14">
        <v>41.68</v>
      </c>
      <c r="K14">
        <v>43.2</v>
      </c>
      <c r="L14">
        <v>43.21</v>
      </c>
      <c r="M14">
        <v>43.21</v>
      </c>
    </row>
    <row r="15" spans="1:13" x14ac:dyDescent="0.25">
      <c r="A15" s="1">
        <v>39468</v>
      </c>
      <c r="B15">
        <v>41.1</v>
      </c>
      <c r="C15">
        <v>41.69</v>
      </c>
      <c r="D15">
        <v>42.91</v>
      </c>
      <c r="E15">
        <v>47.03</v>
      </c>
      <c r="F15">
        <v>47.29</v>
      </c>
      <c r="G15">
        <v>47.54</v>
      </c>
      <c r="H15">
        <v>39.94</v>
      </c>
      <c r="I15">
        <v>39.97</v>
      </c>
      <c r="J15">
        <v>39.99</v>
      </c>
      <c r="K15">
        <v>40.54</v>
      </c>
      <c r="L15">
        <v>40.54</v>
      </c>
      <c r="M15">
        <v>40.549999999999997</v>
      </c>
    </row>
    <row r="16" spans="1:13" x14ac:dyDescent="0.25">
      <c r="A16" s="1">
        <v>39469</v>
      </c>
      <c r="B16">
        <v>41.76</v>
      </c>
      <c r="C16">
        <v>42.36</v>
      </c>
      <c r="D16">
        <v>43.61</v>
      </c>
      <c r="E16">
        <v>47.17</v>
      </c>
      <c r="F16">
        <v>47.43</v>
      </c>
      <c r="G16">
        <v>47.68</v>
      </c>
      <c r="H16">
        <v>41.17</v>
      </c>
      <c r="I16">
        <v>41.19</v>
      </c>
      <c r="J16">
        <v>41.22</v>
      </c>
      <c r="K16">
        <v>41.3</v>
      </c>
      <c r="L16">
        <v>41.31</v>
      </c>
      <c r="M16">
        <v>41.31</v>
      </c>
    </row>
    <row r="17" spans="1:13" x14ac:dyDescent="0.25">
      <c r="A17" s="1">
        <v>39470</v>
      </c>
      <c r="B17">
        <v>41.25</v>
      </c>
      <c r="C17">
        <v>41.84</v>
      </c>
      <c r="D17">
        <v>43.07</v>
      </c>
      <c r="E17">
        <v>45.83</v>
      </c>
      <c r="F17">
        <v>46.08</v>
      </c>
      <c r="G17">
        <v>46.32</v>
      </c>
      <c r="H17">
        <v>40.200000000000003</v>
      </c>
      <c r="I17">
        <v>40.22</v>
      </c>
      <c r="J17">
        <v>40.24</v>
      </c>
      <c r="K17">
        <v>40.35</v>
      </c>
      <c r="L17">
        <v>40.36</v>
      </c>
      <c r="M17">
        <v>40.36</v>
      </c>
    </row>
    <row r="18" spans="1:13" x14ac:dyDescent="0.25">
      <c r="A18" s="1">
        <v>39471</v>
      </c>
      <c r="B18">
        <v>43.34</v>
      </c>
      <c r="C18">
        <v>43.96</v>
      </c>
      <c r="D18">
        <v>45.25</v>
      </c>
      <c r="E18">
        <v>48.3</v>
      </c>
      <c r="F18">
        <v>48.56</v>
      </c>
      <c r="G18">
        <v>48.82</v>
      </c>
      <c r="H18">
        <v>42.27</v>
      </c>
      <c r="I18">
        <v>42.3</v>
      </c>
      <c r="J18">
        <v>42.32</v>
      </c>
      <c r="K18">
        <v>42.16</v>
      </c>
      <c r="L18">
        <v>42.16</v>
      </c>
      <c r="M18">
        <v>42.17</v>
      </c>
    </row>
    <row r="19" spans="1:13" x14ac:dyDescent="0.25">
      <c r="A19" s="1">
        <v>39472</v>
      </c>
      <c r="B19">
        <v>43.55</v>
      </c>
      <c r="C19">
        <v>44.18</v>
      </c>
      <c r="D19">
        <v>45.48</v>
      </c>
      <c r="E19">
        <v>48.55</v>
      </c>
      <c r="F19">
        <v>48.81</v>
      </c>
      <c r="G19">
        <v>49.07</v>
      </c>
      <c r="H19">
        <v>42.38</v>
      </c>
      <c r="I19">
        <v>42.4</v>
      </c>
      <c r="J19">
        <v>42.42</v>
      </c>
      <c r="K19">
        <v>43.26</v>
      </c>
      <c r="L19">
        <v>43.26</v>
      </c>
      <c r="M19">
        <v>43.27</v>
      </c>
    </row>
    <row r="20" spans="1:13" x14ac:dyDescent="0.25">
      <c r="A20" s="1">
        <v>39475</v>
      </c>
      <c r="B20">
        <v>42.51</v>
      </c>
      <c r="C20">
        <v>43.12</v>
      </c>
      <c r="D20">
        <v>44.39</v>
      </c>
      <c r="E20">
        <v>47.03</v>
      </c>
      <c r="F20">
        <v>47.29</v>
      </c>
      <c r="G20">
        <v>47.54</v>
      </c>
      <c r="H20">
        <v>41.19</v>
      </c>
      <c r="I20">
        <v>41.21</v>
      </c>
      <c r="J20">
        <v>41.23</v>
      </c>
      <c r="K20">
        <v>42.75</v>
      </c>
      <c r="L20">
        <v>42.76</v>
      </c>
      <c r="M20">
        <v>42.77</v>
      </c>
    </row>
    <row r="21" spans="1:13" x14ac:dyDescent="0.25">
      <c r="A21" s="1">
        <v>39476</v>
      </c>
      <c r="B21">
        <v>43.83</v>
      </c>
      <c r="C21">
        <v>44.46</v>
      </c>
      <c r="D21">
        <v>45.77</v>
      </c>
      <c r="E21">
        <v>48.04</v>
      </c>
      <c r="F21">
        <v>48.3</v>
      </c>
      <c r="G21">
        <v>48.56</v>
      </c>
      <c r="H21">
        <v>42.22</v>
      </c>
      <c r="I21">
        <v>42.25</v>
      </c>
      <c r="J21">
        <v>42.27</v>
      </c>
      <c r="K21">
        <v>43.88</v>
      </c>
      <c r="L21">
        <v>43.89</v>
      </c>
      <c r="M21">
        <v>43.9</v>
      </c>
    </row>
    <row r="22" spans="1:13" x14ac:dyDescent="0.25">
      <c r="A22" s="1">
        <v>39477</v>
      </c>
      <c r="B22">
        <v>43.65</v>
      </c>
      <c r="C22">
        <v>44.28</v>
      </c>
      <c r="D22">
        <v>45.59</v>
      </c>
      <c r="E22">
        <v>47.85</v>
      </c>
      <c r="F22">
        <v>48.11</v>
      </c>
      <c r="G22">
        <v>48.37</v>
      </c>
      <c r="H22">
        <v>42.07</v>
      </c>
      <c r="I22">
        <v>42.1</v>
      </c>
      <c r="J22">
        <v>42.12</v>
      </c>
      <c r="K22">
        <v>43.39</v>
      </c>
      <c r="L22">
        <v>43.4</v>
      </c>
      <c r="M22">
        <v>43.41</v>
      </c>
    </row>
    <row r="23" spans="1:13" x14ac:dyDescent="0.25">
      <c r="A23" s="1">
        <v>39478</v>
      </c>
      <c r="B23">
        <v>43.03</v>
      </c>
      <c r="C23">
        <v>43.65</v>
      </c>
      <c r="D23">
        <v>44.94</v>
      </c>
      <c r="E23">
        <v>47.2</v>
      </c>
      <c r="F23">
        <v>47.46</v>
      </c>
      <c r="G23">
        <v>47.72</v>
      </c>
      <c r="H23">
        <v>41.88</v>
      </c>
      <c r="I23">
        <v>41.91</v>
      </c>
      <c r="J23">
        <v>41.93</v>
      </c>
      <c r="K23">
        <v>43.21</v>
      </c>
      <c r="L23">
        <v>43.22</v>
      </c>
      <c r="M23">
        <v>43.23</v>
      </c>
    </row>
    <row r="24" spans="1:13" x14ac:dyDescent="0.25">
      <c r="A24" s="1">
        <v>39479</v>
      </c>
      <c r="B24">
        <v>44.01</v>
      </c>
      <c r="C24">
        <v>44.65</v>
      </c>
      <c r="D24">
        <v>45.97</v>
      </c>
      <c r="E24">
        <v>48.27</v>
      </c>
      <c r="F24">
        <v>48.54</v>
      </c>
      <c r="G24">
        <v>48.81</v>
      </c>
      <c r="H24">
        <v>42.49</v>
      </c>
      <c r="I24">
        <v>42.52</v>
      </c>
      <c r="J24">
        <v>42.54</v>
      </c>
      <c r="K24">
        <v>43.85</v>
      </c>
      <c r="L24">
        <v>43.86</v>
      </c>
      <c r="M24">
        <v>43.87</v>
      </c>
    </row>
    <row r="25" spans="1:13" x14ac:dyDescent="0.25">
      <c r="A25" s="1">
        <v>39482</v>
      </c>
      <c r="B25">
        <v>44.4</v>
      </c>
      <c r="C25">
        <v>45.05</v>
      </c>
      <c r="D25">
        <v>46.38</v>
      </c>
      <c r="E25">
        <v>48.75</v>
      </c>
      <c r="F25">
        <v>49.02</v>
      </c>
      <c r="G25">
        <v>49.29</v>
      </c>
      <c r="H25">
        <v>42.52</v>
      </c>
      <c r="I25">
        <v>42.55</v>
      </c>
      <c r="J25">
        <v>42.58</v>
      </c>
      <c r="K25">
        <v>44.19</v>
      </c>
      <c r="L25">
        <v>44.21</v>
      </c>
      <c r="M25">
        <v>44.22</v>
      </c>
    </row>
    <row r="26" spans="1:13" x14ac:dyDescent="0.25">
      <c r="A26" s="1">
        <v>39483</v>
      </c>
      <c r="B26">
        <v>43.18</v>
      </c>
      <c r="C26">
        <v>43.81</v>
      </c>
      <c r="D26">
        <v>45.1</v>
      </c>
      <c r="E26">
        <v>47.53</v>
      </c>
      <c r="F26">
        <v>47.79</v>
      </c>
      <c r="G26">
        <v>48.06</v>
      </c>
      <c r="H26">
        <v>41.3</v>
      </c>
      <c r="I26">
        <v>41.33</v>
      </c>
      <c r="J26">
        <v>41.35</v>
      </c>
      <c r="K26">
        <v>43.02</v>
      </c>
      <c r="L26">
        <v>43.03</v>
      </c>
      <c r="M26">
        <v>43.05</v>
      </c>
    </row>
    <row r="27" spans="1:13" x14ac:dyDescent="0.25">
      <c r="A27" s="1">
        <v>39484</v>
      </c>
      <c r="B27">
        <v>43.2</v>
      </c>
      <c r="C27">
        <v>43.83</v>
      </c>
      <c r="D27">
        <v>45.12</v>
      </c>
      <c r="E27">
        <v>47.57</v>
      </c>
      <c r="F27">
        <v>47.84</v>
      </c>
      <c r="G27">
        <v>48.1</v>
      </c>
      <c r="H27">
        <v>41.47</v>
      </c>
      <c r="I27">
        <v>41.49</v>
      </c>
      <c r="J27">
        <v>41.52</v>
      </c>
      <c r="K27">
        <v>43.05</v>
      </c>
      <c r="L27">
        <v>43.07</v>
      </c>
      <c r="M27">
        <v>43.08</v>
      </c>
    </row>
    <row r="28" spans="1:13" x14ac:dyDescent="0.25">
      <c r="A28" s="1">
        <v>39485</v>
      </c>
      <c r="B28">
        <v>42.52</v>
      </c>
      <c r="C28">
        <v>43.14</v>
      </c>
      <c r="D28">
        <v>44.42</v>
      </c>
      <c r="E28">
        <v>46.34</v>
      </c>
      <c r="F28">
        <v>46.59</v>
      </c>
      <c r="G28">
        <v>46.85</v>
      </c>
      <c r="H28">
        <v>40.75</v>
      </c>
      <c r="I28">
        <v>40.78</v>
      </c>
      <c r="J28">
        <v>40.799999999999997</v>
      </c>
      <c r="K28">
        <v>42.15</v>
      </c>
      <c r="L28">
        <v>42.16</v>
      </c>
      <c r="M28">
        <v>42.18</v>
      </c>
    </row>
    <row r="29" spans="1:13" x14ac:dyDescent="0.25">
      <c r="A29" s="1">
        <v>39486</v>
      </c>
      <c r="B29">
        <v>42.68</v>
      </c>
      <c r="C29">
        <v>43.3</v>
      </c>
      <c r="D29">
        <v>44.59</v>
      </c>
      <c r="E29">
        <v>46.39</v>
      </c>
      <c r="F29">
        <v>46.65</v>
      </c>
      <c r="G29">
        <v>46.91</v>
      </c>
      <c r="H29">
        <v>41.23</v>
      </c>
      <c r="I29">
        <v>41.26</v>
      </c>
      <c r="J29">
        <v>41.29</v>
      </c>
      <c r="K29">
        <v>42.51</v>
      </c>
      <c r="L29">
        <v>42.52</v>
      </c>
      <c r="M29">
        <v>42.53</v>
      </c>
    </row>
    <row r="30" spans="1:13" x14ac:dyDescent="0.25">
      <c r="A30" s="1">
        <v>39489</v>
      </c>
      <c r="B30">
        <v>42.79</v>
      </c>
      <c r="C30">
        <v>43.42</v>
      </c>
      <c r="D30">
        <v>44.71</v>
      </c>
      <c r="E30">
        <v>46.06</v>
      </c>
      <c r="F30">
        <v>46.32</v>
      </c>
      <c r="G30">
        <v>46.58</v>
      </c>
      <c r="H30">
        <v>41.18</v>
      </c>
      <c r="I30">
        <v>41.2</v>
      </c>
      <c r="J30">
        <v>41.23</v>
      </c>
      <c r="K30">
        <v>42.75</v>
      </c>
      <c r="L30">
        <v>42.76</v>
      </c>
      <c r="M30">
        <v>42.78</v>
      </c>
    </row>
    <row r="31" spans="1:13" x14ac:dyDescent="0.25">
      <c r="A31" s="1">
        <v>39490</v>
      </c>
      <c r="B31">
        <v>44.11</v>
      </c>
      <c r="C31">
        <v>44.76</v>
      </c>
      <c r="D31">
        <v>46.09</v>
      </c>
      <c r="E31">
        <v>47.61</v>
      </c>
      <c r="F31">
        <v>47.87</v>
      </c>
      <c r="G31">
        <v>48.14</v>
      </c>
      <c r="H31">
        <v>42.26</v>
      </c>
      <c r="I31">
        <v>42.29</v>
      </c>
      <c r="J31">
        <v>42.32</v>
      </c>
      <c r="K31">
        <v>44.33</v>
      </c>
      <c r="L31">
        <v>44.34</v>
      </c>
      <c r="M31">
        <v>44.35</v>
      </c>
    </row>
    <row r="32" spans="1:13" x14ac:dyDescent="0.25">
      <c r="A32" s="1">
        <v>39491</v>
      </c>
      <c r="B32">
        <v>44.67</v>
      </c>
      <c r="C32">
        <v>45.33</v>
      </c>
      <c r="D32">
        <v>46.68</v>
      </c>
      <c r="E32">
        <v>48.56</v>
      </c>
      <c r="F32">
        <v>48.84</v>
      </c>
      <c r="G32">
        <v>49.11</v>
      </c>
      <c r="H32">
        <v>42.56</v>
      </c>
      <c r="I32">
        <v>42.59</v>
      </c>
      <c r="J32">
        <v>42.62</v>
      </c>
      <c r="K32">
        <v>44.82</v>
      </c>
      <c r="L32">
        <v>44.83</v>
      </c>
      <c r="M32">
        <v>44.85</v>
      </c>
    </row>
    <row r="33" spans="1:13" x14ac:dyDescent="0.25">
      <c r="A33" s="1">
        <v>39492</v>
      </c>
      <c r="B33">
        <v>45.01</v>
      </c>
      <c r="C33">
        <v>45.68</v>
      </c>
      <c r="D33">
        <v>47.03</v>
      </c>
      <c r="E33">
        <v>49.05</v>
      </c>
      <c r="F33">
        <v>49.33</v>
      </c>
      <c r="G33">
        <v>49.61</v>
      </c>
      <c r="H33">
        <v>42.84</v>
      </c>
      <c r="I33">
        <v>42.87</v>
      </c>
      <c r="J33">
        <v>42.9</v>
      </c>
      <c r="K33">
        <v>45.1</v>
      </c>
      <c r="L33">
        <v>45.11</v>
      </c>
      <c r="M33">
        <v>45.13</v>
      </c>
    </row>
    <row r="34" spans="1:13" x14ac:dyDescent="0.25">
      <c r="A34" s="1">
        <v>39493</v>
      </c>
      <c r="B34">
        <v>44.4</v>
      </c>
      <c r="C34">
        <v>45.05</v>
      </c>
      <c r="D34">
        <v>46.39</v>
      </c>
      <c r="E34">
        <v>48.22</v>
      </c>
      <c r="F34">
        <v>48.49</v>
      </c>
      <c r="G34">
        <v>48.77</v>
      </c>
      <c r="H34">
        <v>42.04</v>
      </c>
      <c r="I34">
        <v>42.07</v>
      </c>
      <c r="J34">
        <v>42.1</v>
      </c>
      <c r="K34">
        <v>44.49</v>
      </c>
      <c r="L34">
        <v>44.5</v>
      </c>
      <c r="M34">
        <v>44.52</v>
      </c>
    </row>
    <row r="35" spans="1:13" x14ac:dyDescent="0.25">
      <c r="A35" s="1">
        <v>39496</v>
      </c>
      <c r="B35">
        <v>45.37</v>
      </c>
      <c r="C35">
        <v>46.04</v>
      </c>
      <c r="D35">
        <v>47.41</v>
      </c>
      <c r="E35">
        <v>49.07</v>
      </c>
      <c r="F35">
        <v>49.35</v>
      </c>
      <c r="G35">
        <v>49.64</v>
      </c>
      <c r="H35">
        <v>42.95</v>
      </c>
      <c r="I35">
        <v>42.98</v>
      </c>
      <c r="J35">
        <v>43.01</v>
      </c>
      <c r="K35">
        <v>45.07</v>
      </c>
      <c r="L35">
        <v>45.09</v>
      </c>
      <c r="M35">
        <v>45.1</v>
      </c>
    </row>
    <row r="36" spans="1:13" x14ac:dyDescent="0.25">
      <c r="A36" s="1">
        <v>39497</v>
      </c>
      <c r="B36">
        <v>45.37</v>
      </c>
      <c r="C36">
        <v>46.04</v>
      </c>
      <c r="D36">
        <v>47.41</v>
      </c>
      <c r="E36">
        <v>49.28</v>
      </c>
      <c r="F36">
        <v>49.56</v>
      </c>
      <c r="G36">
        <v>49.85</v>
      </c>
      <c r="H36">
        <v>43.06</v>
      </c>
      <c r="I36">
        <v>43.09</v>
      </c>
      <c r="J36">
        <v>43.12</v>
      </c>
      <c r="K36">
        <v>45.18</v>
      </c>
      <c r="L36">
        <v>45.19</v>
      </c>
      <c r="M36">
        <v>45.21</v>
      </c>
    </row>
    <row r="37" spans="1:13" x14ac:dyDescent="0.25">
      <c r="A37" s="1">
        <v>39498</v>
      </c>
      <c r="B37">
        <v>45.07</v>
      </c>
      <c r="C37">
        <v>45.73</v>
      </c>
      <c r="D37">
        <v>47.09</v>
      </c>
      <c r="E37">
        <v>48.96</v>
      </c>
      <c r="F37">
        <v>49.24</v>
      </c>
      <c r="G37">
        <v>49.52</v>
      </c>
      <c r="H37">
        <v>42.83</v>
      </c>
      <c r="I37">
        <v>42.86</v>
      </c>
      <c r="J37">
        <v>42.89</v>
      </c>
      <c r="K37">
        <v>44.7</v>
      </c>
      <c r="L37">
        <v>44.72</v>
      </c>
      <c r="M37">
        <v>44.73</v>
      </c>
    </row>
    <row r="38" spans="1:13" x14ac:dyDescent="0.25">
      <c r="A38" s="1">
        <v>39499</v>
      </c>
      <c r="B38">
        <v>45.11</v>
      </c>
      <c r="C38">
        <v>45.78</v>
      </c>
      <c r="D38">
        <v>47.15</v>
      </c>
      <c r="E38">
        <v>49.28</v>
      </c>
      <c r="F38">
        <v>49.57</v>
      </c>
      <c r="G38">
        <v>49.85</v>
      </c>
      <c r="H38">
        <v>42.91</v>
      </c>
      <c r="I38">
        <v>42.95</v>
      </c>
      <c r="J38">
        <v>42.98</v>
      </c>
      <c r="K38">
        <v>44.91</v>
      </c>
      <c r="L38">
        <v>44.93</v>
      </c>
      <c r="M38">
        <v>44.95</v>
      </c>
    </row>
    <row r="39" spans="1:13" x14ac:dyDescent="0.25">
      <c r="A39" s="1">
        <v>39500</v>
      </c>
      <c r="B39">
        <v>44.58</v>
      </c>
      <c r="C39">
        <v>45.24</v>
      </c>
      <c r="D39">
        <v>46.59</v>
      </c>
      <c r="E39">
        <v>48.83</v>
      </c>
      <c r="F39">
        <v>49.12</v>
      </c>
      <c r="G39">
        <v>49.4</v>
      </c>
      <c r="H39">
        <v>42.52</v>
      </c>
      <c r="I39">
        <v>42.56</v>
      </c>
      <c r="J39">
        <v>42.59</v>
      </c>
      <c r="K39">
        <v>44.56</v>
      </c>
      <c r="L39">
        <v>44.58</v>
      </c>
      <c r="M39">
        <v>44.6</v>
      </c>
    </row>
    <row r="40" spans="1:13" x14ac:dyDescent="0.25">
      <c r="A40" s="1">
        <v>39503</v>
      </c>
      <c r="B40">
        <v>44.63</v>
      </c>
      <c r="C40">
        <v>45.3</v>
      </c>
      <c r="D40">
        <v>46.65</v>
      </c>
      <c r="E40">
        <v>48.95</v>
      </c>
      <c r="F40">
        <v>49.24</v>
      </c>
      <c r="G40">
        <v>49.52</v>
      </c>
      <c r="H40">
        <v>42.63</v>
      </c>
      <c r="I40">
        <v>42.66</v>
      </c>
      <c r="J40">
        <v>42.69</v>
      </c>
      <c r="K40">
        <v>45.2</v>
      </c>
      <c r="L40">
        <v>45.23</v>
      </c>
      <c r="M40">
        <v>45.25</v>
      </c>
    </row>
    <row r="41" spans="1:13" x14ac:dyDescent="0.25">
      <c r="A41" s="1">
        <v>39504</v>
      </c>
      <c r="B41">
        <v>44.36</v>
      </c>
      <c r="C41">
        <v>45.02</v>
      </c>
      <c r="D41">
        <v>46.36</v>
      </c>
      <c r="E41">
        <v>49.17</v>
      </c>
      <c r="F41">
        <v>49.46</v>
      </c>
      <c r="G41">
        <v>49.75</v>
      </c>
      <c r="H41">
        <v>42.7</v>
      </c>
      <c r="I41">
        <v>42.73</v>
      </c>
      <c r="J41">
        <v>42.77</v>
      </c>
      <c r="K41">
        <v>45.07</v>
      </c>
      <c r="L41">
        <v>45.09</v>
      </c>
      <c r="M41">
        <v>45.11</v>
      </c>
    </row>
    <row r="42" spans="1:13" x14ac:dyDescent="0.25">
      <c r="A42" s="1">
        <v>39505</v>
      </c>
      <c r="B42">
        <v>44.44</v>
      </c>
      <c r="C42">
        <v>45.1</v>
      </c>
      <c r="D42">
        <v>46.44</v>
      </c>
      <c r="E42">
        <v>49.26</v>
      </c>
      <c r="F42">
        <v>49.55</v>
      </c>
      <c r="G42">
        <v>49.84</v>
      </c>
      <c r="H42">
        <v>42.86</v>
      </c>
      <c r="I42">
        <v>42.9</v>
      </c>
      <c r="J42">
        <v>42.93</v>
      </c>
      <c r="K42">
        <v>45.13</v>
      </c>
      <c r="L42">
        <v>45.15</v>
      </c>
      <c r="M42">
        <v>45.18</v>
      </c>
    </row>
    <row r="43" spans="1:13" x14ac:dyDescent="0.25">
      <c r="A43" s="1">
        <v>39506</v>
      </c>
      <c r="B43">
        <v>44.03</v>
      </c>
      <c r="C43">
        <v>44.68</v>
      </c>
      <c r="D43">
        <v>46.02</v>
      </c>
      <c r="E43">
        <v>48.39</v>
      </c>
      <c r="F43">
        <v>48.67</v>
      </c>
      <c r="G43">
        <v>48.96</v>
      </c>
      <c r="H43">
        <v>42.08</v>
      </c>
      <c r="I43">
        <v>42.11</v>
      </c>
      <c r="J43">
        <v>42.15</v>
      </c>
      <c r="K43">
        <v>44.73</v>
      </c>
      <c r="L43">
        <v>44.75</v>
      </c>
      <c r="M43">
        <v>44.77</v>
      </c>
    </row>
    <row r="44" spans="1:13" x14ac:dyDescent="0.25">
      <c r="A44" s="1">
        <v>39507</v>
      </c>
      <c r="B44">
        <v>43.32</v>
      </c>
      <c r="C44">
        <v>43.97</v>
      </c>
      <c r="D44">
        <v>45.28</v>
      </c>
      <c r="E44">
        <v>47.45</v>
      </c>
      <c r="F44">
        <v>47.73</v>
      </c>
      <c r="G44">
        <v>48.01</v>
      </c>
      <c r="H44">
        <v>41.25</v>
      </c>
      <c r="I44">
        <v>41.28</v>
      </c>
      <c r="J44">
        <v>41.31</v>
      </c>
      <c r="K44">
        <v>43.75</v>
      </c>
      <c r="L44">
        <v>43.77</v>
      </c>
      <c r="M44">
        <v>43.79</v>
      </c>
    </row>
    <row r="45" spans="1:13" x14ac:dyDescent="0.25">
      <c r="A45" s="1">
        <v>39510</v>
      </c>
      <c r="B45">
        <v>42.22</v>
      </c>
      <c r="C45">
        <v>42.86</v>
      </c>
      <c r="D45">
        <v>44.14</v>
      </c>
      <c r="E45">
        <v>45.87</v>
      </c>
      <c r="F45">
        <v>46.14</v>
      </c>
      <c r="G45">
        <v>46.42</v>
      </c>
      <c r="H45">
        <v>40.28</v>
      </c>
      <c r="I45">
        <v>40.31</v>
      </c>
      <c r="J45">
        <v>40.340000000000003</v>
      </c>
      <c r="K45">
        <v>43.32</v>
      </c>
      <c r="L45">
        <v>43.34</v>
      </c>
      <c r="M45">
        <v>43.37</v>
      </c>
    </row>
    <row r="46" spans="1:13" x14ac:dyDescent="0.25">
      <c r="A46" s="1">
        <v>39511</v>
      </c>
      <c r="B46">
        <v>41.3</v>
      </c>
      <c r="C46">
        <v>41.92</v>
      </c>
      <c r="D46">
        <v>43.17</v>
      </c>
      <c r="E46">
        <v>44.9</v>
      </c>
      <c r="F46">
        <v>45.17</v>
      </c>
      <c r="G46">
        <v>45.43</v>
      </c>
      <c r="H46">
        <v>39.340000000000003</v>
      </c>
      <c r="I46">
        <v>39.369999999999997</v>
      </c>
      <c r="J46">
        <v>39.4</v>
      </c>
      <c r="K46">
        <v>42.92</v>
      </c>
      <c r="L46">
        <v>42.94</v>
      </c>
      <c r="M46">
        <v>42.97</v>
      </c>
    </row>
    <row r="47" spans="1:13" x14ac:dyDescent="0.25">
      <c r="A47" s="1">
        <v>39512</v>
      </c>
      <c r="B47">
        <v>42.07</v>
      </c>
      <c r="C47">
        <v>42.7</v>
      </c>
      <c r="D47">
        <v>43.98</v>
      </c>
      <c r="E47">
        <v>45.77</v>
      </c>
      <c r="F47">
        <v>46.04</v>
      </c>
      <c r="G47">
        <v>46.32</v>
      </c>
      <c r="H47">
        <v>40.340000000000003</v>
      </c>
      <c r="I47">
        <v>40.369999999999997</v>
      </c>
      <c r="J47">
        <v>40.409999999999997</v>
      </c>
      <c r="K47">
        <v>43.89</v>
      </c>
      <c r="L47">
        <v>43.92</v>
      </c>
      <c r="M47">
        <v>43.94</v>
      </c>
    </row>
    <row r="48" spans="1:13" x14ac:dyDescent="0.25">
      <c r="A48" s="1">
        <v>39513</v>
      </c>
      <c r="B48">
        <v>41.48</v>
      </c>
      <c r="C48">
        <v>42.1</v>
      </c>
      <c r="D48">
        <v>43.37</v>
      </c>
      <c r="E48">
        <v>45.06</v>
      </c>
      <c r="F48">
        <v>45.33</v>
      </c>
      <c r="G48">
        <v>45.6</v>
      </c>
      <c r="H48">
        <v>39.65</v>
      </c>
      <c r="I48">
        <v>39.68</v>
      </c>
      <c r="J48">
        <v>39.71</v>
      </c>
      <c r="K48">
        <v>43.62</v>
      </c>
      <c r="L48">
        <v>43.65</v>
      </c>
      <c r="M48">
        <v>43.67</v>
      </c>
    </row>
    <row r="49" spans="1:13" x14ac:dyDescent="0.25">
      <c r="A49" s="1">
        <v>39514</v>
      </c>
      <c r="B49">
        <v>40.880000000000003</v>
      </c>
      <c r="C49">
        <v>41.49</v>
      </c>
      <c r="D49">
        <v>42.73</v>
      </c>
      <c r="E49">
        <v>44.22</v>
      </c>
      <c r="F49">
        <v>44.48</v>
      </c>
      <c r="G49">
        <v>44.75</v>
      </c>
      <c r="H49">
        <v>39.19</v>
      </c>
      <c r="I49">
        <v>39.22</v>
      </c>
      <c r="J49">
        <v>39.25</v>
      </c>
      <c r="K49">
        <v>42.79</v>
      </c>
      <c r="L49">
        <v>42.82</v>
      </c>
      <c r="M49">
        <v>42.84</v>
      </c>
    </row>
    <row r="50" spans="1:13" x14ac:dyDescent="0.25">
      <c r="A50" s="1">
        <v>39517</v>
      </c>
      <c r="B50">
        <v>41.14</v>
      </c>
      <c r="C50">
        <v>41.76</v>
      </c>
      <c r="D50">
        <v>43.01</v>
      </c>
      <c r="E50">
        <v>43.98</v>
      </c>
      <c r="F50">
        <v>44.25</v>
      </c>
      <c r="G50">
        <v>44.51</v>
      </c>
      <c r="H50">
        <v>39.299999999999997</v>
      </c>
      <c r="I50">
        <v>39.33</v>
      </c>
      <c r="J50">
        <v>39.369999999999997</v>
      </c>
      <c r="K50">
        <v>41.98</v>
      </c>
      <c r="L50">
        <v>42.01</v>
      </c>
      <c r="M50">
        <v>42.03</v>
      </c>
    </row>
    <row r="51" spans="1:13" x14ac:dyDescent="0.25">
      <c r="A51" s="1">
        <v>39518</v>
      </c>
      <c r="B51">
        <v>41.97</v>
      </c>
      <c r="C51">
        <v>42.6</v>
      </c>
      <c r="D51">
        <v>43.88</v>
      </c>
      <c r="E51">
        <v>45.05</v>
      </c>
      <c r="F51">
        <v>45.32</v>
      </c>
      <c r="G51">
        <v>45.59</v>
      </c>
      <c r="H51">
        <v>40.04</v>
      </c>
      <c r="I51">
        <v>40.07</v>
      </c>
      <c r="J51">
        <v>40.1</v>
      </c>
      <c r="K51">
        <v>42.72</v>
      </c>
      <c r="L51">
        <v>42.75</v>
      </c>
      <c r="M51">
        <v>42.78</v>
      </c>
    </row>
    <row r="52" spans="1:13" x14ac:dyDescent="0.25">
      <c r="A52" s="1">
        <v>39519</v>
      </c>
      <c r="B52">
        <v>42.52</v>
      </c>
      <c r="C52">
        <v>43.16</v>
      </c>
      <c r="D52">
        <v>44.46</v>
      </c>
      <c r="E52">
        <v>45.73</v>
      </c>
      <c r="F52">
        <v>46</v>
      </c>
      <c r="G52">
        <v>46.28</v>
      </c>
      <c r="H52">
        <v>40.22</v>
      </c>
      <c r="I52">
        <v>40.26</v>
      </c>
      <c r="J52">
        <v>40.29</v>
      </c>
      <c r="K52">
        <v>42.93</v>
      </c>
      <c r="L52">
        <v>42.95</v>
      </c>
      <c r="M52">
        <v>42.98</v>
      </c>
    </row>
    <row r="53" spans="1:13" x14ac:dyDescent="0.25">
      <c r="A53" s="1">
        <v>39520</v>
      </c>
      <c r="B53">
        <v>41.29</v>
      </c>
      <c r="C53">
        <v>41.91</v>
      </c>
      <c r="D53">
        <v>43.17</v>
      </c>
      <c r="E53">
        <v>44.34</v>
      </c>
      <c r="F53">
        <v>44.61</v>
      </c>
      <c r="G53">
        <v>44.88</v>
      </c>
      <c r="H53">
        <v>39.270000000000003</v>
      </c>
      <c r="I53">
        <v>39.299999999999997</v>
      </c>
      <c r="J53">
        <v>39.340000000000003</v>
      </c>
      <c r="K53">
        <v>42.58</v>
      </c>
      <c r="L53">
        <v>42.61</v>
      </c>
      <c r="M53">
        <v>42.63</v>
      </c>
    </row>
    <row r="54" spans="1:13" x14ac:dyDescent="0.25">
      <c r="A54" s="1">
        <v>39521</v>
      </c>
      <c r="B54">
        <v>40.97</v>
      </c>
      <c r="C54">
        <v>41.59</v>
      </c>
      <c r="D54">
        <v>42.84</v>
      </c>
      <c r="E54">
        <v>44.12</v>
      </c>
      <c r="F54">
        <v>44.38</v>
      </c>
      <c r="G54">
        <v>44.65</v>
      </c>
      <c r="H54">
        <v>39.15</v>
      </c>
      <c r="I54">
        <v>39.19</v>
      </c>
      <c r="J54">
        <v>39.22</v>
      </c>
      <c r="K54">
        <v>42.15</v>
      </c>
      <c r="L54">
        <v>42.18</v>
      </c>
      <c r="M54">
        <v>42.21</v>
      </c>
    </row>
    <row r="55" spans="1:13" x14ac:dyDescent="0.25">
      <c r="A55" s="1">
        <v>39524</v>
      </c>
      <c r="B55">
        <v>39.299999999999997</v>
      </c>
      <c r="C55">
        <v>39.89</v>
      </c>
      <c r="D55">
        <v>41.1</v>
      </c>
      <c r="E55">
        <v>41.65</v>
      </c>
      <c r="F55">
        <v>41.91</v>
      </c>
      <c r="G55">
        <v>42.16</v>
      </c>
      <c r="H55">
        <v>37.58</v>
      </c>
      <c r="I55">
        <v>37.619999999999997</v>
      </c>
      <c r="J55">
        <v>37.65</v>
      </c>
      <c r="K55">
        <v>40.35</v>
      </c>
      <c r="L55">
        <v>40.380000000000003</v>
      </c>
      <c r="M55">
        <v>40.409999999999997</v>
      </c>
    </row>
    <row r="56" spans="1:13" x14ac:dyDescent="0.25">
      <c r="A56" s="1">
        <v>39525</v>
      </c>
      <c r="B56">
        <v>40.57</v>
      </c>
      <c r="C56">
        <v>41.18</v>
      </c>
      <c r="D56">
        <v>42.43</v>
      </c>
      <c r="E56">
        <v>42.77</v>
      </c>
      <c r="F56">
        <v>43.03</v>
      </c>
      <c r="G56">
        <v>43.29</v>
      </c>
      <c r="H56">
        <v>38.6</v>
      </c>
      <c r="I56">
        <v>38.630000000000003</v>
      </c>
      <c r="J56">
        <v>38.67</v>
      </c>
      <c r="K56">
        <v>41.03</v>
      </c>
      <c r="L56">
        <v>41.06</v>
      </c>
      <c r="M56">
        <v>41.09</v>
      </c>
    </row>
    <row r="57" spans="1:13" x14ac:dyDescent="0.25">
      <c r="A57" s="1">
        <v>39526</v>
      </c>
      <c r="B57">
        <v>40.700000000000003</v>
      </c>
      <c r="C57">
        <v>41.32</v>
      </c>
      <c r="D57">
        <v>42.57</v>
      </c>
      <c r="E57">
        <v>42.88</v>
      </c>
      <c r="F57">
        <v>43.14</v>
      </c>
      <c r="G57">
        <v>43.41</v>
      </c>
      <c r="H57">
        <v>38.71</v>
      </c>
      <c r="I57">
        <v>38.75</v>
      </c>
      <c r="J57">
        <v>38.79</v>
      </c>
      <c r="K57">
        <v>40.29</v>
      </c>
      <c r="L57">
        <v>40.32</v>
      </c>
      <c r="M57">
        <v>40.35</v>
      </c>
    </row>
    <row r="58" spans="1:13" x14ac:dyDescent="0.25">
      <c r="A58" s="1">
        <v>39527</v>
      </c>
      <c r="B58">
        <v>40.07</v>
      </c>
      <c r="C58">
        <v>40.68</v>
      </c>
      <c r="D58">
        <v>41.91</v>
      </c>
      <c r="E58">
        <v>42.67</v>
      </c>
      <c r="F58">
        <v>42.93</v>
      </c>
      <c r="G58">
        <v>43.19</v>
      </c>
      <c r="H58">
        <v>38.520000000000003</v>
      </c>
      <c r="I58">
        <v>38.56</v>
      </c>
      <c r="J58">
        <v>38.590000000000003</v>
      </c>
      <c r="K58">
        <v>39.46</v>
      </c>
      <c r="L58">
        <v>39.49</v>
      </c>
      <c r="M58">
        <v>39.520000000000003</v>
      </c>
    </row>
    <row r="59" spans="1:13" x14ac:dyDescent="0.25">
      <c r="A59" s="1">
        <v>39532</v>
      </c>
      <c r="B59">
        <v>41.31</v>
      </c>
      <c r="C59">
        <v>41.94</v>
      </c>
      <c r="D59">
        <v>43.21</v>
      </c>
      <c r="E59">
        <v>43.98</v>
      </c>
      <c r="F59">
        <v>44.25</v>
      </c>
      <c r="G59">
        <v>44.53</v>
      </c>
      <c r="H59">
        <v>39.869999999999997</v>
      </c>
      <c r="I59">
        <v>39.909999999999997</v>
      </c>
      <c r="J59">
        <v>39.950000000000003</v>
      </c>
      <c r="K59">
        <v>40.659999999999997</v>
      </c>
      <c r="L59">
        <v>40.700000000000003</v>
      </c>
      <c r="M59">
        <v>40.729999999999997</v>
      </c>
    </row>
    <row r="60" spans="1:13" x14ac:dyDescent="0.25">
      <c r="A60" s="1">
        <v>39533</v>
      </c>
      <c r="B60">
        <v>41.42</v>
      </c>
      <c r="C60">
        <v>42.05</v>
      </c>
      <c r="D60">
        <v>43.33</v>
      </c>
      <c r="E60">
        <v>43.4</v>
      </c>
      <c r="F60">
        <v>43.67</v>
      </c>
      <c r="G60">
        <v>43.95</v>
      </c>
      <c r="H60">
        <v>39.68</v>
      </c>
      <c r="I60">
        <v>39.72</v>
      </c>
      <c r="J60">
        <v>39.75</v>
      </c>
      <c r="K60">
        <v>41.17</v>
      </c>
      <c r="L60">
        <v>41.21</v>
      </c>
      <c r="M60">
        <v>41.24</v>
      </c>
    </row>
    <row r="61" spans="1:13" x14ac:dyDescent="0.25">
      <c r="A61" s="1">
        <v>39534</v>
      </c>
      <c r="B61">
        <v>42.07</v>
      </c>
      <c r="C61">
        <v>42.71</v>
      </c>
      <c r="D61">
        <v>44</v>
      </c>
      <c r="E61">
        <v>44.15</v>
      </c>
      <c r="F61">
        <v>44.43</v>
      </c>
      <c r="G61">
        <v>44.71</v>
      </c>
      <c r="H61">
        <v>40.17</v>
      </c>
      <c r="I61">
        <v>40.21</v>
      </c>
      <c r="J61">
        <v>40.25</v>
      </c>
      <c r="K61">
        <v>42.29</v>
      </c>
      <c r="L61">
        <v>42.33</v>
      </c>
      <c r="M61">
        <v>42.36</v>
      </c>
    </row>
    <row r="62" spans="1:13" x14ac:dyDescent="0.25">
      <c r="A62" s="1">
        <v>39535</v>
      </c>
      <c r="B62">
        <v>42.03</v>
      </c>
      <c r="C62">
        <v>42.68</v>
      </c>
      <c r="D62">
        <v>43.97</v>
      </c>
      <c r="E62">
        <v>43.97</v>
      </c>
      <c r="F62">
        <v>44.25</v>
      </c>
      <c r="G62">
        <v>44.53</v>
      </c>
      <c r="H62">
        <v>40.18</v>
      </c>
      <c r="I62">
        <v>40.22</v>
      </c>
      <c r="J62">
        <v>40.26</v>
      </c>
      <c r="K62">
        <v>42.49</v>
      </c>
      <c r="L62">
        <v>42.53</v>
      </c>
      <c r="M62">
        <v>42.57</v>
      </c>
    </row>
    <row r="63" spans="1:13" x14ac:dyDescent="0.25">
      <c r="A63" s="1">
        <v>39538</v>
      </c>
      <c r="B63">
        <v>41.69</v>
      </c>
      <c r="C63">
        <v>42.33</v>
      </c>
      <c r="D63">
        <v>43.62</v>
      </c>
      <c r="E63">
        <v>42.98</v>
      </c>
      <c r="F63">
        <v>43.26</v>
      </c>
      <c r="G63">
        <v>43.53</v>
      </c>
      <c r="H63">
        <v>39.6</v>
      </c>
      <c r="I63">
        <v>39.64</v>
      </c>
      <c r="J63">
        <v>39.68</v>
      </c>
      <c r="K63">
        <v>42.35</v>
      </c>
      <c r="L63">
        <v>42.39</v>
      </c>
      <c r="M63">
        <v>42.43</v>
      </c>
    </row>
    <row r="64" spans="1:13" x14ac:dyDescent="0.25">
      <c r="A64" s="1">
        <v>39539</v>
      </c>
      <c r="B64">
        <v>42.45</v>
      </c>
      <c r="C64">
        <v>43.1</v>
      </c>
      <c r="D64">
        <v>44.41</v>
      </c>
      <c r="E64">
        <v>44.04</v>
      </c>
      <c r="F64">
        <v>44.32</v>
      </c>
      <c r="G64">
        <v>44.6</v>
      </c>
      <c r="H64">
        <v>40.58</v>
      </c>
      <c r="I64">
        <v>40.619999999999997</v>
      </c>
      <c r="J64">
        <v>40.659999999999997</v>
      </c>
      <c r="K64">
        <v>43.2</v>
      </c>
      <c r="L64">
        <v>43.24</v>
      </c>
      <c r="M64">
        <v>43.28</v>
      </c>
    </row>
    <row r="65" spans="1:13" x14ac:dyDescent="0.25">
      <c r="A65" s="1">
        <v>39540</v>
      </c>
      <c r="B65">
        <v>42.7</v>
      </c>
      <c r="C65">
        <v>43.36</v>
      </c>
      <c r="D65">
        <v>44.68</v>
      </c>
      <c r="E65">
        <v>44.9</v>
      </c>
      <c r="F65">
        <v>45.19</v>
      </c>
      <c r="G65">
        <v>45.48</v>
      </c>
      <c r="H65">
        <v>41.2</v>
      </c>
      <c r="I65">
        <v>41.24</v>
      </c>
      <c r="J65">
        <v>41.28</v>
      </c>
      <c r="K65">
        <v>42.94</v>
      </c>
      <c r="L65">
        <v>42.98</v>
      </c>
      <c r="M65">
        <v>43.02</v>
      </c>
    </row>
    <row r="66" spans="1:13" x14ac:dyDescent="0.25">
      <c r="A66" s="1">
        <v>39541</v>
      </c>
      <c r="B66">
        <v>42.28</v>
      </c>
      <c r="C66">
        <v>42.93</v>
      </c>
      <c r="D66">
        <v>44.24</v>
      </c>
      <c r="E66">
        <v>44.14</v>
      </c>
      <c r="F66">
        <v>44.42</v>
      </c>
      <c r="G66">
        <v>44.7</v>
      </c>
      <c r="H66">
        <v>40.56</v>
      </c>
      <c r="I66">
        <v>40.6</v>
      </c>
      <c r="J66">
        <v>40.64</v>
      </c>
      <c r="K66">
        <v>43.04</v>
      </c>
      <c r="L66">
        <v>43.08</v>
      </c>
      <c r="M66">
        <v>43.12</v>
      </c>
    </row>
    <row r="67" spans="1:13" x14ac:dyDescent="0.25">
      <c r="A67" s="1">
        <v>39542</v>
      </c>
      <c r="B67">
        <v>42.72</v>
      </c>
      <c r="C67">
        <v>43.38</v>
      </c>
      <c r="D67">
        <v>44.7</v>
      </c>
      <c r="E67">
        <v>44.33</v>
      </c>
      <c r="F67">
        <v>44.61</v>
      </c>
      <c r="G67">
        <v>44.9</v>
      </c>
      <c r="H67">
        <v>40.64</v>
      </c>
      <c r="I67">
        <v>40.68</v>
      </c>
      <c r="J67">
        <v>40.729999999999997</v>
      </c>
      <c r="K67">
        <v>43.57</v>
      </c>
      <c r="L67">
        <v>43.62</v>
      </c>
      <c r="M67">
        <v>43.66</v>
      </c>
    </row>
    <row r="68" spans="1:13" x14ac:dyDescent="0.25">
      <c r="A68" s="1">
        <v>39545</v>
      </c>
      <c r="B68">
        <v>43.05</v>
      </c>
      <c r="C68">
        <v>43.71</v>
      </c>
      <c r="D68">
        <v>45.04</v>
      </c>
      <c r="E68">
        <v>45.11</v>
      </c>
      <c r="F68">
        <v>45.4</v>
      </c>
      <c r="G68">
        <v>45.69</v>
      </c>
      <c r="H68">
        <v>40.9</v>
      </c>
      <c r="I68">
        <v>40.94</v>
      </c>
      <c r="J68">
        <v>40.98</v>
      </c>
      <c r="K68">
        <v>43.99</v>
      </c>
      <c r="L68">
        <v>44.03</v>
      </c>
      <c r="M68">
        <v>44.08</v>
      </c>
    </row>
    <row r="69" spans="1:13" x14ac:dyDescent="0.25">
      <c r="A69" s="1">
        <v>39546</v>
      </c>
      <c r="B69">
        <v>42.74</v>
      </c>
      <c r="C69">
        <v>43.4</v>
      </c>
      <c r="D69">
        <v>44.73</v>
      </c>
      <c r="E69">
        <v>44.73</v>
      </c>
      <c r="F69">
        <v>45.02</v>
      </c>
      <c r="G69">
        <v>45.31</v>
      </c>
      <c r="H69">
        <v>40.53</v>
      </c>
      <c r="I69">
        <v>40.58</v>
      </c>
      <c r="J69">
        <v>40.619999999999997</v>
      </c>
      <c r="K69">
        <v>43.59</v>
      </c>
      <c r="L69">
        <v>43.64</v>
      </c>
      <c r="M69">
        <v>43.68</v>
      </c>
    </row>
    <row r="70" spans="1:13" x14ac:dyDescent="0.25">
      <c r="A70" s="1">
        <v>39547</v>
      </c>
      <c r="B70">
        <v>42.91</v>
      </c>
      <c r="C70">
        <v>43.57</v>
      </c>
      <c r="D70">
        <v>44.9</v>
      </c>
      <c r="E70">
        <v>44.76</v>
      </c>
      <c r="F70">
        <v>45.05</v>
      </c>
      <c r="G70">
        <v>45.34</v>
      </c>
      <c r="H70">
        <v>40.53</v>
      </c>
      <c r="I70">
        <v>40.57</v>
      </c>
      <c r="J70">
        <v>40.61</v>
      </c>
      <c r="K70">
        <v>43.3</v>
      </c>
      <c r="L70">
        <v>43.34</v>
      </c>
      <c r="M70">
        <v>43.39</v>
      </c>
    </row>
    <row r="71" spans="1:13" x14ac:dyDescent="0.25">
      <c r="A71" s="1">
        <v>39548</v>
      </c>
      <c r="B71">
        <v>42.27</v>
      </c>
      <c r="C71">
        <v>42.92</v>
      </c>
      <c r="D71">
        <v>44.23</v>
      </c>
      <c r="E71">
        <v>43.61</v>
      </c>
      <c r="F71">
        <v>43.89</v>
      </c>
      <c r="G71">
        <v>44.17</v>
      </c>
      <c r="H71">
        <v>39.729999999999997</v>
      </c>
      <c r="I71">
        <v>39.770000000000003</v>
      </c>
      <c r="J71">
        <v>39.82</v>
      </c>
      <c r="K71">
        <v>42.99</v>
      </c>
      <c r="L71">
        <v>43.04</v>
      </c>
      <c r="M71">
        <v>43.08</v>
      </c>
    </row>
    <row r="72" spans="1:13" x14ac:dyDescent="0.25">
      <c r="A72" s="1">
        <v>39549</v>
      </c>
      <c r="B72">
        <v>41.55</v>
      </c>
      <c r="C72">
        <v>42.2</v>
      </c>
      <c r="D72">
        <v>43.49</v>
      </c>
      <c r="E72">
        <v>42.91</v>
      </c>
      <c r="F72">
        <v>43.19</v>
      </c>
      <c r="G72">
        <v>43.47</v>
      </c>
      <c r="H72">
        <v>38.979999999999997</v>
      </c>
      <c r="I72">
        <v>39.03</v>
      </c>
      <c r="J72">
        <v>39.07</v>
      </c>
      <c r="K72">
        <v>42.51</v>
      </c>
      <c r="L72">
        <v>42.56</v>
      </c>
      <c r="M72">
        <v>42.6</v>
      </c>
    </row>
    <row r="73" spans="1:13" x14ac:dyDescent="0.25">
      <c r="A73" s="1">
        <v>39552</v>
      </c>
      <c r="B73">
        <v>41.12</v>
      </c>
      <c r="C73">
        <v>41.76</v>
      </c>
      <c r="D73">
        <v>43.03</v>
      </c>
      <c r="E73">
        <v>42.57</v>
      </c>
      <c r="F73">
        <v>42.84</v>
      </c>
      <c r="G73">
        <v>43.12</v>
      </c>
      <c r="H73">
        <v>38.85</v>
      </c>
      <c r="I73">
        <v>38.89</v>
      </c>
      <c r="J73">
        <v>38.94</v>
      </c>
      <c r="K73">
        <v>42.36</v>
      </c>
      <c r="L73">
        <v>42.41</v>
      </c>
      <c r="M73">
        <v>42.46</v>
      </c>
    </row>
    <row r="74" spans="1:13" x14ac:dyDescent="0.25">
      <c r="A74" s="1">
        <v>39553</v>
      </c>
      <c r="B74">
        <v>41.25</v>
      </c>
      <c r="C74">
        <v>41.89</v>
      </c>
      <c r="D74">
        <v>43.17</v>
      </c>
      <c r="E74">
        <v>42.63</v>
      </c>
      <c r="F74">
        <v>42.91</v>
      </c>
      <c r="G74">
        <v>43.19</v>
      </c>
      <c r="H74">
        <v>38.770000000000003</v>
      </c>
      <c r="I74">
        <v>38.81</v>
      </c>
      <c r="J74">
        <v>38.85</v>
      </c>
      <c r="K74">
        <v>42.53</v>
      </c>
      <c r="L74">
        <v>42.58</v>
      </c>
      <c r="M74">
        <v>42.63</v>
      </c>
    </row>
    <row r="75" spans="1:13" x14ac:dyDescent="0.25">
      <c r="A75" s="1">
        <v>39554</v>
      </c>
      <c r="B75">
        <v>41.43</v>
      </c>
      <c r="C75">
        <v>42.07</v>
      </c>
      <c r="D75">
        <v>43.36</v>
      </c>
      <c r="E75">
        <v>42.94</v>
      </c>
      <c r="F75">
        <v>43.22</v>
      </c>
      <c r="G75">
        <v>43.51</v>
      </c>
      <c r="H75">
        <v>39.26</v>
      </c>
      <c r="I75">
        <v>39.31</v>
      </c>
      <c r="J75">
        <v>39.35</v>
      </c>
      <c r="K75">
        <v>43.37</v>
      </c>
      <c r="L75">
        <v>43.42</v>
      </c>
      <c r="M75">
        <v>43.47</v>
      </c>
    </row>
    <row r="76" spans="1:13" x14ac:dyDescent="0.25">
      <c r="A76" s="1">
        <v>39555</v>
      </c>
      <c r="B76">
        <v>41.35</v>
      </c>
      <c r="C76">
        <v>42</v>
      </c>
      <c r="D76">
        <v>43.28</v>
      </c>
      <c r="E76">
        <v>42.94</v>
      </c>
      <c r="F76">
        <v>43.22</v>
      </c>
      <c r="G76">
        <v>43.51</v>
      </c>
      <c r="H76">
        <v>39.39</v>
      </c>
      <c r="I76">
        <v>39.43</v>
      </c>
      <c r="J76">
        <v>39.479999999999997</v>
      </c>
      <c r="K76">
        <v>43.31</v>
      </c>
      <c r="L76">
        <v>43.36</v>
      </c>
      <c r="M76">
        <v>43.41</v>
      </c>
    </row>
    <row r="77" spans="1:13" x14ac:dyDescent="0.25">
      <c r="A77" s="1">
        <v>39556</v>
      </c>
      <c r="B77">
        <v>41.88</v>
      </c>
      <c r="C77">
        <v>42.53</v>
      </c>
      <c r="D77">
        <v>43.83</v>
      </c>
      <c r="E77">
        <v>43.65</v>
      </c>
      <c r="F77">
        <v>43.93</v>
      </c>
      <c r="G77">
        <v>44.22</v>
      </c>
      <c r="H77">
        <v>39.869999999999997</v>
      </c>
      <c r="I77">
        <v>39.92</v>
      </c>
      <c r="J77">
        <v>39.96</v>
      </c>
      <c r="K77">
        <v>43.99</v>
      </c>
      <c r="L77">
        <v>44.04</v>
      </c>
      <c r="M77">
        <v>44.09</v>
      </c>
    </row>
    <row r="78" spans="1:13" x14ac:dyDescent="0.25">
      <c r="A78" s="1">
        <v>39559</v>
      </c>
      <c r="B78">
        <v>41.61</v>
      </c>
      <c r="C78">
        <v>42.25</v>
      </c>
      <c r="D78">
        <v>43.55</v>
      </c>
      <c r="E78">
        <v>43.29</v>
      </c>
      <c r="F78">
        <v>43.57</v>
      </c>
      <c r="G78">
        <v>43.86</v>
      </c>
      <c r="H78">
        <v>39.36</v>
      </c>
      <c r="I78">
        <v>39.409999999999997</v>
      </c>
      <c r="J78">
        <v>39.450000000000003</v>
      </c>
      <c r="K78">
        <v>43.82</v>
      </c>
      <c r="L78">
        <v>43.87</v>
      </c>
      <c r="M78">
        <v>43.92</v>
      </c>
    </row>
    <row r="79" spans="1:13" x14ac:dyDescent="0.25">
      <c r="A79" s="1">
        <v>39560</v>
      </c>
      <c r="B79">
        <v>41.11</v>
      </c>
      <c r="C79">
        <v>41.75</v>
      </c>
      <c r="D79">
        <v>43.04</v>
      </c>
      <c r="E79">
        <v>42.97</v>
      </c>
      <c r="F79">
        <v>43.25</v>
      </c>
      <c r="G79">
        <v>43.54</v>
      </c>
      <c r="H79">
        <v>39</v>
      </c>
      <c r="I79">
        <v>39.04</v>
      </c>
      <c r="J79">
        <v>39.090000000000003</v>
      </c>
      <c r="K79">
        <v>43.84</v>
      </c>
      <c r="L79">
        <v>43.9</v>
      </c>
      <c r="M79">
        <v>43.95</v>
      </c>
    </row>
    <row r="80" spans="1:13" x14ac:dyDescent="0.25">
      <c r="A80" s="1">
        <v>39561</v>
      </c>
      <c r="B80">
        <v>40.97</v>
      </c>
      <c r="C80">
        <v>41.61</v>
      </c>
      <c r="D80">
        <v>42.89</v>
      </c>
      <c r="E80">
        <v>43</v>
      </c>
      <c r="F80">
        <v>43.28</v>
      </c>
      <c r="G80">
        <v>43.57</v>
      </c>
      <c r="H80">
        <v>38.97</v>
      </c>
      <c r="I80">
        <v>39.01</v>
      </c>
      <c r="J80">
        <v>39.06</v>
      </c>
      <c r="K80">
        <v>44.35</v>
      </c>
      <c r="L80">
        <v>44.41</v>
      </c>
      <c r="M80">
        <v>44.46</v>
      </c>
    </row>
    <row r="81" spans="1:13" x14ac:dyDescent="0.25">
      <c r="A81" s="1">
        <v>39562</v>
      </c>
      <c r="B81">
        <v>41.43</v>
      </c>
      <c r="C81">
        <v>42.08</v>
      </c>
      <c r="D81">
        <v>43.37</v>
      </c>
      <c r="E81">
        <v>43.34</v>
      </c>
      <c r="F81">
        <v>43.63</v>
      </c>
      <c r="G81">
        <v>43.92</v>
      </c>
      <c r="H81">
        <v>39.14</v>
      </c>
      <c r="I81">
        <v>39.19</v>
      </c>
      <c r="J81">
        <v>39.229999999999997</v>
      </c>
      <c r="K81">
        <v>44.7</v>
      </c>
      <c r="L81">
        <v>44.76</v>
      </c>
      <c r="M81">
        <v>44.82</v>
      </c>
    </row>
    <row r="82" spans="1:13" x14ac:dyDescent="0.25">
      <c r="A82" s="1">
        <v>39563</v>
      </c>
      <c r="B82">
        <v>41.87</v>
      </c>
      <c r="C82">
        <v>42.52</v>
      </c>
      <c r="D82">
        <v>43.83</v>
      </c>
      <c r="E82">
        <v>44.07</v>
      </c>
      <c r="F82">
        <v>44.36</v>
      </c>
      <c r="G82">
        <v>44.65</v>
      </c>
      <c r="H82">
        <v>39.869999999999997</v>
      </c>
      <c r="I82">
        <v>39.909999999999997</v>
      </c>
      <c r="J82">
        <v>39.96</v>
      </c>
      <c r="K82">
        <v>45.26</v>
      </c>
      <c r="L82">
        <v>45.32</v>
      </c>
      <c r="M82">
        <v>45.38</v>
      </c>
    </row>
    <row r="83" spans="1:13" x14ac:dyDescent="0.25">
      <c r="A83" s="1">
        <v>39566</v>
      </c>
      <c r="B83">
        <v>42.27</v>
      </c>
      <c r="C83">
        <v>42.94</v>
      </c>
      <c r="D83">
        <v>44.26</v>
      </c>
      <c r="E83">
        <v>44.71</v>
      </c>
      <c r="F83">
        <v>45.01</v>
      </c>
      <c r="G83">
        <v>45.31</v>
      </c>
      <c r="H83">
        <v>40.57</v>
      </c>
      <c r="I83">
        <v>40.619999999999997</v>
      </c>
      <c r="J83">
        <v>40.659999999999997</v>
      </c>
      <c r="K83">
        <v>45.57</v>
      </c>
      <c r="L83">
        <v>45.63</v>
      </c>
      <c r="M83">
        <v>45.69</v>
      </c>
    </row>
    <row r="84" spans="1:13" x14ac:dyDescent="0.25">
      <c r="A84" s="1">
        <v>39567</v>
      </c>
      <c r="B84">
        <v>41.91</v>
      </c>
      <c r="C84">
        <v>42.57</v>
      </c>
      <c r="D84">
        <v>43.88</v>
      </c>
      <c r="E84">
        <v>44.67</v>
      </c>
      <c r="F84">
        <v>44.97</v>
      </c>
      <c r="G84">
        <v>45.27</v>
      </c>
      <c r="H84">
        <v>40.33</v>
      </c>
      <c r="I84">
        <v>40.380000000000003</v>
      </c>
      <c r="J84">
        <v>40.43</v>
      </c>
      <c r="K84">
        <v>45.05</v>
      </c>
      <c r="L84">
        <v>45.12</v>
      </c>
      <c r="M84">
        <v>45.17</v>
      </c>
    </row>
    <row r="85" spans="1:13" x14ac:dyDescent="0.25">
      <c r="A85" s="1">
        <v>39568</v>
      </c>
      <c r="B85">
        <v>42.33</v>
      </c>
      <c r="C85">
        <v>43</v>
      </c>
      <c r="D85">
        <v>44.32</v>
      </c>
      <c r="E85">
        <v>45.39</v>
      </c>
      <c r="F85">
        <v>45.69</v>
      </c>
      <c r="G85">
        <v>46</v>
      </c>
      <c r="H85">
        <v>40.94</v>
      </c>
      <c r="I85">
        <v>40.99</v>
      </c>
      <c r="J85">
        <v>41.03</v>
      </c>
      <c r="K85">
        <v>45.5</v>
      </c>
      <c r="L85">
        <v>45.56</v>
      </c>
      <c r="M85">
        <v>45.62</v>
      </c>
    </row>
    <row r="86" spans="1:13" x14ac:dyDescent="0.25">
      <c r="A86" s="1">
        <v>39573</v>
      </c>
      <c r="B86">
        <v>43.02</v>
      </c>
      <c r="C86">
        <v>43.7</v>
      </c>
      <c r="D86">
        <v>45.05</v>
      </c>
      <c r="E86">
        <v>46.23</v>
      </c>
      <c r="F86">
        <v>46.55</v>
      </c>
      <c r="G86">
        <v>46.86</v>
      </c>
      <c r="H86">
        <v>41.78</v>
      </c>
      <c r="I86">
        <v>41.83</v>
      </c>
      <c r="J86">
        <v>41.88</v>
      </c>
      <c r="K86">
        <v>45.74</v>
      </c>
      <c r="L86">
        <v>45.81</v>
      </c>
      <c r="M86">
        <v>45.87</v>
      </c>
    </row>
    <row r="87" spans="1:13" x14ac:dyDescent="0.25">
      <c r="A87" s="1">
        <v>39574</v>
      </c>
      <c r="B87">
        <v>42.98</v>
      </c>
      <c r="C87">
        <v>43.66</v>
      </c>
      <c r="D87">
        <v>45.01</v>
      </c>
      <c r="E87">
        <v>46.03</v>
      </c>
      <c r="F87">
        <v>46.34</v>
      </c>
      <c r="G87">
        <v>46.65</v>
      </c>
      <c r="H87">
        <v>41.35</v>
      </c>
      <c r="I87">
        <v>41.4</v>
      </c>
      <c r="J87">
        <v>41.45</v>
      </c>
      <c r="K87">
        <v>45.59</v>
      </c>
      <c r="L87">
        <v>45.66</v>
      </c>
      <c r="M87">
        <v>45.72</v>
      </c>
    </row>
    <row r="88" spans="1:13" x14ac:dyDescent="0.25">
      <c r="A88" s="1">
        <v>39575</v>
      </c>
      <c r="B88">
        <v>43.51</v>
      </c>
      <c r="C88">
        <v>44.2</v>
      </c>
      <c r="D88">
        <v>45.57</v>
      </c>
      <c r="E88">
        <v>46.66</v>
      </c>
      <c r="F88">
        <v>46.98</v>
      </c>
      <c r="G88">
        <v>47.3</v>
      </c>
      <c r="H88">
        <v>42.19</v>
      </c>
      <c r="I88">
        <v>42.24</v>
      </c>
      <c r="J88">
        <v>42.29</v>
      </c>
      <c r="K88">
        <v>45.99</v>
      </c>
      <c r="L88">
        <v>46.05</v>
      </c>
      <c r="M88">
        <v>46.12</v>
      </c>
    </row>
    <row r="89" spans="1:13" x14ac:dyDescent="0.25">
      <c r="A89" s="1">
        <v>39576</v>
      </c>
      <c r="B89">
        <v>42.98</v>
      </c>
      <c r="C89">
        <v>43.66</v>
      </c>
      <c r="D89">
        <v>45.01</v>
      </c>
      <c r="E89">
        <v>45.75</v>
      </c>
      <c r="F89">
        <v>46.06</v>
      </c>
      <c r="G89">
        <v>46.38</v>
      </c>
      <c r="H89">
        <v>41.31</v>
      </c>
      <c r="I89">
        <v>41.37</v>
      </c>
      <c r="J89">
        <v>41.42</v>
      </c>
      <c r="K89">
        <v>46.52</v>
      </c>
      <c r="L89">
        <v>46.59</v>
      </c>
      <c r="M89">
        <v>46.65</v>
      </c>
    </row>
    <row r="90" spans="1:13" x14ac:dyDescent="0.25">
      <c r="A90" s="1">
        <v>39577</v>
      </c>
      <c r="B90">
        <v>42.66</v>
      </c>
      <c r="C90">
        <v>43.33</v>
      </c>
      <c r="D90">
        <v>44.67</v>
      </c>
      <c r="E90">
        <v>45.23</v>
      </c>
      <c r="F90">
        <v>45.54</v>
      </c>
      <c r="G90">
        <v>45.85</v>
      </c>
      <c r="H90">
        <v>40.97</v>
      </c>
      <c r="I90">
        <v>41.02</v>
      </c>
      <c r="J90">
        <v>41.07</v>
      </c>
      <c r="K90">
        <v>46.27</v>
      </c>
      <c r="L90">
        <v>46.34</v>
      </c>
      <c r="M90">
        <v>46.41</v>
      </c>
    </row>
    <row r="91" spans="1:13" x14ac:dyDescent="0.25">
      <c r="A91" s="1">
        <v>39580</v>
      </c>
      <c r="B91">
        <v>42.78</v>
      </c>
      <c r="C91">
        <v>43.46</v>
      </c>
      <c r="D91">
        <v>44.81</v>
      </c>
      <c r="E91">
        <v>45.13</v>
      </c>
      <c r="F91">
        <v>45.45</v>
      </c>
      <c r="G91">
        <v>45.76</v>
      </c>
      <c r="H91">
        <v>40.85</v>
      </c>
      <c r="I91">
        <v>40.9</v>
      </c>
      <c r="J91">
        <v>40.950000000000003</v>
      </c>
      <c r="K91">
        <v>46.2</v>
      </c>
      <c r="L91">
        <v>46.27</v>
      </c>
      <c r="M91">
        <v>46.34</v>
      </c>
    </row>
    <row r="92" spans="1:13" x14ac:dyDescent="0.25">
      <c r="A92" s="1">
        <v>39581</v>
      </c>
      <c r="B92">
        <v>42.88</v>
      </c>
      <c r="C92">
        <v>43.56</v>
      </c>
      <c r="D92">
        <v>44.91</v>
      </c>
      <c r="E92">
        <v>45.37</v>
      </c>
      <c r="F92">
        <v>45.69</v>
      </c>
      <c r="G92">
        <v>46</v>
      </c>
      <c r="H92">
        <v>41.08</v>
      </c>
      <c r="I92">
        <v>41.13</v>
      </c>
      <c r="J92">
        <v>41.19</v>
      </c>
      <c r="K92">
        <v>46.6</v>
      </c>
      <c r="L92">
        <v>46.67</v>
      </c>
      <c r="M92">
        <v>46.74</v>
      </c>
    </row>
    <row r="93" spans="1:13" x14ac:dyDescent="0.25">
      <c r="A93" s="1">
        <v>39582</v>
      </c>
      <c r="B93">
        <v>43.41</v>
      </c>
      <c r="C93">
        <v>44.1</v>
      </c>
      <c r="D93">
        <v>45.46</v>
      </c>
      <c r="E93">
        <v>45.93</v>
      </c>
      <c r="F93">
        <v>46.25</v>
      </c>
      <c r="G93">
        <v>46.57</v>
      </c>
      <c r="H93">
        <v>41.55</v>
      </c>
      <c r="I93">
        <v>41.61</v>
      </c>
      <c r="J93">
        <v>41.66</v>
      </c>
      <c r="K93">
        <v>47.13</v>
      </c>
      <c r="L93">
        <v>47.2</v>
      </c>
      <c r="M93">
        <v>47.27</v>
      </c>
    </row>
    <row r="94" spans="1:13" x14ac:dyDescent="0.25">
      <c r="A94" s="1">
        <v>39583</v>
      </c>
      <c r="B94">
        <v>43.07</v>
      </c>
      <c r="C94">
        <v>43.75</v>
      </c>
      <c r="D94">
        <v>45.11</v>
      </c>
      <c r="E94">
        <v>45.98</v>
      </c>
      <c r="F94">
        <v>46.29</v>
      </c>
      <c r="G94">
        <v>46.62</v>
      </c>
      <c r="H94">
        <v>41.35</v>
      </c>
      <c r="I94">
        <v>41.4</v>
      </c>
      <c r="J94">
        <v>41.46</v>
      </c>
      <c r="K94">
        <v>47.65</v>
      </c>
      <c r="L94">
        <v>47.72</v>
      </c>
      <c r="M94">
        <v>47.79</v>
      </c>
    </row>
    <row r="95" spans="1:13" x14ac:dyDescent="0.25">
      <c r="A95" s="1">
        <v>39584</v>
      </c>
      <c r="B95">
        <v>43.41</v>
      </c>
      <c r="C95">
        <v>44.11</v>
      </c>
      <c r="D95">
        <v>45.48</v>
      </c>
      <c r="E95">
        <v>46.76</v>
      </c>
      <c r="F95">
        <v>47.09</v>
      </c>
      <c r="G95">
        <v>47.41</v>
      </c>
      <c r="H95">
        <v>41.66</v>
      </c>
      <c r="I95">
        <v>41.71</v>
      </c>
      <c r="J95">
        <v>41.76</v>
      </c>
      <c r="K95">
        <v>48.35</v>
      </c>
      <c r="L95">
        <v>48.42</v>
      </c>
      <c r="M95">
        <v>48.5</v>
      </c>
    </row>
    <row r="96" spans="1:13" x14ac:dyDescent="0.25">
      <c r="A96" s="1">
        <v>39587</v>
      </c>
      <c r="B96">
        <v>43.25</v>
      </c>
      <c r="C96">
        <v>43.95</v>
      </c>
      <c r="D96">
        <v>45.31</v>
      </c>
      <c r="E96">
        <v>46.91</v>
      </c>
      <c r="F96">
        <v>47.24</v>
      </c>
      <c r="G96">
        <v>47.57</v>
      </c>
      <c r="H96">
        <v>41.69</v>
      </c>
      <c r="I96">
        <v>41.75</v>
      </c>
      <c r="J96">
        <v>41.81</v>
      </c>
      <c r="K96">
        <v>48.87</v>
      </c>
      <c r="L96">
        <v>48.95</v>
      </c>
      <c r="M96">
        <v>49.02</v>
      </c>
    </row>
    <row r="97" spans="1:13" x14ac:dyDescent="0.25">
      <c r="A97" s="1">
        <v>39588</v>
      </c>
      <c r="B97">
        <v>42.64</v>
      </c>
      <c r="C97">
        <v>43.33</v>
      </c>
      <c r="D97">
        <v>44.68</v>
      </c>
      <c r="E97">
        <v>46.09</v>
      </c>
      <c r="F97">
        <v>46.41</v>
      </c>
      <c r="G97">
        <v>46.74</v>
      </c>
      <c r="H97">
        <v>41.02</v>
      </c>
      <c r="I97">
        <v>41.08</v>
      </c>
      <c r="J97">
        <v>41.13</v>
      </c>
      <c r="K97">
        <v>48.37</v>
      </c>
      <c r="L97">
        <v>48.45</v>
      </c>
      <c r="M97">
        <v>48.53</v>
      </c>
    </row>
    <row r="98" spans="1:13" x14ac:dyDescent="0.25">
      <c r="A98" s="1">
        <v>39589</v>
      </c>
      <c r="B98">
        <v>42.7</v>
      </c>
      <c r="C98">
        <v>43.39</v>
      </c>
      <c r="D98">
        <v>44.74</v>
      </c>
      <c r="E98">
        <v>45.8</v>
      </c>
      <c r="F98">
        <v>46.12</v>
      </c>
      <c r="G98">
        <v>46.45</v>
      </c>
      <c r="H98">
        <v>40.49</v>
      </c>
      <c r="I98">
        <v>40.549999999999997</v>
      </c>
      <c r="J98">
        <v>40.6</v>
      </c>
      <c r="K98">
        <v>48.87</v>
      </c>
      <c r="L98">
        <v>48.95</v>
      </c>
      <c r="M98">
        <v>49.03</v>
      </c>
    </row>
    <row r="99" spans="1:13" x14ac:dyDescent="0.25">
      <c r="A99" s="1">
        <v>39591</v>
      </c>
      <c r="B99">
        <v>42.32</v>
      </c>
      <c r="C99">
        <v>43</v>
      </c>
      <c r="D99">
        <v>44.34</v>
      </c>
      <c r="E99">
        <v>45.4</v>
      </c>
      <c r="F99">
        <v>45.72</v>
      </c>
      <c r="G99">
        <v>46.04</v>
      </c>
      <c r="H99">
        <v>40.06</v>
      </c>
      <c r="I99">
        <v>40.11</v>
      </c>
      <c r="J99">
        <v>40.159999999999997</v>
      </c>
      <c r="K99">
        <v>48.44</v>
      </c>
      <c r="L99">
        <v>48.52</v>
      </c>
      <c r="M99">
        <v>48.6</v>
      </c>
    </row>
    <row r="100" spans="1:13" x14ac:dyDescent="0.25">
      <c r="A100" s="1">
        <v>39594</v>
      </c>
      <c r="B100">
        <v>42.09</v>
      </c>
      <c r="C100">
        <v>42.77</v>
      </c>
      <c r="D100">
        <v>44.1</v>
      </c>
      <c r="E100">
        <v>45.22</v>
      </c>
      <c r="F100">
        <v>45.54</v>
      </c>
      <c r="G100">
        <v>45.86</v>
      </c>
      <c r="H100">
        <v>40.07</v>
      </c>
      <c r="I100">
        <v>40.130000000000003</v>
      </c>
      <c r="J100">
        <v>40.18</v>
      </c>
      <c r="K100">
        <v>48.22</v>
      </c>
      <c r="L100">
        <v>48.31</v>
      </c>
      <c r="M100">
        <v>48.39</v>
      </c>
    </row>
    <row r="101" spans="1:13" x14ac:dyDescent="0.25">
      <c r="A101" s="1">
        <v>39595</v>
      </c>
      <c r="B101">
        <v>42.19</v>
      </c>
      <c r="C101">
        <v>42.87</v>
      </c>
      <c r="D101">
        <v>44.21</v>
      </c>
      <c r="E101">
        <v>45.37</v>
      </c>
      <c r="F101">
        <v>45.7</v>
      </c>
      <c r="G101">
        <v>46.02</v>
      </c>
      <c r="H101">
        <v>40.270000000000003</v>
      </c>
      <c r="I101">
        <v>40.33</v>
      </c>
      <c r="J101">
        <v>40.39</v>
      </c>
      <c r="K101">
        <v>47.78</v>
      </c>
      <c r="L101">
        <v>47.86</v>
      </c>
      <c r="M101">
        <v>47.94</v>
      </c>
    </row>
    <row r="102" spans="1:13" x14ac:dyDescent="0.25">
      <c r="A102" s="1">
        <v>39596</v>
      </c>
      <c r="B102">
        <v>42.54</v>
      </c>
      <c r="C102">
        <v>43.23</v>
      </c>
      <c r="D102">
        <v>44.57</v>
      </c>
      <c r="E102">
        <v>45.88</v>
      </c>
      <c r="F102">
        <v>46.2</v>
      </c>
      <c r="G102">
        <v>46.53</v>
      </c>
      <c r="H102">
        <v>40.950000000000003</v>
      </c>
      <c r="I102">
        <v>41</v>
      </c>
      <c r="J102">
        <v>41.06</v>
      </c>
      <c r="K102">
        <v>48.07</v>
      </c>
      <c r="L102">
        <v>48.15</v>
      </c>
      <c r="M102">
        <v>48.23</v>
      </c>
    </row>
    <row r="103" spans="1:13" x14ac:dyDescent="0.25">
      <c r="A103" s="1">
        <v>39597</v>
      </c>
      <c r="B103">
        <v>42.22</v>
      </c>
      <c r="C103">
        <v>42.9</v>
      </c>
      <c r="D103">
        <v>44.24</v>
      </c>
      <c r="E103">
        <v>45.88</v>
      </c>
      <c r="F103">
        <v>46.2</v>
      </c>
      <c r="G103">
        <v>46.53</v>
      </c>
      <c r="H103">
        <v>40.69</v>
      </c>
      <c r="I103">
        <v>40.74</v>
      </c>
      <c r="J103">
        <v>40.799999999999997</v>
      </c>
      <c r="K103">
        <v>47.62</v>
      </c>
      <c r="L103">
        <v>47.7</v>
      </c>
      <c r="M103">
        <v>47.78</v>
      </c>
    </row>
    <row r="104" spans="1:13" x14ac:dyDescent="0.25">
      <c r="A104" s="1">
        <v>39598</v>
      </c>
      <c r="B104">
        <v>42.51</v>
      </c>
      <c r="C104">
        <v>43.19</v>
      </c>
      <c r="D104">
        <v>44.54</v>
      </c>
      <c r="E104">
        <v>46.08</v>
      </c>
      <c r="F104">
        <v>46.41</v>
      </c>
      <c r="G104">
        <v>46.74</v>
      </c>
      <c r="H104">
        <v>40.770000000000003</v>
      </c>
      <c r="I104">
        <v>40.83</v>
      </c>
      <c r="J104">
        <v>40.89</v>
      </c>
      <c r="K104">
        <v>48.21</v>
      </c>
      <c r="L104">
        <v>48.3</v>
      </c>
      <c r="M104">
        <v>48.38</v>
      </c>
    </row>
    <row r="105" spans="1:13" x14ac:dyDescent="0.25">
      <c r="A105" s="1">
        <v>39601</v>
      </c>
      <c r="B105">
        <v>42.32</v>
      </c>
      <c r="C105">
        <v>43</v>
      </c>
      <c r="D105">
        <v>44.35</v>
      </c>
      <c r="E105">
        <v>45.79</v>
      </c>
      <c r="F105">
        <v>46.12</v>
      </c>
      <c r="G105">
        <v>46.45</v>
      </c>
      <c r="H105">
        <v>40.65</v>
      </c>
      <c r="I105">
        <v>40.71</v>
      </c>
      <c r="J105">
        <v>40.770000000000003</v>
      </c>
      <c r="K105">
        <v>48.04</v>
      </c>
      <c r="L105">
        <v>48.12</v>
      </c>
      <c r="M105">
        <v>48.21</v>
      </c>
    </row>
    <row r="106" spans="1:13" x14ac:dyDescent="0.25">
      <c r="A106" s="1">
        <v>39602</v>
      </c>
      <c r="B106">
        <v>42.29</v>
      </c>
      <c r="C106">
        <v>42.98</v>
      </c>
      <c r="D106">
        <v>44.32</v>
      </c>
      <c r="E106">
        <v>45.64</v>
      </c>
      <c r="F106">
        <v>45.97</v>
      </c>
      <c r="G106">
        <v>46.3</v>
      </c>
      <c r="H106">
        <v>40.58</v>
      </c>
      <c r="I106">
        <v>40.64</v>
      </c>
      <c r="J106">
        <v>40.700000000000003</v>
      </c>
      <c r="K106">
        <v>47.97</v>
      </c>
      <c r="L106">
        <v>48.05</v>
      </c>
      <c r="M106">
        <v>48.14</v>
      </c>
    </row>
    <row r="107" spans="1:13" x14ac:dyDescent="0.25">
      <c r="A107" s="1">
        <v>39603</v>
      </c>
      <c r="B107">
        <v>41.73</v>
      </c>
      <c r="C107">
        <v>42.4</v>
      </c>
      <c r="D107">
        <v>43.73</v>
      </c>
      <c r="E107">
        <v>44.99</v>
      </c>
      <c r="F107">
        <v>45.31</v>
      </c>
      <c r="G107">
        <v>45.64</v>
      </c>
      <c r="H107">
        <v>40.1</v>
      </c>
      <c r="I107">
        <v>40.159999999999997</v>
      </c>
      <c r="J107">
        <v>40.21</v>
      </c>
      <c r="K107">
        <v>47.26</v>
      </c>
      <c r="L107">
        <v>47.35</v>
      </c>
      <c r="M107">
        <v>47.43</v>
      </c>
    </row>
    <row r="108" spans="1:13" x14ac:dyDescent="0.25">
      <c r="A108" s="1">
        <v>39604</v>
      </c>
      <c r="B108">
        <v>41.73</v>
      </c>
      <c r="C108">
        <v>42.41</v>
      </c>
      <c r="D108">
        <v>43.74</v>
      </c>
      <c r="E108">
        <v>45.17</v>
      </c>
      <c r="F108">
        <v>45.5</v>
      </c>
      <c r="G108">
        <v>45.83</v>
      </c>
      <c r="H108">
        <v>40.130000000000003</v>
      </c>
      <c r="I108">
        <v>40.19</v>
      </c>
      <c r="J108">
        <v>40.25</v>
      </c>
      <c r="K108">
        <v>47.56</v>
      </c>
      <c r="L108">
        <v>47.65</v>
      </c>
      <c r="M108">
        <v>47.73</v>
      </c>
    </row>
    <row r="109" spans="1:13" x14ac:dyDescent="0.25">
      <c r="A109" s="1">
        <v>39605</v>
      </c>
      <c r="B109">
        <v>41.38</v>
      </c>
      <c r="C109">
        <v>42.05</v>
      </c>
      <c r="D109">
        <v>43.37</v>
      </c>
      <c r="E109">
        <v>44.76</v>
      </c>
      <c r="F109">
        <v>45.09</v>
      </c>
      <c r="G109">
        <v>45.41</v>
      </c>
      <c r="H109">
        <v>39.630000000000003</v>
      </c>
      <c r="I109">
        <v>39.68</v>
      </c>
      <c r="J109">
        <v>39.74</v>
      </c>
      <c r="K109">
        <v>47.35</v>
      </c>
      <c r="L109">
        <v>47.44</v>
      </c>
      <c r="M109">
        <v>47.52</v>
      </c>
    </row>
    <row r="110" spans="1:13" x14ac:dyDescent="0.25">
      <c r="A110" s="1">
        <v>39608</v>
      </c>
      <c r="B110">
        <v>40.9</v>
      </c>
      <c r="C110">
        <v>41.57</v>
      </c>
      <c r="D110">
        <v>42.87</v>
      </c>
      <c r="E110">
        <v>44.21</v>
      </c>
      <c r="F110">
        <v>44.53</v>
      </c>
      <c r="G110">
        <v>44.86</v>
      </c>
      <c r="H110">
        <v>38.86</v>
      </c>
      <c r="I110">
        <v>38.92</v>
      </c>
      <c r="J110">
        <v>38.97</v>
      </c>
      <c r="K110">
        <v>47.45</v>
      </c>
      <c r="L110">
        <v>47.54</v>
      </c>
      <c r="M110">
        <v>47.63</v>
      </c>
    </row>
    <row r="111" spans="1:13" x14ac:dyDescent="0.25">
      <c r="A111" s="1">
        <v>39609</v>
      </c>
      <c r="B111">
        <v>39.950000000000003</v>
      </c>
      <c r="C111">
        <v>40.6</v>
      </c>
      <c r="D111">
        <v>41.87</v>
      </c>
      <c r="E111">
        <v>43.44</v>
      </c>
      <c r="F111">
        <v>43.76</v>
      </c>
      <c r="G111">
        <v>44.08</v>
      </c>
      <c r="H111">
        <v>38.06</v>
      </c>
      <c r="I111">
        <v>38.11</v>
      </c>
      <c r="J111">
        <v>38.17</v>
      </c>
      <c r="K111">
        <v>46.26</v>
      </c>
      <c r="L111">
        <v>46.35</v>
      </c>
      <c r="M111">
        <v>46.43</v>
      </c>
    </row>
    <row r="112" spans="1:13" x14ac:dyDescent="0.25">
      <c r="A112" s="1">
        <v>39610</v>
      </c>
      <c r="B112">
        <v>39.31</v>
      </c>
      <c r="C112">
        <v>39.950000000000003</v>
      </c>
      <c r="D112">
        <v>41.21</v>
      </c>
      <c r="E112">
        <v>42.87</v>
      </c>
      <c r="F112">
        <v>43.18</v>
      </c>
      <c r="G112">
        <v>43.49</v>
      </c>
      <c r="H112">
        <v>37.479999999999997</v>
      </c>
      <c r="I112">
        <v>37.53</v>
      </c>
      <c r="J112">
        <v>37.590000000000003</v>
      </c>
      <c r="K112">
        <v>45.51</v>
      </c>
      <c r="L112">
        <v>45.59</v>
      </c>
      <c r="M112">
        <v>45.68</v>
      </c>
    </row>
    <row r="113" spans="1:13" x14ac:dyDescent="0.25">
      <c r="A113" s="1">
        <v>39611</v>
      </c>
      <c r="B113">
        <v>39.81</v>
      </c>
      <c r="C113">
        <v>40.46</v>
      </c>
      <c r="D113">
        <v>41.73</v>
      </c>
      <c r="E113">
        <v>43.92</v>
      </c>
      <c r="F113">
        <v>44.24</v>
      </c>
      <c r="G113">
        <v>44.57</v>
      </c>
      <c r="H113">
        <v>38.35</v>
      </c>
      <c r="I113">
        <v>38.409999999999997</v>
      </c>
      <c r="J113">
        <v>38.46</v>
      </c>
      <c r="K113">
        <v>45.46</v>
      </c>
      <c r="L113">
        <v>45.54</v>
      </c>
      <c r="M113">
        <v>45.63</v>
      </c>
    </row>
    <row r="114" spans="1:13" x14ac:dyDescent="0.25">
      <c r="A114" s="1">
        <v>39612</v>
      </c>
      <c r="B114">
        <v>39.86</v>
      </c>
      <c r="C114">
        <v>40.520000000000003</v>
      </c>
      <c r="D114">
        <v>41.79</v>
      </c>
      <c r="E114">
        <v>44.25</v>
      </c>
      <c r="F114">
        <v>44.58</v>
      </c>
      <c r="G114">
        <v>44.9</v>
      </c>
      <c r="H114">
        <v>38.49</v>
      </c>
      <c r="I114">
        <v>38.549999999999997</v>
      </c>
      <c r="J114">
        <v>38.61</v>
      </c>
      <c r="K114">
        <v>45.95</v>
      </c>
      <c r="L114">
        <v>46.04</v>
      </c>
      <c r="M114">
        <v>46.13</v>
      </c>
    </row>
    <row r="115" spans="1:13" x14ac:dyDescent="0.25">
      <c r="A115" s="1">
        <v>39615</v>
      </c>
      <c r="B115">
        <v>39.79</v>
      </c>
      <c r="C115">
        <v>40.450000000000003</v>
      </c>
      <c r="D115">
        <v>41.72</v>
      </c>
      <c r="E115">
        <v>44.36</v>
      </c>
      <c r="F115">
        <v>44.69</v>
      </c>
      <c r="G115">
        <v>45.02</v>
      </c>
      <c r="H115">
        <v>38.39</v>
      </c>
      <c r="I115">
        <v>38.450000000000003</v>
      </c>
      <c r="J115">
        <v>38.51</v>
      </c>
      <c r="K115">
        <v>46.18</v>
      </c>
      <c r="L115">
        <v>46.27</v>
      </c>
      <c r="M115">
        <v>46.36</v>
      </c>
    </row>
    <row r="116" spans="1:13" x14ac:dyDescent="0.25">
      <c r="A116" s="1">
        <v>39616</v>
      </c>
      <c r="B116">
        <v>40.08</v>
      </c>
      <c r="C116">
        <v>40.74</v>
      </c>
      <c r="D116">
        <v>42.02</v>
      </c>
      <c r="E116">
        <v>44.78</v>
      </c>
      <c r="F116">
        <v>45.11</v>
      </c>
      <c r="G116">
        <v>45.45</v>
      </c>
      <c r="H116">
        <v>38.69</v>
      </c>
      <c r="I116">
        <v>38.75</v>
      </c>
      <c r="J116">
        <v>38.81</v>
      </c>
      <c r="K116">
        <v>46.47</v>
      </c>
      <c r="L116">
        <v>46.56</v>
      </c>
      <c r="M116">
        <v>46.66</v>
      </c>
    </row>
    <row r="117" spans="1:13" x14ac:dyDescent="0.25">
      <c r="A117" s="1">
        <v>39617</v>
      </c>
      <c r="B117">
        <v>39.58</v>
      </c>
      <c r="C117">
        <v>40.229999999999997</v>
      </c>
      <c r="D117">
        <v>41.5</v>
      </c>
      <c r="E117">
        <v>44.21</v>
      </c>
      <c r="F117">
        <v>44.54</v>
      </c>
      <c r="G117">
        <v>44.86</v>
      </c>
      <c r="H117">
        <v>38.1</v>
      </c>
      <c r="I117">
        <v>38.159999999999997</v>
      </c>
      <c r="J117">
        <v>38.22</v>
      </c>
      <c r="K117">
        <v>45.82</v>
      </c>
      <c r="L117">
        <v>45.91</v>
      </c>
      <c r="M117">
        <v>46</v>
      </c>
    </row>
    <row r="118" spans="1:13" x14ac:dyDescent="0.25">
      <c r="A118" s="1">
        <v>39618</v>
      </c>
      <c r="B118">
        <v>39.590000000000003</v>
      </c>
      <c r="C118">
        <v>40.25</v>
      </c>
      <c r="D118">
        <v>41.51</v>
      </c>
      <c r="E118">
        <v>43.78</v>
      </c>
      <c r="F118">
        <v>44.1</v>
      </c>
      <c r="G118">
        <v>44.43</v>
      </c>
      <c r="H118">
        <v>37.81</v>
      </c>
      <c r="I118">
        <v>37.869999999999997</v>
      </c>
      <c r="J118">
        <v>37.93</v>
      </c>
      <c r="K118">
        <v>45.8</v>
      </c>
      <c r="L118">
        <v>45.89</v>
      </c>
      <c r="M118">
        <v>45.98</v>
      </c>
    </row>
    <row r="119" spans="1:13" x14ac:dyDescent="0.25">
      <c r="A119" s="1">
        <v>39619</v>
      </c>
      <c r="B119">
        <v>39.28</v>
      </c>
      <c r="C119">
        <v>39.93</v>
      </c>
      <c r="D119">
        <v>41.19</v>
      </c>
      <c r="E119">
        <v>43.34</v>
      </c>
      <c r="F119">
        <v>43.66</v>
      </c>
      <c r="G119">
        <v>43.99</v>
      </c>
      <c r="H119">
        <v>37.64</v>
      </c>
      <c r="I119">
        <v>37.700000000000003</v>
      </c>
      <c r="J119">
        <v>37.75</v>
      </c>
      <c r="K119">
        <v>44.96</v>
      </c>
      <c r="L119">
        <v>45.05</v>
      </c>
      <c r="M119">
        <v>45.14</v>
      </c>
    </row>
    <row r="120" spans="1:13" x14ac:dyDescent="0.25">
      <c r="A120" s="1">
        <v>39622</v>
      </c>
      <c r="B120">
        <v>38.880000000000003</v>
      </c>
      <c r="C120">
        <v>39.520000000000003</v>
      </c>
      <c r="D120">
        <v>40.770000000000003</v>
      </c>
      <c r="E120">
        <v>43.09</v>
      </c>
      <c r="F120">
        <v>43.41</v>
      </c>
      <c r="G120">
        <v>43.74</v>
      </c>
      <c r="H120">
        <v>37.03</v>
      </c>
      <c r="I120">
        <v>37.090000000000003</v>
      </c>
      <c r="J120">
        <v>37.15</v>
      </c>
      <c r="K120">
        <v>45.06</v>
      </c>
      <c r="L120">
        <v>45.15</v>
      </c>
      <c r="M120">
        <v>45.25</v>
      </c>
    </row>
    <row r="121" spans="1:13" x14ac:dyDescent="0.25">
      <c r="A121" s="1">
        <v>39623</v>
      </c>
      <c r="B121">
        <v>38.51</v>
      </c>
      <c r="C121">
        <v>39.15</v>
      </c>
      <c r="D121">
        <v>40.380000000000003</v>
      </c>
      <c r="E121">
        <v>42.59</v>
      </c>
      <c r="F121">
        <v>42.91</v>
      </c>
      <c r="G121">
        <v>43.23</v>
      </c>
      <c r="H121">
        <v>36.54</v>
      </c>
      <c r="I121">
        <v>36.6</v>
      </c>
      <c r="J121">
        <v>36.65</v>
      </c>
      <c r="K121">
        <v>44.32</v>
      </c>
      <c r="L121">
        <v>44.41</v>
      </c>
      <c r="M121">
        <v>44.5</v>
      </c>
    </row>
    <row r="122" spans="1:13" x14ac:dyDescent="0.25">
      <c r="A122" s="1">
        <v>39624</v>
      </c>
      <c r="B122">
        <v>38.71</v>
      </c>
      <c r="C122">
        <v>39.35</v>
      </c>
      <c r="D122">
        <v>40.590000000000003</v>
      </c>
      <c r="E122">
        <v>42.99</v>
      </c>
      <c r="F122">
        <v>43.31</v>
      </c>
      <c r="G122">
        <v>43.64</v>
      </c>
      <c r="H122">
        <v>36.950000000000003</v>
      </c>
      <c r="I122">
        <v>37.01</v>
      </c>
      <c r="J122">
        <v>37.07</v>
      </c>
      <c r="K122">
        <v>44.59</v>
      </c>
      <c r="L122">
        <v>44.68</v>
      </c>
      <c r="M122">
        <v>44.77</v>
      </c>
    </row>
    <row r="123" spans="1:13" x14ac:dyDescent="0.25">
      <c r="A123" s="1">
        <v>39625</v>
      </c>
      <c r="B123">
        <v>38.24</v>
      </c>
      <c r="C123">
        <v>38.869999999999997</v>
      </c>
      <c r="D123">
        <v>40.1</v>
      </c>
      <c r="E123">
        <v>41.98</v>
      </c>
      <c r="F123">
        <v>42.29</v>
      </c>
      <c r="G123">
        <v>42.61</v>
      </c>
      <c r="H123">
        <v>36.07</v>
      </c>
      <c r="I123">
        <v>36.130000000000003</v>
      </c>
      <c r="J123">
        <v>36.19</v>
      </c>
      <c r="K123">
        <v>43.66</v>
      </c>
      <c r="L123">
        <v>43.75</v>
      </c>
      <c r="M123">
        <v>43.84</v>
      </c>
    </row>
    <row r="124" spans="1:13" x14ac:dyDescent="0.25">
      <c r="A124" s="1">
        <v>39626</v>
      </c>
      <c r="B124">
        <v>37.79</v>
      </c>
      <c r="C124">
        <v>38.409999999999997</v>
      </c>
      <c r="D124">
        <v>39.630000000000003</v>
      </c>
      <c r="E124">
        <v>41.51</v>
      </c>
      <c r="F124">
        <v>41.82</v>
      </c>
      <c r="G124">
        <v>42.14</v>
      </c>
      <c r="H124">
        <v>35.65</v>
      </c>
      <c r="I124">
        <v>35.71</v>
      </c>
      <c r="J124">
        <v>35.770000000000003</v>
      </c>
      <c r="K124">
        <v>43.65</v>
      </c>
      <c r="L124">
        <v>43.75</v>
      </c>
      <c r="M124">
        <v>43.84</v>
      </c>
    </row>
    <row r="125" spans="1:13" x14ac:dyDescent="0.25">
      <c r="A125" s="1">
        <v>39629</v>
      </c>
      <c r="B125">
        <v>37.4</v>
      </c>
      <c r="C125">
        <v>38.020000000000003</v>
      </c>
      <c r="D125">
        <v>39.22</v>
      </c>
      <c r="E125">
        <v>41.22</v>
      </c>
      <c r="F125">
        <v>41.53</v>
      </c>
      <c r="G125">
        <v>41.84</v>
      </c>
      <c r="H125">
        <v>35.18</v>
      </c>
      <c r="I125">
        <v>35.24</v>
      </c>
      <c r="J125">
        <v>35.29</v>
      </c>
      <c r="K125">
        <v>43.8</v>
      </c>
      <c r="L125">
        <v>43.89</v>
      </c>
      <c r="M125">
        <v>43.99</v>
      </c>
    </row>
    <row r="126" spans="1:13" x14ac:dyDescent="0.25">
      <c r="A126" s="1">
        <v>39630</v>
      </c>
      <c r="B126">
        <v>36.51</v>
      </c>
      <c r="C126">
        <v>37.11</v>
      </c>
      <c r="D126">
        <v>38.29</v>
      </c>
      <c r="E126">
        <v>39.950000000000003</v>
      </c>
      <c r="F126">
        <v>40.26</v>
      </c>
      <c r="G126">
        <v>40.56</v>
      </c>
      <c r="H126">
        <v>34.04</v>
      </c>
      <c r="I126">
        <v>34.090000000000003</v>
      </c>
      <c r="J126">
        <v>34.15</v>
      </c>
      <c r="K126">
        <v>43.17</v>
      </c>
      <c r="L126">
        <v>43.26</v>
      </c>
      <c r="M126">
        <v>43.36</v>
      </c>
    </row>
    <row r="127" spans="1:13" x14ac:dyDescent="0.25">
      <c r="A127" s="1">
        <v>39631</v>
      </c>
      <c r="B127">
        <v>36.17</v>
      </c>
      <c r="C127">
        <v>36.770000000000003</v>
      </c>
      <c r="D127">
        <v>37.94</v>
      </c>
      <c r="E127">
        <v>39.799999999999997</v>
      </c>
      <c r="F127">
        <v>40.1</v>
      </c>
      <c r="G127">
        <v>40.409999999999997</v>
      </c>
      <c r="H127">
        <v>33.57</v>
      </c>
      <c r="I127">
        <v>33.630000000000003</v>
      </c>
      <c r="J127">
        <v>33.68</v>
      </c>
      <c r="K127">
        <v>42.35</v>
      </c>
      <c r="L127">
        <v>42.44</v>
      </c>
      <c r="M127">
        <v>42.54</v>
      </c>
    </row>
    <row r="128" spans="1:13" x14ac:dyDescent="0.25">
      <c r="A128" s="1">
        <v>39632</v>
      </c>
      <c r="B128">
        <v>35.97</v>
      </c>
      <c r="C128">
        <v>36.56</v>
      </c>
      <c r="D128">
        <v>37.72</v>
      </c>
      <c r="E128">
        <v>39.86</v>
      </c>
      <c r="F128">
        <v>40.159999999999997</v>
      </c>
      <c r="G128">
        <v>40.47</v>
      </c>
      <c r="H128">
        <v>33.64</v>
      </c>
      <c r="I128">
        <v>33.69</v>
      </c>
      <c r="J128">
        <v>33.75</v>
      </c>
      <c r="K128">
        <v>42.35</v>
      </c>
      <c r="L128">
        <v>42.44</v>
      </c>
      <c r="M128">
        <v>42.54</v>
      </c>
    </row>
    <row r="129" spans="1:13" x14ac:dyDescent="0.25">
      <c r="A129" s="1">
        <v>39633</v>
      </c>
      <c r="B129">
        <v>35.31</v>
      </c>
      <c r="C129">
        <v>35.9</v>
      </c>
      <c r="D129">
        <v>37.03</v>
      </c>
      <c r="E129">
        <v>39.03</v>
      </c>
      <c r="F129">
        <v>39.33</v>
      </c>
      <c r="G129">
        <v>39.630000000000003</v>
      </c>
      <c r="H129">
        <v>32.56</v>
      </c>
      <c r="I129">
        <v>32.61</v>
      </c>
      <c r="J129">
        <v>32.659999999999997</v>
      </c>
      <c r="K129">
        <v>41.52</v>
      </c>
      <c r="L129">
        <v>41.61</v>
      </c>
      <c r="M129">
        <v>41.71</v>
      </c>
    </row>
    <row r="130" spans="1:13" x14ac:dyDescent="0.25">
      <c r="A130" s="1">
        <v>39636</v>
      </c>
      <c r="B130">
        <v>35.46</v>
      </c>
      <c r="C130">
        <v>36.06</v>
      </c>
      <c r="D130">
        <v>37.200000000000003</v>
      </c>
      <c r="E130">
        <v>39.71</v>
      </c>
      <c r="F130">
        <v>40.020000000000003</v>
      </c>
      <c r="G130">
        <v>40.32</v>
      </c>
      <c r="H130">
        <v>33.130000000000003</v>
      </c>
      <c r="I130">
        <v>33.19</v>
      </c>
      <c r="J130">
        <v>33.24</v>
      </c>
      <c r="K130">
        <v>41.87</v>
      </c>
      <c r="L130">
        <v>41.97</v>
      </c>
      <c r="M130">
        <v>42.06</v>
      </c>
    </row>
    <row r="131" spans="1:13" x14ac:dyDescent="0.25">
      <c r="A131" s="1">
        <v>39637</v>
      </c>
      <c r="B131">
        <v>35.159999999999997</v>
      </c>
      <c r="C131">
        <v>35.75</v>
      </c>
      <c r="D131">
        <v>36.880000000000003</v>
      </c>
      <c r="E131">
        <v>39.130000000000003</v>
      </c>
      <c r="F131">
        <v>39.43</v>
      </c>
      <c r="G131">
        <v>39.729999999999997</v>
      </c>
      <c r="H131">
        <v>32.729999999999997</v>
      </c>
      <c r="I131">
        <v>32.79</v>
      </c>
      <c r="J131">
        <v>32.840000000000003</v>
      </c>
      <c r="K131">
        <v>40.74</v>
      </c>
      <c r="L131">
        <v>40.840000000000003</v>
      </c>
      <c r="M131">
        <v>40.93</v>
      </c>
    </row>
    <row r="132" spans="1:13" x14ac:dyDescent="0.25">
      <c r="A132" s="1">
        <v>39638</v>
      </c>
      <c r="B132">
        <v>35.81</v>
      </c>
      <c r="C132">
        <v>36.409999999999997</v>
      </c>
      <c r="D132">
        <v>37.57</v>
      </c>
      <c r="E132">
        <v>39.979999999999997</v>
      </c>
      <c r="F132">
        <v>40.29</v>
      </c>
      <c r="G132">
        <v>40.6</v>
      </c>
      <c r="H132">
        <v>33.479999999999997</v>
      </c>
      <c r="I132">
        <v>33.54</v>
      </c>
      <c r="J132">
        <v>33.6</v>
      </c>
      <c r="K132">
        <v>40.72</v>
      </c>
      <c r="L132">
        <v>40.81</v>
      </c>
      <c r="M132">
        <v>40.909999999999997</v>
      </c>
    </row>
    <row r="133" spans="1:13" x14ac:dyDescent="0.25">
      <c r="A133" s="1">
        <v>39639</v>
      </c>
      <c r="B133">
        <v>35.1</v>
      </c>
      <c r="C133">
        <v>35.68</v>
      </c>
      <c r="D133">
        <v>36.82</v>
      </c>
      <c r="E133">
        <v>39.07</v>
      </c>
      <c r="F133">
        <v>39.369999999999997</v>
      </c>
      <c r="G133">
        <v>39.67</v>
      </c>
      <c r="H133">
        <v>32.24</v>
      </c>
      <c r="I133">
        <v>32.299999999999997</v>
      </c>
      <c r="J133">
        <v>32.35</v>
      </c>
      <c r="K133">
        <v>39.9</v>
      </c>
      <c r="L133">
        <v>39.99</v>
      </c>
      <c r="M133">
        <v>40.08</v>
      </c>
    </row>
    <row r="134" spans="1:13" x14ac:dyDescent="0.25">
      <c r="A134" s="1">
        <v>39640</v>
      </c>
      <c r="B134">
        <v>34.46</v>
      </c>
      <c r="C134">
        <v>35.03</v>
      </c>
      <c r="D134">
        <v>36.15</v>
      </c>
      <c r="E134">
        <v>38.06</v>
      </c>
      <c r="F134">
        <v>38.35</v>
      </c>
      <c r="G134">
        <v>38.65</v>
      </c>
      <c r="H134">
        <v>31.13</v>
      </c>
      <c r="I134">
        <v>31.18</v>
      </c>
      <c r="J134">
        <v>31.23</v>
      </c>
      <c r="K134">
        <v>39.51</v>
      </c>
      <c r="L134">
        <v>39.6</v>
      </c>
      <c r="M134">
        <v>39.69</v>
      </c>
    </row>
    <row r="135" spans="1:13" x14ac:dyDescent="0.25">
      <c r="A135" s="1">
        <v>39643</v>
      </c>
      <c r="B135">
        <v>34.520000000000003</v>
      </c>
      <c r="C135">
        <v>35.1</v>
      </c>
      <c r="D135">
        <v>36.22</v>
      </c>
      <c r="E135">
        <v>38.159999999999997</v>
      </c>
      <c r="F135">
        <v>38.450000000000003</v>
      </c>
      <c r="G135">
        <v>38.75</v>
      </c>
      <c r="H135">
        <v>31.31</v>
      </c>
      <c r="I135">
        <v>31.37</v>
      </c>
      <c r="J135">
        <v>31.42</v>
      </c>
      <c r="K135">
        <v>39.549999999999997</v>
      </c>
      <c r="L135">
        <v>39.64</v>
      </c>
      <c r="M135">
        <v>39.729999999999997</v>
      </c>
    </row>
    <row r="136" spans="1:13" x14ac:dyDescent="0.25">
      <c r="A136" s="1">
        <v>39644</v>
      </c>
      <c r="B136">
        <v>33.729999999999997</v>
      </c>
      <c r="C136">
        <v>34.299999999999997</v>
      </c>
      <c r="D136">
        <v>35.39</v>
      </c>
      <c r="E136">
        <v>37.18</v>
      </c>
      <c r="F136">
        <v>37.47</v>
      </c>
      <c r="G136">
        <v>37.770000000000003</v>
      </c>
      <c r="H136">
        <v>30.58</v>
      </c>
      <c r="I136">
        <v>30.63</v>
      </c>
      <c r="J136">
        <v>30.69</v>
      </c>
      <c r="K136">
        <v>38.5</v>
      </c>
      <c r="L136">
        <v>38.590000000000003</v>
      </c>
      <c r="M136">
        <v>38.68</v>
      </c>
    </row>
    <row r="137" spans="1:13" x14ac:dyDescent="0.25">
      <c r="A137" s="1">
        <v>39645</v>
      </c>
      <c r="B137">
        <v>33.770000000000003</v>
      </c>
      <c r="C137">
        <v>34.33</v>
      </c>
      <c r="D137">
        <v>35.43</v>
      </c>
      <c r="E137">
        <v>37.32</v>
      </c>
      <c r="F137">
        <v>37.61</v>
      </c>
      <c r="G137">
        <v>37.9</v>
      </c>
      <c r="H137">
        <v>30.66</v>
      </c>
      <c r="I137">
        <v>30.71</v>
      </c>
      <c r="J137">
        <v>30.77</v>
      </c>
      <c r="K137">
        <v>38.57</v>
      </c>
      <c r="L137">
        <v>38.659999999999997</v>
      </c>
      <c r="M137">
        <v>38.75</v>
      </c>
    </row>
    <row r="138" spans="1:13" x14ac:dyDescent="0.25">
      <c r="A138" s="1">
        <v>39646</v>
      </c>
      <c r="B138">
        <v>34.82</v>
      </c>
      <c r="C138">
        <v>35.409999999999997</v>
      </c>
      <c r="D138">
        <v>36.54</v>
      </c>
      <c r="E138">
        <v>38.5</v>
      </c>
      <c r="F138">
        <v>38.799999999999997</v>
      </c>
      <c r="G138">
        <v>39.11</v>
      </c>
      <c r="H138">
        <v>31.57</v>
      </c>
      <c r="I138">
        <v>31.62</v>
      </c>
      <c r="J138">
        <v>31.68</v>
      </c>
      <c r="K138">
        <v>39.090000000000003</v>
      </c>
      <c r="L138">
        <v>39.19</v>
      </c>
      <c r="M138">
        <v>39.28</v>
      </c>
    </row>
    <row r="139" spans="1:13" x14ac:dyDescent="0.25">
      <c r="A139" s="1">
        <v>39647</v>
      </c>
      <c r="B139">
        <v>35.19</v>
      </c>
      <c r="C139">
        <v>35.78</v>
      </c>
      <c r="D139">
        <v>36.93</v>
      </c>
      <c r="E139">
        <v>39.03</v>
      </c>
      <c r="F139">
        <v>39.33</v>
      </c>
      <c r="G139">
        <v>39.64</v>
      </c>
      <c r="H139">
        <v>31.95</v>
      </c>
      <c r="I139">
        <v>32.01</v>
      </c>
      <c r="J139">
        <v>32.06</v>
      </c>
      <c r="K139">
        <v>38.630000000000003</v>
      </c>
      <c r="L139">
        <v>38.72</v>
      </c>
      <c r="M139">
        <v>38.82</v>
      </c>
    </row>
    <row r="140" spans="1:13" x14ac:dyDescent="0.25">
      <c r="A140" s="1">
        <v>39650</v>
      </c>
      <c r="B140">
        <v>35.65</v>
      </c>
      <c r="C140">
        <v>36.25</v>
      </c>
      <c r="D140">
        <v>37.409999999999997</v>
      </c>
      <c r="E140">
        <v>39.49</v>
      </c>
      <c r="F140">
        <v>39.799999999999997</v>
      </c>
      <c r="G140">
        <v>40.11</v>
      </c>
      <c r="H140">
        <v>32.340000000000003</v>
      </c>
      <c r="I140">
        <v>32.39</v>
      </c>
      <c r="J140">
        <v>32.450000000000003</v>
      </c>
      <c r="K140">
        <v>39.1</v>
      </c>
      <c r="L140">
        <v>39.200000000000003</v>
      </c>
      <c r="M140">
        <v>39.29</v>
      </c>
    </row>
    <row r="141" spans="1:13" x14ac:dyDescent="0.25">
      <c r="A141" s="1">
        <v>39651</v>
      </c>
      <c r="B141">
        <v>35.590000000000003</v>
      </c>
      <c r="C141">
        <v>36.19</v>
      </c>
      <c r="D141">
        <v>37.35</v>
      </c>
      <c r="E141">
        <v>39.08</v>
      </c>
      <c r="F141">
        <v>39.39</v>
      </c>
      <c r="G141">
        <v>39.700000000000003</v>
      </c>
      <c r="H141">
        <v>32.11</v>
      </c>
      <c r="I141">
        <v>32.159999999999997</v>
      </c>
      <c r="J141">
        <v>32.22</v>
      </c>
      <c r="K141">
        <v>39.159999999999997</v>
      </c>
      <c r="L141">
        <v>39.25</v>
      </c>
      <c r="M141">
        <v>39.35</v>
      </c>
    </row>
    <row r="142" spans="1:13" x14ac:dyDescent="0.25">
      <c r="A142" s="1">
        <v>39652</v>
      </c>
      <c r="B142">
        <v>36.94</v>
      </c>
      <c r="C142">
        <v>37.57</v>
      </c>
      <c r="D142">
        <v>38.770000000000003</v>
      </c>
      <c r="E142">
        <v>40.42</v>
      </c>
      <c r="F142">
        <v>40.74</v>
      </c>
      <c r="G142">
        <v>41.06</v>
      </c>
      <c r="H142">
        <v>33.44</v>
      </c>
      <c r="I142">
        <v>33.5</v>
      </c>
      <c r="J142">
        <v>33.56</v>
      </c>
      <c r="K142">
        <v>39.43</v>
      </c>
      <c r="L142">
        <v>39.53</v>
      </c>
      <c r="M142">
        <v>39.619999999999997</v>
      </c>
    </row>
    <row r="143" spans="1:13" x14ac:dyDescent="0.25">
      <c r="A143" s="1">
        <v>39653</v>
      </c>
      <c r="B143">
        <v>36.590000000000003</v>
      </c>
      <c r="C143">
        <v>37.21</v>
      </c>
      <c r="D143">
        <v>38.4</v>
      </c>
      <c r="E143">
        <v>39.68</v>
      </c>
      <c r="F143">
        <v>39.99</v>
      </c>
      <c r="G143">
        <v>40.31</v>
      </c>
      <c r="H143">
        <v>32.950000000000003</v>
      </c>
      <c r="I143">
        <v>33.01</v>
      </c>
      <c r="J143">
        <v>33.07</v>
      </c>
      <c r="K143">
        <v>37.880000000000003</v>
      </c>
      <c r="L143">
        <v>37.979999999999997</v>
      </c>
      <c r="M143">
        <v>38.07</v>
      </c>
    </row>
    <row r="144" spans="1:13" x14ac:dyDescent="0.25">
      <c r="A144" s="1">
        <v>39654</v>
      </c>
      <c r="B144">
        <v>36.57</v>
      </c>
      <c r="C144">
        <v>37.19</v>
      </c>
      <c r="D144">
        <v>38.380000000000003</v>
      </c>
      <c r="E144">
        <v>38.93</v>
      </c>
      <c r="F144">
        <v>39.24</v>
      </c>
      <c r="G144">
        <v>39.549999999999997</v>
      </c>
      <c r="H144">
        <v>32.29</v>
      </c>
      <c r="I144">
        <v>32.35</v>
      </c>
      <c r="J144">
        <v>32.409999999999997</v>
      </c>
      <c r="K144">
        <v>37.840000000000003</v>
      </c>
      <c r="L144">
        <v>37.94</v>
      </c>
      <c r="M144">
        <v>38.03</v>
      </c>
    </row>
    <row r="145" spans="1:13" x14ac:dyDescent="0.25">
      <c r="A145" s="1">
        <v>39657</v>
      </c>
      <c r="B145">
        <v>36.61</v>
      </c>
      <c r="C145">
        <v>37.229999999999997</v>
      </c>
      <c r="D145">
        <v>38.43</v>
      </c>
      <c r="E145">
        <v>39.01</v>
      </c>
      <c r="F145">
        <v>39.33</v>
      </c>
      <c r="G145">
        <v>39.64</v>
      </c>
      <c r="H145">
        <v>32.26</v>
      </c>
      <c r="I145">
        <v>32.32</v>
      </c>
      <c r="J145">
        <v>32.369999999999997</v>
      </c>
      <c r="K145">
        <v>37.83</v>
      </c>
      <c r="L145">
        <v>37.92</v>
      </c>
      <c r="M145">
        <v>38.020000000000003</v>
      </c>
    </row>
    <row r="146" spans="1:13" x14ac:dyDescent="0.25">
      <c r="A146" s="1">
        <v>39658</v>
      </c>
      <c r="B146">
        <v>36.94</v>
      </c>
      <c r="C146">
        <v>37.57</v>
      </c>
      <c r="D146">
        <v>38.78</v>
      </c>
      <c r="E146">
        <v>39.909999999999997</v>
      </c>
      <c r="F146">
        <v>40.229999999999997</v>
      </c>
      <c r="G146">
        <v>40.549999999999997</v>
      </c>
      <c r="H146">
        <v>32.65</v>
      </c>
      <c r="I146">
        <v>32.71</v>
      </c>
      <c r="J146">
        <v>32.770000000000003</v>
      </c>
      <c r="K146">
        <v>38.11</v>
      </c>
      <c r="L146">
        <v>38.21</v>
      </c>
      <c r="M146">
        <v>38.299999999999997</v>
      </c>
    </row>
    <row r="147" spans="1:13" x14ac:dyDescent="0.25">
      <c r="A147" s="1">
        <v>39659</v>
      </c>
      <c r="B147">
        <v>37.909999999999997</v>
      </c>
      <c r="C147">
        <v>38.549999999999997</v>
      </c>
      <c r="D147">
        <v>39.79</v>
      </c>
      <c r="E147">
        <v>40.659999999999997</v>
      </c>
      <c r="F147">
        <v>40.99</v>
      </c>
      <c r="G147">
        <v>41.31</v>
      </c>
      <c r="H147">
        <v>33.270000000000003</v>
      </c>
      <c r="I147">
        <v>33.33</v>
      </c>
      <c r="J147">
        <v>33.39</v>
      </c>
      <c r="K147">
        <v>38.950000000000003</v>
      </c>
      <c r="L147">
        <v>39.049999999999997</v>
      </c>
      <c r="M147">
        <v>39.15</v>
      </c>
    </row>
    <row r="148" spans="1:13" x14ac:dyDescent="0.25">
      <c r="A148" s="1">
        <v>39660</v>
      </c>
      <c r="B148">
        <v>38.130000000000003</v>
      </c>
      <c r="C148">
        <v>38.78</v>
      </c>
      <c r="D148">
        <v>40.03</v>
      </c>
      <c r="E148">
        <v>41.08</v>
      </c>
      <c r="F148">
        <v>41.41</v>
      </c>
      <c r="G148">
        <v>41.74</v>
      </c>
      <c r="H148">
        <v>33.340000000000003</v>
      </c>
      <c r="I148">
        <v>33.4</v>
      </c>
      <c r="J148">
        <v>33.46</v>
      </c>
      <c r="K148">
        <v>39.1</v>
      </c>
      <c r="L148">
        <v>39.21</v>
      </c>
      <c r="M148">
        <v>39.31</v>
      </c>
    </row>
    <row r="149" spans="1:13" x14ac:dyDescent="0.25">
      <c r="A149" s="1">
        <v>39661</v>
      </c>
      <c r="B149">
        <v>38.01</v>
      </c>
      <c r="C149">
        <v>38.65</v>
      </c>
      <c r="D149">
        <v>39.9</v>
      </c>
      <c r="E149">
        <v>41.08</v>
      </c>
      <c r="F149">
        <v>41.41</v>
      </c>
      <c r="G149">
        <v>41.74</v>
      </c>
      <c r="H149">
        <v>33.29</v>
      </c>
      <c r="I149">
        <v>33.35</v>
      </c>
      <c r="J149">
        <v>33.409999999999997</v>
      </c>
      <c r="K149">
        <v>38.71</v>
      </c>
      <c r="L149">
        <v>38.81</v>
      </c>
      <c r="M149">
        <v>38.909999999999997</v>
      </c>
    </row>
    <row r="150" spans="1:13" x14ac:dyDescent="0.25">
      <c r="A150" s="1">
        <v>39664</v>
      </c>
      <c r="B150">
        <v>37.85</v>
      </c>
      <c r="C150">
        <v>38.49</v>
      </c>
      <c r="D150">
        <v>39.729999999999997</v>
      </c>
      <c r="E150">
        <v>41.28</v>
      </c>
      <c r="F150">
        <v>41.61</v>
      </c>
      <c r="G150">
        <v>41.95</v>
      </c>
      <c r="H150">
        <v>33.57</v>
      </c>
      <c r="I150">
        <v>33.630000000000003</v>
      </c>
      <c r="J150">
        <v>33.69</v>
      </c>
      <c r="K150">
        <v>37.99</v>
      </c>
      <c r="L150">
        <v>38.090000000000003</v>
      </c>
      <c r="M150">
        <v>38.19</v>
      </c>
    </row>
    <row r="151" spans="1:13" x14ac:dyDescent="0.25">
      <c r="A151" s="1">
        <v>39665</v>
      </c>
      <c r="B151">
        <v>38.21</v>
      </c>
      <c r="C151">
        <v>38.869999999999997</v>
      </c>
      <c r="D151">
        <v>40.119999999999997</v>
      </c>
      <c r="E151">
        <v>41.69</v>
      </c>
      <c r="F151">
        <v>42.03</v>
      </c>
      <c r="G151">
        <v>42.37</v>
      </c>
      <c r="H151">
        <v>34.14</v>
      </c>
      <c r="I151">
        <v>34.21</v>
      </c>
      <c r="J151">
        <v>34.270000000000003</v>
      </c>
      <c r="K151">
        <v>37.619999999999997</v>
      </c>
      <c r="L151">
        <v>37.72</v>
      </c>
      <c r="M151">
        <v>37.82</v>
      </c>
    </row>
    <row r="152" spans="1:13" x14ac:dyDescent="0.25">
      <c r="A152" s="1">
        <v>39666</v>
      </c>
      <c r="B152">
        <v>38.01</v>
      </c>
      <c r="C152">
        <v>38.659999999999997</v>
      </c>
      <c r="D152">
        <v>39.909999999999997</v>
      </c>
      <c r="E152">
        <v>42.09</v>
      </c>
      <c r="F152">
        <v>42.43</v>
      </c>
      <c r="G152">
        <v>42.77</v>
      </c>
      <c r="H152">
        <v>34.22</v>
      </c>
      <c r="I152">
        <v>34.29</v>
      </c>
      <c r="J152">
        <v>34.35</v>
      </c>
      <c r="K152">
        <v>38.33</v>
      </c>
      <c r="L152">
        <v>38.44</v>
      </c>
      <c r="M152">
        <v>38.54</v>
      </c>
    </row>
    <row r="153" spans="1:13" x14ac:dyDescent="0.25">
      <c r="A153" s="1">
        <v>39667</v>
      </c>
      <c r="B153">
        <v>37.71</v>
      </c>
      <c r="C153">
        <v>38.35</v>
      </c>
      <c r="D153">
        <v>39.590000000000003</v>
      </c>
      <c r="E153">
        <v>41.87</v>
      </c>
      <c r="F153">
        <v>42.21</v>
      </c>
      <c r="G153">
        <v>42.55</v>
      </c>
      <c r="H153">
        <v>33.99</v>
      </c>
      <c r="I153">
        <v>34.06</v>
      </c>
      <c r="J153">
        <v>34.119999999999997</v>
      </c>
      <c r="K153">
        <v>38.9</v>
      </c>
      <c r="L153">
        <v>39</v>
      </c>
      <c r="M153">
        <v>39.11</v>
      </c>
    </row>
    <row r="154" spans="1:13" x14ac:dyDescent="0.25">
      <c r="A154" s="1">
        <v>39668</v>
      </c>
      <c r="B154">
        <v>37.700000000000003</v>
      </c>
      <c r="C154">
        <v>38.35</v>
      </c>
      <c r="D154">
        <v>39.58</v>
      </c>
      <c r="E154">
        <v>41.66</v>
      </c>
      <c r="F154">
        <v>42</v>
      </c>
      <c r="G154">
        <v>42.34</v>
      </c>
      <c r="H154">
        <v>33.89</v>
      </c>
      <c r="I154">
        <v>33.950000000000003</v>
      </c>
      <c r="J154">
        <v>34.020000000000003</v>
      </c>
      <c r="K154">
        <v>38.92</v>
      </c>
      <c r="L154">
        <v>39.020000000000003</v>
      </c>
      <c r="M154">
        <v>39.130000000000003</v>
      </c>
    </row>
    <row r="155" spans="1:13" x14ac:dyDescent="0.25">
      <c r="A155" s="1">
        <v>39671</v>
      </c>
      <c r="B155">
        <v>37.979999999999997</v>
      </c>
      <c r="C155">
        <v>38.630000000000003</v>
      </c>
      <c r="D155">
        <v>39.880000000000003</v>
      </c>
      <c r="E155">
        <v>42.15</v>
      </c>
      <c r="F155">
        <v>42.5</v>
      </c>
      <c r="G155">
        <v>42.84</v>
      </c>
      <c r="H155">
        <v>34.33</v>
      </c>
      <c r="I155">
        <v>34.4</v>
      </c>
      <c r="J155">
        <v>34.46</v>
      </c>
      <c r="K155">
        <v>38.729999999999997</v>
      </c>
      <c r="L155">
        <v>38.83</v>
      </c>
      <c r="M155">
        <v>38.94</v>
      </c>
    </row>
    <row r="156" spans="1:13" x14ac:dyDescent="0.25">
      <c r="A156" s="1">
        <v>39672</v>
      </c>
      <c r="B156">
        <v>38.1</v>
      </c>
      <c r="C156">
        <v>38.75</v>
      </c>
      <c r="D156">
        <v>40</v>
      </c>
      <c r="E156">
        <v>42.43</v>
      </c>
      <c r="F156">
        <v>42.78</v>
      </c>
      <c r="G156">
        <v>43.13</v>
      </c>
      <c r="H156">
        <v>34.67</v>
      </c>
      <c r="I156">
        <v>34.729999999999997</v>
      </c>
      <c r="J156">
        <v>34.799999999999997</v>
      </c>
      <c r="K156">
        <v>38.85</v>
      </c>
      <c r="L156">
        <v>38.96</v>
      </c>
      <c r="M156">
        <v>39.07</v>
      </c>
    </row>
    <row r="157" spans="1:13" x14ac:dyDescent="0.25">
      <c r="A157" s="1">
        <v>39673</v>
      </c>
      <c r="B157">
        <v>37.64</v>
      </c>
      <c r="C157">
        <v>38.29</v>
      </c>
      <c r="D157">
        <v>39.520000000000003</v>
      </c>
      <c r="E157">
        <v>41.67</v>
      </c>
      <c r="F157">
        <v>42.01</v>
      </c>
      <c r="G157">
        <v>42.36</v>
      </c>
      <c r="H157">
        <v>34.14</v>
      </c>
      <c r="I157">
        <v>34.200000000000003</v>
      </c>
      <c r="J157">
        <v>34.270000000000003</v>
      </c>
      <c r="K157">
        <v>39.04</v>
      </c>
      <c r="L157">
        <v>39.15</v>
      </c>
      <c r="M157">
        <v>39.26</v>
      </c>
    </row>
    <row r="158" spans="1:13" x14ac:dyDescent="0.25">
      <c r="A158" s="1">
        <v>39674</v>
      </c>
      <c r="B158">
        <v>37.89</v>
      </c>
      <c r="C158">
        <v>38.54</v>
      </c>
      <c r="D158">
        <v>39.78</v>
      </c>
      <c r="E158">
        <v>42.08</v>
      </c>
      <c r="F158">
        <v>42.42</v>
      </c>
      <c r="G158">
        <v>42.77</v>
      </c>
      <c r="H158">
        <v>34.43</v>
      </c>
      <c r="I158">
        <v>34.5</v>
      </c>
      <c r="J158">
        <v>34.56</v>
      </c>
      <c r="K158">
        <v>39.5</v>
      </c>
      <c r="L158">
        <v>39.61</v>
      </c>
      <c r="M158">
        <v>39.72</v>
      </c>
    </row>
    <row r="159" spans="1:13" x14ac:dyDescent="0.25">
      <c r="A159" s="1">
        <v>39678</v>
      </c>
      <c r="B159">
        <v>38.06</v>
      </c>
      <c r="C159">
        <v>38.72</v>
      </c>
      <c r="D159">
        <v>39.97</v>
      </c>
      <c r="E159">
        <v>42.67</v>
      </c>
      <c r="F159">
        <v>43.02</v>
      </c>
      <c r="G159">
        <v>43.38</v>
      </c>
      <c r="H159">
        <v>34.76</v>
      </c>
      <c r="I159">
        <v>34.83</v>
      </c>
      <c r="J159">
        <v>34.9</v>
      </c>
      <c r="K159">
        <v>40.159999999999997</v>
      </c>
      <c r="L159">
        <v>40.28</v>
      </c>
      <c r="M159">
        <v>40.39</v>
      </c>
    </row>
    <row r="160" spans="1:13" x14ac:dyDescent="0.25">
      <c r="A160" s="1">
        <v>39679</v>
      </c>
      <c r="B160">
        <v>37.049999999999997</v>
      </c>
      <c r="C160">
        <v>37.69</v>
      </c>
      <c r="D160">
        <v>38.909999999999997</v>
      </c>
      <c r="E160">
        <v>41.16</v>
      </c>
      <c r="F160">
        <v>41.5</v>
      </c>
      <c r="G160">
        <v>41.84</v>
      </c>
      <c r="H160">
        <v>33.479999999999997</v>
      </c>
      <c r="I160">
        <v>33.54</v>
      </c>
      <c r="J160">
        <v>33.61</v>
      </c>
      <c r="K160">
        <v>40.26</v>
      </c>
      <c r="L160">
        <v>40.369999999999997</v>
      </c>
      <c r="M160">
        <v>40.49</v>
      </c>
    </row>
    <row r="161" spans="1:13" x14ac:dyDescent="0.25">
      <c r="A161" s="1">
        <v>39680</v>
      </c>
      <c r="B161">
        <v>37.19</v>
      </c>
      <c r="C161">
        <v>37.83</v>
      </c>
      <c r="D161">
        <v>39.049999999999997</v>
      </c>
      <c r="E161">
        <v>40.79</v>
      </c>
      <c r="F161">
        <v>41.13</v>
      </c>
      <c r="G161">
        <v>41.47</v>
      </c>
      <c r="H161">
        <v>33.01</v>
      </c>
      <c r="I161">
        <v>33.07</v>
      </c>
      <c r="J161">
        <v>33.14</v>
      </c>
      <c r="K161">
        <v>40.76</v>
      </c>
      <c r="L161">
        <v>40.880000000000003</v>
      </c>
      <c r="M161">
        <v>41</v>
      </c>
    </row>
    <row r="162" spans="1:13" x14ac:dyDescent="0.25">
      <c r="A162" s="1">
        <v>39681</v>
      </c>
      <c r="B162">
        <v>37.06</v>
      </c>
      <c r="C162">
        <v>37.71</v>
      </c>
      <c r="D162">
        <v>38.93</v>
      </c>
      <c r="E162">
        <v>40.33</v>
      </c>
      <c r="F162">
        <v>40.659999999999997</v>
      </c>
      <c r="G162">
        <v>41</v>
      </c>
      <c r="H162">
        <v>32.57</v>
      </c>
      <c r="I162">
        <v>32.64</v>
      </c>
      <c r="J162">
        <v>32.700000000000003</v>
      </c>
      <c r="K162">
        <v>41.42</v>
      </c>
      <c r="L162">
        <v>41.55</v>
      </c>
      <c r="M162">
        <v>41.66</v>
      </c>
    </row>
    <row r="163" spans="1:13" x14ac:dyDescent="0.25">
      <c r="A163" s="1">
        <v>39682</v>
      </c>
      <c r="B163">
        <v>37.65</v>
      </c>
      <c r="C163">
        <v>38.31</v>
      </c>
      <c r="D163">
        <v>39.549999999999997</v>
      </c>
      <c r="E163">
        <v>41.32</v>
      </c>
      <c r="F163">
        <v>41.67</v>
      </c>
      <c r="G163">
        <v>42.01</v>
      </c>
      <c r="H163">
        <v>33.49</v>
      </c>
      <c r="I163">
        <v>33.56</v>
      </c>
      <c r="J163">
        <v>33.619999999999997</v>
      </c>
      <c r="K163">
        <v>41.47</v>
      </c>
      <c r="L163">
        <v>41.59</v>
      </c>
      <c r="M163">
        <v>41.71</v>
      </c>
    </row>
    <row r="164" spans="1:13" x14ac:dyDescent="0.25">
      <c r="A164" s="1">
        <v>39685</v>
      </c>
      <c r="B164">
        <v>37.69</v>
      </c>
      <c r="C164">
        <v>38.340000000000003</v>
      </c>
      <c r="D164">
        <v>39.58</v>
      </c>
      <c r="E164">
        <v>41.23</v>
      </c>
      <c r="F164">
        <v>41.58</v>
      </c>
      <c r="G164">
        <v>41.92</v>
      </c>
      <c r="H164">
        <v>33.380000000000003</v>
      </c>
      <c r="I164">
        <v>33.450000000000003</v>
      </c>
      <c r="J164">
        <v>33.520000000000003</v>
      </c>
      <c r="K164">
        <v>41.28</v>
      </c>
      <c r="L164">
        <v>41.4</v>
      </c>
      <c r="M164">
        <v>41.52</v>
      </c>
    </row>
    <row r="165" spans="1:13" x14ac:dyDescent="0.25">
      <c r="A165" s="1">
        <v>39686</v>
      </c>
      <c r="B165">
        <v>37.380000000000003</v>
      </c>
      <c r="C165">
        <v>38.03</v>
      </c>
      <c r="D165">
        <v>39.26</v>
      </c>
      <c r="E165">
        <v>41.05</v>
      </c>
      <c r="F165">
        <v>41.39</v>
      </c>
      <c r="G165">
        <v>41.74</v>
      </c>
      <c r="H165">
        <v>33.29</v>
      </c>
      <c r="I165">
        <v>33.36</v>
      </c>
      <c r="J165">
        <v>33.43</v>
      </c>
      <c r="K165">
        <v>41.25</v>
      </c>
      <c r="L165">
        <v>41.37</v>
      </c>
      <c r="M165">
        <v>41.49</v>
      </c>
    </row>
    <row r="166" spans="1:13" x14ac:dyDescent="0.25">
      <c r="A166" s="1">
        <v>39687</v>
      </c>
      <c r="B166">
        <v>37.229999999999997</v>
      </c>
      <c r="C166">
        <v>37.880000000000003</v>
      </c>
      <c r="D166">
        <v>39.11</v>
      </c>
      <c r="E166">
        <v>40.799999999999997</v>
      </c>
      <c r="F166">
        <v>41.14</v>
      </c>
      <c r="G166">
        <v>41.49</v>
      </c>
      <c r="H166">
        <v>33</v>
      </c>
      <c r="I166">
        <v>33.07</v>
      </c>
      <c r="J166">
        <v>33.130000000000003</v>
      </c>
      <c r="K166">
        <v>42.02</v>
      </c>
      <c r="L166">
        <v>42.15</v>
      </c>
      <c r="M166">
        <v>42.27</v>
      </c>
    </row>
    <row r="167" spans="1:13" x14ac:dyDescent="0.25">
      <c r="A167" s="1">
        <v>39688</v>
      </c>
      <c r="B167">
        <v>37.729999999999997</v>
      </c>
      <c r="C167">
        <v>38.39</v>
      </c>
      <c r="D167">
        <v>39.64</v>
      </c>
      <c r="E167">
        <v>41.61</v>
      </c>
      <c r="F167">
        <v>41.96</v>
      </c>
      <c r="G167">
        <v>42.31</v>
      </c>
      <c r="H167">
        <v>33.590000000000003</v>
      </c>
      <c r="I167">
        <v>33.659999999999997</v>
      </c>
      <c r="J167">
        <v>33.72</v>
      </c>
      <c r="K167">
        <v>42.43</v>
      </c>
      <c r="L167">
        <v>42.56</v>
      </c>
      <c r="M167">
        <v>42.68</v>
      </c>
    </row>
    <row r="168" spans="1:13" x14ac:dyDescent="0.25">
      <c r="A168" s="1">
        <v>39689</v>
      </c>
      <c r="B168">
        <v>37.86</v>
      </c>
      <c r="C168">
        <v>38.520000000000003</v>
      </c>
      <c r="D168">
        <v>39.78</v>
      </c>
      <c r="E168">
        <v>41.88</v>
      </c>
      <c r="F168">
        <v>42.23</v>
      </c>
      <c r="G168">
        <v>42.59</v>
      </c>
      <c r="H168">
        <v>33.869999999999997</v>
      </c>
      <c r="I168">
        <v>33.94</v>
      </c>
      <c r="J168">
        <v>34.01</v>
      </c>
      <c r="K168">
        <v>42.57</v>
      </c>
      <c r="L168">
        <v>42.69</v>
      </c>
      <c r="M168">
        <v>42.82</v>
      </c>
    </row>
    <row r="169" spans="1:13" x14ac:dyDescent="0.25">
      <c r="A169" s="1">
        <v>39692</v>
      </c>
      <c r="B169">
        <v>37.86</v>
      </c>
      <c r="C169">
        <v>38.520000000000003</v>
      </c>
      <c r="D169">
        <v>39.770000000000003</v>
      </c>
      <c r="E169">
        <v>41.38</v>
      </c>
      <c r="F169">
        <v>41.73</v>
      </c>
      <c r="G169">
        <v>42.08</v>
      </c>
      <c r="H169">
        <v>33.51</v>
      </c>
      <c r="I169">
        <v>33.58</v>
      </c>
      <c r="J169">
        <v>33.65</v>
      </c>
      <c r="K169">
        <v>42.35</v>
      </c>
      <c r="L169">
        <v>42.48</v>
      </c>
      <c r="M169">
        <v>42.61</v>
      </c>
    </row>
    <row r="170" spans="1:13" x14ac:dyDescent="0.25">
      <c r="A170" s="1">
        <v>39693</v>
      </c>
      <c r="B170">
        <v>38.700000000000003</v>
      </c>
      <c r="C170">
        <v>39.369999999999997</v>
      </c>
      <c r="D170">
        <v>40.65</v>
      </c>
      <c r="E170">
        <v>42.47</v>
      </c>
      <c r="F170">
        <v>42.83</v>
      </c>
      <c r="G170">
        <v>43.19</v>
      </c>
      <c r="H170">
        <v>34.64</v>
      </c>
      <c r="I170">
        <v>34.72</v>
      </c>
      <c r="J170">
        <v>34.79</v>
      </c>
      <c r="K170">
        <v>41.6</v>
      </c>
      <c r="L170">
        <v>41.73</v>
      </c>
      <c r="M170">
        <v>41.85</v>
      </c>
    </row>
    <row r="171" spans="1:13" x14ac:dyDescent="0.25">
      <c r="A171" s="1">
        <v>39694</v>
      </c>
      <c r="B171">
        <v>38.64</v>
      </c>
      <c r="C171">
        <v>39.32</v>
      </c>
      <c r="D171">
        <v>40.6</v>
      </c>
      <c r="E171">
        <v>42.4</v>
      </c>
      <c r="F171">
        <v>42.76</v>
      </c>
      <c r="G171">
        <v>43.12</v>
      </c>
      <c r="H171">
        <v>34.69</v>
      </c>
      <c r="I171">
        <v>34.76</v>
      </c>
      <c r="J171">
        <v>34.840000000000003</v>
      </c>
      <c r="K171">
        <v>40.840000000000003</v>
      </c>
      <c r="L171">
        <v>40.97</v>
      </c>
      <c r="M171">
        <v>41.09</v>
      </c>
    </row>
    <row r="172" spans="1:13" x14ac:dyDescent="0.25">
      <c r="A172" s="1">
        <v>39695</v>
      </c>
      <c r="B172">
        <v>38.479999999999997</v>
      </c>
      <c r="C172">
        <v>39.15</v>
      </c>
      <c r="D172">
        <v>40.43</v>
      </c>
      <c r="E172">
        <v>41.47</v>
      </c>
      <c r="F172">
        <v>41.82</v>
      </c>
      <c r="G172">
        <v>42.18</v>
      </c>
      <c r="H172">
        <v>33.93</v>
      </c>
      <c r="I172">
        <v>34</v>
      </c>
      <c r="J172">
        <v>34.07</v>
      </c>
      <c r="K172">
        <v>39.909999999999997</v>
      </c>
      <c r="L172">
        <v>40.03</v>
      </c>
      <c r="M172">
        <v>40.15</v>
      </c>
    </row>
    <row r="173" spans="1:13" x14ac:dyDescent="0.25">
      <c r="A173" s="1">
        <v>39696</v>
      </c>
      <c r="B173">
        <v>37.86</v>
      </c>
      <c r="C173">
        <v>38.53</v>
      </c>
      <c r="D173">
        <v>39.78</v>
      </c>
      <c r="E173">
        <v>40.99</v>
      </c>
      <c r="F173">
        <v>41.33</v>
      </c>
      <c r="G173">
        <v>41.69</v>
      </c>
      <c r="H173">
        <v>33.369999999999997</v>
      </c>
      <c r="I173">
        <v>33.44</v>
      </c>
      <c r="J173">
        <v>33.51</v>
      </c>
      <c r="K173">
        <v>39.659999999999997</v>
      </c>
      <c r="L173">
        <v>39.78</v>
      </c>
      <c r="M173">
        <v>39.909999999999997</v>
      </c>
    </row>
    <row r="174" spans="1:13" x14ac:dyDescent="0.25">
      <c r="A174" s="1">
        <v>39699</v>
      </c>
      <c r="B174">
        <v>38.69</v>
      </c>
      <c r="C174">
        <v>39.369999999999997</v>
      </c>
      <c r="D174">
        <v>40.659999999999997</v>
      </c>
      <c r="E174">
        <v>42.95</v>
      </c>
      <c r="F174">
        <v>43.32</v>
      </c>
      <c r="G174">
        <v>43.69</v>
      </c>
      <c r="H174">
        <v>34.92</v>
      </c>
      <c r="I174">
        <v>34.99</v>
      </c>
      <c r="J174">
        <v>35.06</v>
      </c>
      <c r="K174">
        <v>40.17</v>
      </c>
      <c r="L174">
        <v>40.29</v>
      </c>
      <c r="M174">
        <v>40.42</v>
      </c>
    </row>
    <row r="175" spans="1:13" x14ac:dyDescent="0.25">
      <c r="A175" s="1">
        <v>39700</v>
      </c>
      <c r="B175">
        <v>38.28</v>
      </c>
      <c r="C175">
        <v>38.96</v>
      </c>
      <c r="D175">
        <v>40.229999999999997</v>
      </c>
      <c r="E175">
        <v>42.81</v>
      </c>
      <c r="F175">
        <v>43.18</v>
      </c>
      <c r="G175">
        <v>43.55</v>
      </c>
      <c r="H175">
        <v>34.78</v>
      </c>
      <c r="I175">
        <v>34.86</v>
      </c>
      <c r="J175">
        <v>34.93</v>
      </c>
      <c r="K175">
        <v>37.979999999999997</v>
      </c>
      <c r="L175">
        <v>38.1</v>
      </c>
      <c r="M175">
        <v>38.22</v>
      </c>
    </row>
    <row r="176" spans="1:13" x14ac:dyDescent="0.25">
      <c r="A176" s="1">
        <v>39701</v>
      </c>
      <c r="B176">
        <v>37.51</v>
      </c>
      <c r="C176">
        <v>38.17</v>
      </c>
      <c r="D176">
        <v>39.42</v>
      </c>
      <c r="E176">
        <v>41.72</v>
      </c>
      <c r="F176">
        <v>42.08</v>
      </c>
      <c r="G176">
        <v>42.44</v>
      </c>
      <c r="H176">
        <v>33.950000000000003</v>
      </c>
      <c r="I176">
        <v>34.03</v>
      </c>
      <c r="J176">
        <v>34.1</v>
      </c>
      <c r="K176">
        <v>37.47</v>
      </c>
      <c r="L176">
        <v>37.590000000000003</v>
      </c>
      <c r="M176">
        <v>37.71</v>
      </c>
    </row>
    <row r="177" spans="1:13" x14ac:dyDescent="0.25">
      <c r="A177" s="1">
        <v>39702</v>
      </c>
      <c r="B177">
        <v>36.64</v>
      </c>
      <c r="C177">
        <v>37.29</v>
      </c>
      <c r="D177">
        <v>38.51</v>
      </c>
      <c r="E177">
        <v>39.79</v>
      </c>
      <c r="F177">
        <v>40.130000000000003</v>
      </c>
      <c r="G177">
        <v>40.479999999999997</v>
      </c>
      <c r="H177">
        <v>32.450000000000003</v>
      </c>
      <c r="I177">
        <v>32.520000000000003</v>
      </c>
      <c r="J177">
        <v>32.590000000000003</v>
      </c>
      <c r="K177">
        <v>37.32</v>
      </c>
      <c r="L177">
        <v>37.44</v>
      </c>
      <c r="M177">
        <v>37.56</v>
      </c>
    </row>
    <row r="178" spans="1:13" x14ac:dyDescent="0.25">
      <c r="A178" s="1">
        <v>39703</v>
      </c>
      <c r="B178">
        <v>36.47</v>
      </c>
      <c r="C178">
        <v>37.11</v>
      </c>
      <c r="D178">
        <v>38.33</v>
      </c>
      <c r="E178">
        <v>39.35</v>
      </c>
      <c r="F178">
        <v>39.68</v>
      </c>
      <c r="G178">
        <v>40.020000000000003</v>
      </c>
      <c r="H178">
        <v>32.119999999999997</v>
      </c>
      <c r="I178">
        <v>32.18</v>
      </c>
      <c r="J178">
        <v>32.25</v>
      </c>
      <c r="K178">
        <v>38.159999999999997</v>
      </c>
      <c r="L178">
        <v>38.28</v>
      </c>
      <c r="M178">
        <v>38.4</v>
      </c>
    </row>
    <row r="179" spans="1:13" x14ac:dyDescent="0.25">
      <c r="A179" s="1">
        <v>39706</v>
      </c>
      <c r="B179">
        <v>35.04</v>
      </c>
      <c r="C179">
        <v>35.65</v>
      </c>
      <c r="D179">
        <v>36.82</v>
      </c>
      <c r="E179">
        <v>37.409999999999997</v>
      </c>
      <c r="F179">
        <v>37.729999999999997</v>
      </c>
      <c r="G179">
        <v>38.049999999999997</v>
      </c>
      <c r="H179">
        <v>30.78</v>
      </c>
      <c r="I179">
        <v>30.85</v>
      </c>
      <c r="J179">
        <v>30.91</v>
      </c>
      <c r="K179">
        <v>36.340000000000003</v>
      </c>
      <c r="L179">
        <v>36.450000000000003</v>
      </c>
      <c r="M179">
        <v>36.57</v>
      </c>
    </row>
    <row r="180" spans="1:13" x14ac:dyDescent="0.25">
      <c r="A180" s="1">
        <v>39707</v>
      </c>
      <c r="B180">
        <v>34.020000000000003</v>
      </c>
      <c r="C180">
        <v>34.630000000000003</v>
      </c>
      <c r="D180">
        <v>35.76</v>
      </c>
      <c r="E180">
        <v>36.1</v>
      </c>
      <c r="F180">
        <v>36.409999999999997</v>
      </c>
      <c r="G180">
        <v>36.72</v>
      </c>
      <c r="H180">
        <v>29.65</v>
      </c>
      <c r="I180">
        <v>29.71</v>
      </c>
      <c r="J180">
        <v>29.77</v>
      </c>
      <c r="K180">
        <v>35.89</v>
      </c>
      <c r="L180">
        <v>36.01</v>
      </c>
      <c r="M180">
        <v>36.119999999999997</v>
      </c>
    </row>
    <row r="181" spans="1:13" x14ac:dyDescent="0.25">
      <c r="A181" s="1">
        <v>39708</v>
      </c>
      <c r="B181">
        <v>33.61</v>
      </c>
      <c r="C181">
        <v>34.200000000000003</v>
      </c>
      <c r="D181">
        <v>35.32</v>
      </c>
      <c r="E181">
        <v>34.799999999999997</v>
      </c>
      <c r="F181">
        <v>35.1</v>
      </c>
      <c r="G181">
        <v>35.4</v>
      </c>
      <c r="H181">
        <v>28.65</v>
      </c>
      <c r="I181">
        <v>28.71</v>
      </c>
      <c r="J181">
        <v>28.77</v>
      </c>
      <c r="K181">
        <v>34.81</v>
      </c>
      <c r="L181">
        <v>34.93</v>
      </c>
      <c r="M181">
        <v>35.04</v>
      </c>
    </row>
    <row r="182" spans="1:13" x14ac:dyDescent="0.25">
      <c r="A182" s="1">
        <v>39709</v>
      </c>
      <c r="B182">
        <v>33.22</v>
      </c>
      <c r="C182">
        <v>33.81</v>
      </c>
      <c r="D182">
        <v>34.92</v>
      </c>
      <c r="E182">
        <v>34.22</v>
      </c>
      <c r="F182">
        <v>34.520000000000003</v>
      </c>
      <c r="G182">
        <v>34.82</v>
      </c>
      <c r="H182">
        <v>28.02</v>
      </c>
      <c r="I182">
        <v>28.09</v>
      </c>
      <c r="J182">
        <v>28.15</v>
      </c>
      <c r="K182">
        <v>34.47</v>
      </c>
      <c r="L182">
        <v>34.58</v>
      </c>
      <c r="M182">
        <v>34.69</v>
      </c>
    </row>
    <row r="183" spans="1:13" x14ac:dyDescent="0.25">
      <c r="A183" s="1">
        <v>39710</v>
      </c>
      <c r="B183">
        <v>35.54</v>
      </c>
      <c r="C183">
        <v>36.17</v>
      </c>
      <c r="D183">
        <v>37.35</v>
      </c>
      <c r="E183">
        <v>38.119999999999997</v>
      </c>
      <c r="F183">
        <v>38.450000000000003</v>
      </c>
      <c r="G183">
        <v>38.78</v>
      </c>
      <c r="H183">
        <v>30.75</v>
      </c>
      <c r="I183">
        <v>30.82</v>
      </c>
      <c r="J183">
        <v>30.89</v>
      </c>
      <c r="K183">
        <v>37.56</v>
      </c>
      <c r="L183">
        <v>37.68</v>
      </c>
      <c r="M183">
        <v>37.799999999999997</v>
      </c>
    </row>
    <row r="184" spans="1:13" x14ac:dyDescent="0.25">
      <c r="A184" s="1">
        <v>39713</v>
      </c>
      <c r="B184">
        <v>35.01</v>
      </c>
      <c r="C184">
        <v>35.64</v>
      </c>
      <c r="D184">
        <v>36.81</v>
      </c>
      <c r="E184">
        <v>37.130000000000003</v>
      </c>
      <c r="F184">
        <v>37.46</v>
      </c>
      <c r="G184">
        <v>37.78</v>
      </c>
      <c r="H184">
        <v>29.96</v>
      </c>
      <c r="I184">
        <v>30.02</v>
      </c>
      <c r="J184">
        <v>30.09</v>
      </c>
      <c r="K184">
        <v>36.51</v>
      </c>
      <c r="L184">
        <v>36.630000000000003</v>
      </c>
      <c r="M184">
        <v>36.75</v>
      </c>
    </row>
    <row r="185" spans="1:13" x14ac:dyDescent="0.25">
      <c r="A185" s="1">
        <v>39714</v>
      </c>
      <c r="B185">
        <v>34.26</v>
      </c>
      <c r="C185">
        <v>34.869999999999997</v>
      </c>
      <c r="D185">
        <v>36.020000000000003</v>
      </c>
      <c r="E185">
        <v>36.229999999999997</v>
      </c>
      <c r="F185">
        <v>36.549999999999997</v>
      </c>
      <c r="G185">
        <v>36.869999999999997</v>
      </c>
      <c r="H185">
        <v>29.18</v>
      </c>
      <c r="I185">
        <v>29.24</v>
      </c>
      <c r="J185">
        <v>29.31</v>
      </c>
      <c r="K185">
        <v>35.86</v>
      </c>
      <c r="L185">
        <v>35.979999999999997</v>
      </c>
      <c r="M185">
        <v>36.1</v>
      </c>
    </row>
    <row r="186" spans="1:13" x14ac:dyDescent="0.25">
      <c r="A186" s="1">
        <v>39715</v>
      </c>
      <c r="B186">
        <v>34.36</v>
      </c>
      <c r="C186">
        <v>34.97</v>
      </c>
      <c r="D186">
        <v>36.119999999999997</v>
      </c>
      <c r="E186">
        <v>36.229999999999997</v>
      </c>
      <c r="F186">
        <v>36.549999999999997</v>
      </c>
      <c r="G186">
        <v>36.869999999999997</v>
      </c>
      <c r="H186">
        <v>29.16</v>
      </c>
      <c r="I186">
        <v>29.22</v>
      </c>
      <c r="J186">
        <v>29.29</v>
      </c>
      <c r="K186">
        <v>36.31</v>
      </c>
      <c r="L186">
        <v>36.43</v>
      </c>
      <c r="M186">
        <v>36.549999999999997</v>
      </c>
    </row>
    <row r="187" spans="1:13" x14ac:dyDescent="0.25">
      <c r="A187" s="1">
        <v>39716</v>
      </c>
      <c r="B187">
        <v>35.19</v>
      </c>
      <c r="C187">
        <v>35.82</v>
      </c>
      <c r="D187">
        <v>37</v>
      </c>
      <c r="E187">
        <v>37.19</v>
      </c>
      <c r="F187">
        <v>37.51</v>
      </c>
      <c r="G187">
        <v>37.840000000000003</v>
      </c>
      <c r="H187">
        <v>30.12</v>
      </c>
      <c r="I187">
        <v>30.19</v>
      </c>
      <c r="J187">
        <v>30.25</v>
      </c>
      <c r="K187">
        <v>36.96</v>
      </c>
      <c r="L187">
        <v>37.090000000000003</v>
      </c>
      <c r="M187">
        <v>37.21</v>
      </c>
    </row>
    <row r="188" spans="1:13" x14ac:dyDescent="0.25">
      <c r="A188" s="1">
        <v>39717</v>
      </c>
      <c r="B188">
        <v>35.01</v>
      </c>
      <c r="C188">
        <v>35.630000000000003</v>
      </c>
      <c r="D188">
        <v>36.81</v>
      </c>
      <c r="E188">
        <v>37</v>
      </c>
      <c r="F188">
        <v>37.33</v>
      </c>
      <c r="G188">
        <v>37.659999999999997</v>
      </c>
      <c r="H188">
        <v>29.96</v>
      </c>
      <c r="I188">
        <v>30.02</v>
      </c>
      <c r="J188">
        <v>30.09</v>
      </c>
      <c r="K188">
        <v>35.729999999999997</v>
      </c>
      <c r="L188">
        <v>35.86</v>
      </c>
      <c r="M188">
        <v>35.979999999999997</v>
      </c>
    </row>
    <row r="189" spans="1:13" x14ac:dyDescent="0.25">
      <c r="A189" s="1">
        <v>39720</v>
      </c>
      <c r="B189">
        <v>33.42</v>
      </c>
      <c r="C189">
        <v>34.01</v>
      </c>
      <c r="D189">
        <v>35.14</v>
      </c>
      <c r="E189">
        <v>35.43</v>
      </c>
      <c r="F189">
        <v>35.74</v>
      </c>
      <c r="G189">
        <v>36.06</v>
      </c>
      <c r="H189">
        <v>28.6</v>
      </c>
      <c r="I189">
        <v>28.67</v>
      </c>
      <c r="J189">
        <v>28.73</v>
      </c>
      <c r="K189">
        <v>32.94</v>
      </c>
      <c r="L189">
        <v>33.049999999999997</v>
      </c>
      <c r="M189">
        <v>33.159999999999997</v>
      </c>
    </row>
    <row r="190" spans="1:13" x14ac:dyDescent="0.25">
      <c r="A190" s="1">
        <v>39721</v>
      </c>
      <c r="B190">
        <v>33.700000000000003</v>
      </c>
      <c r="C190">
        <v>34.31</v>
      </c>
      <c r="D190">
        <v>35.44</v>
      </c>
      <c r="E190">
        <v>35.340000000000003</v>
      </c>
      <c r="F190">
        <v>35.65</v>
      </c>
      <c r="G190">
        <v>35.96</v>
      </c>
      <c r="H190">
        <v>28.51</v>
      </c>
      <c r="I190">
        <v>28.57</v>
      </c>
      <c r="J190">
        <v>28.64</v>
      </c>
      <c r="K190">
        <v>33.89</v>
      </c>
      <c r="L190">
        <v>34.01</v>
      </c>
      <c r="M190">
        <v>34.119999999999997</v>
      </c>
    </row>
    <row r="191" spans="1:13" x14ac:dyDescent="0.25">
      <c r="A191" s="1">
        <v>39722</v>
      </c>
      <c r="B191">
        <v>33.799999999999997</v>
      </c>
      <c r="C191">
        <v>34.409999999999997</v>
      </c>
      <c r="D191">
        <v>35.54</v>
      </c>
      <c r="E191">
        <v>35.42</v>
      </c>
      <c r="F191">
        <v>35.729999999999997</v>
      </c>
      <c r="G191">
        <v>36.049999999999997</v>
      </c>
      <c r="H191">
        <v>28.61</v>
      </c>
      <c r="I191">
        <v>28.67</v>
      </c>
      <c r="J191">
        <v>28.74</v>
      </c>
      <c r="K191">
        <v>33.130000000000003</v>
      </c>
      <c r="L191">
        <v>33.24</v>
      </c>
      <c r="M191">
        <v>33.35</v>
      </c>
    </row>
    <row r="192" spans="1:13" x14ac:dyDescent="0.25">
      <c r="A192" s="1">
        <v>39723</v>
      </c>
      <c r="B192">
        <v>33.28</v>
      </c>
      <c r="C192">
        <v>33.869999999999997</v>
      </c>
      <c r="D192">
        <v>34.99</v>
      </c>
      <c r="E192">
        <v>35.04</v>
      </c>
      <c r="F192">
        <v>35.35</v>
      </c>
      <c r="G192">
        <v>35.67</v>
      </c>
      <c r="H192">
        <v>28.29</v>
      </c>
      <c r="I192">
        <v>28.35</v>
      </c>
      <c r="J192">
        <v>28.41</v>
      </c>
      <c r="K192">
        <v>31.45</v>
      </c>
      <c r="L192">
        <v>31.56</v>
      </c>
      <c r="M192">
        <v>31.66</v>
      </c>
    </row>
    <row r="193" spans="1:13" x14ac:dyDescent="0.25">
      <c r="A193" s="1">
        <v>39724</v>
      </c>
      <c r="B193">
        <v>33.51</v>
      </c>
      <c r="C193">
        <v>34.11</v>
      </c>
      <c r="D193">
        <v>35.24</v>
      </c>
      <c r="E193">
        <v>35.17</v>
      </c>
      <c r="F193">
        <v>35.479999999999997</v>
      </c>
      <c r="G193">
        <v>35.799999999999997</v>
      </c>
      <c r="H193">
        <v>28.52</v>
      </c>
      <c r="I193">
        <v>28.58</v>
      </c>
      <c r="J193">
        <v>28.65</v>
      </c>
      <c r="K193">
        <v>32.380000000000003</v>
      </c>
      <c r="L193">
        <v>32.5</v>
      </c>
      <c r="M193">
        <v>32.61</v>
      </c>
    </row>
    <row r="194" spans="1:13" x14ac:dyDescent="0.25">
      <c r="A194" s="1">
        <v>39727</v>
      </c>
      <c r="B194">
        <v>31.36</v>
      </c>
      <c r="C194">
        <v>31.92</v>
      </c>
      <c r="D194">
        <v>32.979999999999997</v>
      </c>
      <c r="E194">
        <v>31.8</v>
      </c>
      <c r="F194">
        <v>32.090000000000003</v>
      </c>
      <c r="G194">
        <v>32.369999999999997</v>
      </c>
      <c r="H194">
        <v>25.9</v>
      </c>
      <c r="I194">
        <v>25.96</v>
      </c>
      <c r="J194">
        <v>26.02</v>
      </c>
      <c r="K194">
        <v>29.51</v>
      </c>
      <c r="L194">
        <v>29.61</v>
      </c>
      <c r="M194">
        <v>29.71</v>
      </c>
    </row>
    <row r="195" spans="1:13" x14ac:dyDescent="0.25">
      <c r="A195" s="1">
        <v>39728</v>
      </c>
      <c r="B195">
        <v>30.58</v>
      </c>
      <c r="C195">
        <v>31.13</v>
      </c>
      <c r="D195">
        <v>32.159999999999997</v>
      </c>
      <c r="E195">
        <v>31.13</v>
      </c>
      <c r="F195">
        <v>31.41</v>
      </c>
      <c r="G195">
        <v>31.69</v>
      </c>
      <c r="H195">
        <v>25.47</v>
      </c>
      <c r="I195">
        <v>25.53</v>
      </c>
      <c r="J195">
        <v>25.59</v>
      </c>
      <c r="K195">
        <v>27.71</v>
      </c>
      <c r="L195">
        <v>27.81</v>
      </c>
      <c r="M195">
        <v>27.9</v>
      </c>
    </row>
    <row r="196" spans="1:13" x14ac:dyDescent="0.25">
      <c r="A196" s="1">
        <v>39729</v>
      </c>
      <c r="B196">
        <v>29.42</v>
      </c>
      <c r="C196">
        <v>29.94</v>
      </c>
      <c r="D196">
        <v>30.94</v>
      </c>
      <c r="E196">
        <v>29.09</v>
      </c>
      <c r="F196">
        <v>29.35</v>
      </c>
      <c r="G196">
        <v>29.61</v>
      </c>
      <c r="H196">
        <v>23.86</v>
      </c>
      <c r="I196">
        <v>23.91</v>
      </c>
      <c r="J196">
        <v>23.97</v>
      </c>
      <c r="K196">
        <v>26.72</v>
      </c>
      <c r="L196">
        <v>26.82</v>
      </c>
      <c r="M196">
        <v>26.91</v>
      </c>
    </row>
    <row r="197" spans="1:13" x14ac:dyDescent="0.25">
      <c r="A197" s="1">
        <v>39730</v>
      </c>
      <c r="B197">
        <v>29.01</v>
      </c>
      <c r="C197">
        <v>29.53</v>
      </c>
      <c r="D197">
        <v>30.51</v>
      </c>
      <c r="E197">
        <v>28.03</v>
      </c>
      <c r="F197">
        <v>28.29</v>
      </c>
      <c r="G197">
        <v>28.54</v>
      </c>
      <c r="H197">
        <v>23.49</v>
      </c>
      <c r="I197">
        <v>23.54</v>
      </c>
      <c r="J197">
        <v>23.6</v>
      </c>
      <c r="K197">
        <v>25.67</v>
      </c>
      <c r="L197">
        <v>25.76</v>
      </c>
      <c r="M197">
        <v>25.86</v>
      </c>
    </row>
    <row r="198" spans="1:13" x14ac:dyDescent="0.25">
      <c r="A198" s="1">
        <v>39731</v>
      </c>
      <c r="B198">
        <v>26.56</v>
      </c>
      <c r="C198">
        <v>27.04</v>
      </c>
      <c r="D198">
        <v>27.94</v>
      </c>
      <c r="E198">
        <v>25.77</v>
      </c>
      <c r="F198">
        <v>26</v>
      </c>
      <c r="G198">
        <v>26.23</v>
      </c>
      <c r="H198">
        <v>21.38</v>
      </c>
      <c r="I198">
        <v>21.43</v>
      </c>
      <c r="J198">
        <v>21.48</v>
      </c>
      <c r="K198">
        <v>25.01</v>
      </c>
      <c r="L198">
        <v>25.1</v>
      </c>
      <c r="M198">
        <v>25.19</v>
      </c>
    </row>
    <row r="199" spans="1:13" x14ac:dyDescent="0.25">
      <c r="A199" s="1">
        <v>39734</v>
      </c>
      <c r="B199">
        <v>27.75</v>
      </c>
      <c r="C199">
        <v>28.25</v>
      </c>
      <c r="D199">
        <v>29.19</v>
      </c>
      <c r="E199">
        <v>27.25</v>
      </c>
      <c r="F199">
        <v>27.5</v>
      </c>
      <c r="G199">
        <v>27.75</v>
      </c>
      <c r="H199">
        <v>22.31</v>
      </c>
      <c r="I199">
        <v>22.36</v>
      </c>
      <c r="J199">
        <v>22.41</v>
      </c>
      <c r="K199">
        <v>28.34</v>
      </c>
      <c r="L199">
        <v>28.44</v>
      </c>
      <c r="M199">
        <v>28.54</v>
      </c>
    </row>
    <row r="200" spans="1:13" x14ac:dyDescent="0.25">
      <c r="A200" s="1">
        <v>39735</v>
      </c>
      <c r="B200">
        <v>28.94</v>
      </c>
      <c r="C200">
        <v>29.46</v>
      </c>
      <c r="D200">
        <v>30.44</v>
      </c>
      <c r="E200">
        <v>28.96</v>
      </c>
      <c r="F200">
        <v>29.22</v>
      </c>
      <c r="G200">
        <v>29.48</v>
      </c>
      <c r="H200">
        <v>23.44</v>
      </c>
      <c r="I200">
        <v>23.49</v>
      </c>
      <c r="J200">
        <v>23.55</v>
      </c>
      <c r="K200">
        <v>28.9</v>
      </c>
      <c r="L200">
        <v>29</v>
      </c>
      <c r="M200">
        <v>29.11</v>
      </c>
    </row>
    <row r="201" spans="1:13" x14ac:dyDescent="0.25">
      <c r="A201" s="1">
        <v>39736</v>
      </c>
      <c r="B201">
        <v>27.09</v>
      </c>
      <c r="C201">
        <v>27.58</v>
      </c>
      <c r="D201">
        <v>28.5</v>
      </c>
      <c r="E201">
        <v>26.8</v>
      </c>
      <c r="F201">
        <v>27.05</v>
      </c>
      <c r="G201">
        <v>27.29</v>
      </c>
      <c r="H201">
        <v>21.96</v>
      </c>
      <c r="I201">
        <v>22.01</v>
      </c>
      <c r="J201">
        <v>22.06</v>
      </c>
      <c r="K201">
        <v>26</v>
      </c>
      <c r="L201">
        <v>26.1</v>
      </c>
      <c r="M201">
        <v>26.19</v>
      </c>
    </row>
    <row r="202" spans="1:13" x14ac:dyDescent="0.25">
      <c r="A202" s="1">
        <v>39737</v>
      </c>
      <c r="B202">
        <v>25.71</v>
      </c>
      <c r="C202">
        <v>26.17</v>
      </c>
      <c r="D202">
        <v>27.04</v>
      </c>
      <c r="E202">
        <v>24.73</v>
      </c>
      <c r="F202">
        <v>24.95</v>
      </c>
      <c r="G202">
        <v>25.18</v>
      </c>
      <c r="H202">
        <v>20.079999999999998</v>
      </c>
      <c r="I202">
        <v>20.13</v>
      </c>
      <c r="J202">
        <v>20.18</v>
      </c>
      <c r="K202">
        <v>24.95</v>
      </c>
      <c r="L202">
        <v>25.04</v>
      </c>
      <c r="M202">
        <v>25.13</v>
      </c>
    </row>
    <row r="203" spans="1:13" x14ac:dyDescent="0.25">
      <c r="A203" s="1">
        <v>39738</v>
      </c>
      <c r="B203">
        <v>24.79</v>
      </c>
      <c r="C203">
        <v>25.24</v>
      </c>
      <c r="D203">
        <v>26.08</v>
      </c>
      <c r="E203">
        <v>23.37</v>
      </c>
      <c r="F203">
        <v>23.59</v>
      </c>
      <c r="G203">
        <v>23.8</v>
      </c>
      <c r="H203">
        <v>19.09</v>
      </c>
      <c r="I203">
        <v>19.13</v>
      </c>
      <c r="J203">
        <v>19.18</v>
      </c>
      <c r="K203">
        <v>25.04</v>
      </c>
      <c r="L203">
        <v>25.14</v>
      </c>
      <c r="M203">
        <v>25.23</v>
      </c>
    </row>
    <row r="204" spans="1:13" x14ac:dyDescent="0.25">
      <c r="A204" s="1">
        <v>39741</v>
      </c>
      <c r="B204">
        <v>25.22</v>
      </c>
      <c r="C204">
        <v>25.68</v>
      </c>
      <c r="D204">
        <v>26.54</v>
      </c>
      <c r="E204">
        <v>23.63</v>
      </c>
      <c r="F204">
        <v>23.85</v>
      </c>
      <c r="G204">
        <v>24.07</v>
      </c>
      <c r="H204">
        <v>19.48</v>
      </c>
      <c r="I204">
        <v>19.53</v>
      </c>
      <c r="J204">
        <v>19.579999999999998</v>
      </c>
      <c r="K204">
        <v>26.41</v>
      </c>
      <c r="L204">
        <v>26.5</v>
      </c>
      <c r="M204">
        <v>26.6</v>
      </c>
    </row>
    <row r="205" spans="1:13" x14ac:dyDescent="0.25">
      <c r="A205" s="1">
        <v>39742</v>
      </c>
      <c r="B205">
        <v>25.38</v>
      </c>
      <c r="C205">
        <v>25.84</v>
      </c>
      <c r="D205">
        <v>26.7</v>
      </c>
      <c r="E205">
        <v>23.64</v>
      </c>
      <c r="F205">
        <v>23.85</v>
      </c>
      <c r="G205">
        <v>24.07</v>
      </c>
      <c r="H205">
        <v>19.59</v>
      </c>
      <c r="I205">
        <v>19.64</v>
      </c>
      <c r="J205">
        <v>19.690000000000001</v>
      </c>
      <c r="K205">
        <v>26.77</v>
      </c>
      <c r="L205">
        <v>26.88</v>
      </c>
      <c r="M205">
        <v>26.98</v>
      </c>
    </row>
    <row r="206" spans="1:13" x14ac:dyDescent="0.25">
      <c r="A206" s="1">
        <v>39743</v>
      </c>
      <c r="B206">
        <v>24.09</v>
      </c>
      <c r="C206">
        <v>24.52</v>
      </c>
      <c r="D206">
        <v>25.34</v>
      </c>
      <c r="E206">
        <v>22.69</v>
      </c>
      <c r="F206">
        <v>22.9</v>
      </c>
      <c r="G206">
        <v>23.11</v>
      </c>
      <c r="H206">
        <v>18.71</v>
      </c>
      <c r="I206">
        <v>18.75</v>
      </c>
      <c r="J206">
        <v>18.8</v>
      </c>
      <c r="K206">
        <v>25.49</v>
      </c>
      <c r="L206">
        <v>25.59</v>
      </c>
      <c r="M206">
        <v>25.68</v>
      </c>
    </row>
    <row r="207" spans="1:13" x14ac:dyDescent="0.25">
      <c r="A207" s="1">
        <v>39744</v>
      </c>
      <c r="B207">
        <v>23.59</v>
      </c>
      <c r="C207">
        <v>24.02</v>
      </c>
      <c r="D207">
        <v>24.82</v>
      </c>
      <c r="E207">
        <v>22.45</v>
      </c>
      <c r="F207">
        <v>22.65</v>
      </c>
      <c r="G207">
        <v>22.86</v>
      </c>
      <c r="H207">
        <v>18.34</v>
      </c>
      <c r="I207">
        <v>18.39</v>
      </c>
      <c r="J207">
        <v>18.43</v>
      </c>
      <c r="K207">
        <v>25.39</v>
      </c>
      <c r="L207">
        <v>25.48</v>
      </c>
      <c r="M207">
        <v>25.58</v>
      </c>
    </row>
    <row r="208" spans="1:13" x14ac:dyDescent="0.25">
      <c r="A208" s="1">
        <v>39745</v>
      </c>
      <c r="B208">
        <v>23.07</v>
      </c>
      <c r="C208">
        <v>23.49</v>
      </c>
      <c r="D208">
        <v>24.28</v>
      </c>
      <c r="E208">
        <v>22</v>
      </c>
      <c r="F208">
        <v>22.2</v>
      </c>
      <c r="G208">
        <v>22.41</v>
      </c>
      <c r="H208">
        <v>17.84</v>
      </c>
      <c r="I208">
        <v>17.88</v>
      </c>
      <c r="J208">
        <v>17.93</v>
      </c>
      <c r="K208">
        <v>24.91</v>
      </c>
      <c r="L208">
        <v>25.01</v>
      </c>
      <c r="M208">
        <v>25.1</v>
      </c>
    </row>
    <row r="209" spans="1:13" x14ac:dyDescent="0.25">
      <c r="A209" s="1">
        <v>39748</v>
      </c>
      <c r="B209">
        <v>22.24</v>
      </c>
      <c r="C209">
        <v>22.64</v>
      </c>
      <c r="D209">
        <v>23.4</v>
      </c>
      <c r="E209">
        <v>20.99</v>
      </c>
      <c r="F209">
        <v>21.18</v>
      </c>
      <c r="G209">
        <v>21.38</v>
      </c>
      <c r="H209">
        <v>17.350000000000001</v>
      </c>
      <c r="I209">
        <v>17.39</v>
      </c>
      <c r="J209">
        <v>17.43</v>
      </c>
      <c r="K209">
        <v>22.48</v>
      </c>
      <c r="L209">
        <v>22.57</v>
      </c>
      <c r="M209">
        <v>22.65</v>
      </c>
    </row>
    <row r="210" spans="1:13" x14ac:dyDescent="0.25">
      <c r="A210" s="1">
        <v>39749</v>
      </c>
      <c r="B210">
        <v>22.53</v>
      </c>
      <c r="C210">
        <v>22.94</v>
      </c>
      <c r="D210">
        <v>23.7</v>
      </c>
      <c r="E210">
        <v>21.52</v>
      </c>
      <c r="F210">
        <v>21.72</v>
      </c>
      <c r="G210">
        <v>21.92</v>
      </c>
      <c r="H210">
        <v>17.77</v>
      </c>
      <c r="I210">
        <v>17.82</v>
      </c>
      <c r="J210">
        <v>17.86</v>
      </c>
      <c r="K210">
        <v>22.48</v>
      </c>
      <c r="L210">
        <v>22.57</v>
      </c>
      <c r="M210">
        <v>22.65</v>
      </c>
    </row>
    <row r="211" spans="1:13" x14ac:dyDescent="0.25">
      <c r="A211" s="1">
        <v>39750</v>
      </c>
      <c r="B211">
        <v>23.68</v>
      </c>
      <c r="C211">
        <v>24.11</v>
      </c>
      <c r="D211">
        <v>24.91</v>
      </c>
      <c r="E211">
        <v>22.17</v>
      </c>
      <c r="F211">
        <v>22.37</v>
      </c>
      <c r="G211">
        <v>22.58</v>
      </c>
      <c r="H211">
        <v>18.13</v>
      </c>
      <c r="I211">
        <v>18.18</v>
      </c>
      <c r="J211">
        <v>18.22</v>
      </c>
      <c r="K211">
        <v>23.7</v>
      </c>
      <c r="L211">
        <v>23.79</v>
      </c>
      <c r="M211">
        <v>23.88</v>
      </c>
    </row>
    <row r="212" spans="1:13" x14ac:dyDescent="0.25">
      <c r="A212" s="1">
        <v>39751</v>
      </c>
      <c r="B212">
        <v>24.22</v>
      </c>
      <c r="C212">
        <v>24.66</v>
      </c>
      <c r="D212">
        <v>25.49</v>
      </c>
      <c r="E212">
        <v>23.16</v>
      </c>
      <c r="F212">
        <v>23.37</v>
      </c>
      <c r="G212">
        <v>23.59</v>
      </c>
      <c r="H212">
        <v>18.940000000000001</v>
      </c>
      <c r="I212">
        <v>18.989999999999998</v>
      </c>
      <c r="J212">
        <v>19.03</v>
      </c>
      <c r="K212">
        <v>24.66</v>
      </c>
      <c r="L212">
        <v>24.75</v>
      </c>
      <c r="M212">
        <v>24.85</v>
      </c>
    </row>
    <row r="213" spans="1:13" x14ac:dyDescent="0.25">
      <c r="A213" s="1">
        <v>39752</v>
      </c>
      <c r="B213">
        <v>24.82</v>
      </c>
      <c r="C213">
        <v>25.27</v>
      </c>
      <c r="D213">
        <v>26.11</v>
      </c>
      <c r="E213">
        <v>23.77</v>
      </c>
      <c r="F213">
        <v>23.99</v>
      </c>
      <c r="G213">
        <v>24.22</v>
      </c>
      <c r="H213">
        <v>19.649999999999999</v>
      </c>
      <c r="I213">
        <v>19.7</v>
      </c>
      <c r="J213">
        <v>19.75</v>
      </c>
      <c r="K213">
        <v>25.98</v>
      </c>
      <c r="L213">
        <v>26.09</v>
      </c>
      <c r="M213">
        <v>26.19</v>
      </c>
    </row>
    <row r="214" spans="1:13" x14ac:dyDescent="0.25">
      <c r="A214" s="1">
        <v>39755</v>
      </c>
      <c r="B214">
        <v>25.05</v>
      </c>
      <c r="C214">
        <v>25.5</v>
      </c>
      <c r="D214">
        <v>26.36</v>
      </c>
      <c r="E214">
        <v>24</v>
      </c>
      <c r="F214">
        <v>24.23</v>
      </c>
      <c r="G214">
        <v>24.45</v>
      </c>
      <c r="H214">
        <v>19.87</v>
      </c>
      <c r="I214">
        <v>19.920000000000002</v>
      </c>
      <c r="J214">
        <v>19.97</v>
      </c>
      <c r="K214">
        <v>26.01</v>
      </c>
      <c r="L214">
        <v>26.11</v>
      </c>
      <c r="M214">
        <v>26.22</v>
      </c>
    </row>
    <row r="215" spans="1:13" x14ac:dyDescent="0.25">
      <c r="A215" s="1">
        <v>39756</v>
      </c>
      <c r="B215">
        <v>26.31</v>
      </c>
      <c r="C215">
        <v>26.8</v>
      </c>
      <c r="D215">
        <v>27.69</v>
      </c>
      <c r="E215">
        <v>25.46</v>
      </c>
      <c r="F215">
        <v>25.69</v>
      </c>
      <c r="G215">
        <v>25.93</v>
      </c>
      <c r="H215">
        <v>21.15</v>
      </c>
      <c r="I215">
        <v>21.2</v>
      </c>
      <c r="J215">
        <v>21.26</v>
      </c>
      <c r="K215">
        <v>28.23</v>
      </c>
      <c r="L215">
        <v>28.34</v>
      </c>
      <c r="M215">
        <v>28.45</v>
      </c>
    </row>
    <row r="216" spans="1:13" x14ac:dyDescent="0.25">
      <c r="A216" s="1">
        <v>39757</v>
      </c>
      <c r="B216">
        <v>25.61</v>
      </c>
      <c r="C216">
        <v>26.08</v>
      </c>
      <c r="D216">
        <v>26.96</v>
      </c>
      <c r="E216">
        <v>24.19</v>
      </c>
      <c r="F216">
        <v>24.42</v>
      </c>
      <c r="G216">
        <v>24.64</v>
      </c>
      <c r="H216">
        <v>20.04</v>
      </c>
      <c r="I216">
        <v>20.09</v>
      </c>
      <c r="J216">
        <v>20.14</v>
      </c>
      <c r="K216">
        <v>26.84</v>
      </c>
      <c r="L216">
        <v>26.95</v>
      </c>
      <c r="M216">
        <v>27.06</v>
      </c>
    </row>
    <row r="217" spans="1:13" x14ac:dyDescent="0.25">
      <c r="A217" s="1">
        <v>39758</v>
      </c>
      <c r="B217">
        <v>24.83</v>
      </c>
      <c r="C217">
        <v>25.28</v>
      </c>
      <c r="D217">
        <v>26.13</v>
      </c>
      <c r="E217">
        <v>23.28</v>
      </c>
      <c r="F217">
        <v>23.5</v>
      </c>
      <c r="G217">
        <v>23.72</v>
      </c>
      <c r="H217">
        <v>19.440000000000001</v>
      </c>
      <c r="I217">
        <v>19.489999999999998</v>
      </c>
      <c r="J217">
        <v>19.54</v>
      </c>
      <c r="K217">
        <v>24.99</v>
      </c>
      <c r="L217">
        <v>25.09</v>
      </c>
      <c r="M217">
        <v>25.19</v>
      </c>
    </row>
    <row r="218" spans="1:13" x14ac:dyDescent="0.25">
      <c r="A218" s="1">
        <v>39759</v>
      </c>
      <c r="B218">
        <v>25.21</v>
      </c>
      <c r="C218">
        <v>25.68</v>
      </c>
      <c r="D218">
        <v>26.54</v>
      </c>
      <c r="E218">
        <v>23.71</v>
      </c>
      <c r="F218">
        <v>23.93</v>
      </c>
      <c r="G218">
        <v>24.15</v>
      </c>
      <c r="H218">
        <v>19.7</v>
      </c>
      <c r="I218">
        <v>19.75</v>
      </c>
      <c r="J218">
        <v>19.8</v>
      </c>
      <c r="K218">
        <v>26.01</v>
      </c>
      <c r="L218">
        <v>26.12</v>
      </c>
      <c r="M218">
        <v>26.22</v>
      </c>
    </row>
    <row r="219" spans="1:13" x14ac:dyDescent="0.25">
      <c r="A219" s="1">
        <v>39762</v>
      </c>
      <c r="B219">
        <v>25.28</v>
      </c>
      <c r="C219">
        <v>25.75</v>
      </c>
      <c r="D219">
        <v>26.61</v>
      </c>
      <c r="E219">
        <v>23.46</v>
      </c>
      <c r="F219">
        <v>23.68</v>
      </c>
      <c r="G219">
        <v>23.9</v>
      </c>
      <c r="H219">
        <v>19.53</v>
      </c>
      <c r="I219">
        <v>19.579999999999998</v>
      </c>
      <c r="J219">
        <v>19.63</v>
      </c>
      <c r="K219">
        <v>26.58</v>
      </c>
      <c r="L219">
        <v>26.69</v>
      </c>
      <c r="M219">
        <v>26.8</v>
      </c>
    </row>
    <row r="220" spans="1:13" x14ac:dyDescent="0.25">
      <c r="A220" s="1">
        <v>39764</v>
      </c>
      <c r="B220">
        <v>24.23</v>
      </c>
      <c r="C220">
        <v>24.68</v>
      </c>
      <c r="D220">
        <v>25.51</v>
      </c>
      <c r="E220">
        <v>21.59</v>
      </c>
      <c r="F220">
        <v>21.79</v>
      </c>
      <c r="G220">
        <v>22</v>
      </c>
      <c r="H220">
        <v>18.350000000000001</v>
      </c>
      <c r="I220">
        <v>18.399999999999999</v>
      </c>
      <c r="J220">
        <v>18.440000000000001</v>
      </c>
      <c r="K220">
        <v>24.26</v>
      </c>
      <c r="L220">
        <v>24.35</v>
      </c>
      <c r="M220">
        <v>24.45</v>
      </c>
    </row>
    <row r="221" spans="1:13" x14ac:dyDescent="0.25">
      <c r="A221" s="1">
        <v>39765</v>
      </c>
      <c r="B221">
        <v>23.23</v>
      </c>
      <c r="C221">
        <v>23.66</v>
      </c>
      <c r="D221">
        <v>24.46</v>
      </c>
      <c r="E221">
        <v>20.93</v>
      </c>
      <c r="F221">
        <v>21.13</v>
      </c>
      <c r="G221">
        <v>21.33</v>
      </c>
      <c r="H221">
        <v>17.850000000000001</v>
      </c>
      <c r="I221">
        <v>17.899999999999999</v>
      </c>
      <c r="J221">
        <v>17.95</v>
      </c>
      <c r="K221">
        <v>24.49</v>
      </c>
      <c r="L221">
        <v>24.59</v>
      </c>
      <c r="M221">
        <v>24.69</v>
      </c>
    </row>
    <row r="222" spans="1:13" x14ac:dyDescent="0.25">
      <c r="A222" s="1">
        <v>39766</v>
      </c>
      <c r="B222">
        <v>23.54</v>
      </c>
      <c r="C222">
        <v>23.98</v>
      </c>
      <c r="D222">
        <v>24.78</v>
      </c>
      <c r="E222">
        <v>21.25</v>
      </c>
      <c r="F222">
        <v>21.45</v>
      </c>
      <c r="G222">
        <v>21.65</v>
      </c>
      <c r="H222">
        <v>18.18</v>
      </c>
      <c r="I222">
        <v>18.22</v>
      </c>
      <c r="J222">
        <v>18.27</v>
      </c>
      <c r="K222">
        <v>24.12</v>
      </c>
      <c r="L222">
        <v>24.21</v>
      </c>
      <c r="M222">
        <v>24.31</v>
      </c>
    </row>
    <row r="223" spans="1:13" x14ac:dyDescent="0.25">
      <c r="A223" s="1">
        <v>39769</v>
      </c>
      <c r="B223">
        <v>22.82</v>
      </c>
      <c r="C223">
        <v>23.25</v>
      </c>
      <c r="D223">
        <v>24.03</v>
      </c>
      <c r="E223">
        <v>20.78</v>
      </c>
      <c r="F223">
        <v>20.97</v>
      </c>
      <c r="G223">
        <v>21.17</v>
      </c>
      <c r="H223">
        <v>17.510000000000002</v>
      </c>
      <c r="I223">
        <v>17.559999999999999</v>
      </c>
      <c r="J223">
        <v>17.61</v>
      </c>
      <c r="K223">
        <v>23.76</v>
      </c>
      <c r="L223">
        <v>23.86</v>
      </c>
      <c r="M223">
        <v>23.96</v>
      </c>
    </row>
    <row r="224" spans="1:13" x14ac:dyDescent="0.25">
      <c r="A224" s="1">
        <v>39770</v>
      </c>
      <c r="B224">
        <v>22.32</v>
      </c>
      <c r="C224">
        <v>22.73</v>
      </c>
      <c r="D224">
        <v>23.49</v>
      </c>
      <c r="E224">
        <v>20.6</v>
      </c>
      <c r="F224">
        <v>20.79</v>
      </c>
      <c r="G224">
        <v>20.99</v>
      </c>
      <c r="H224">
        <v>17.489999999999998</v>
      </c>
      <c r="I224">
        <v>17.53</v>
      </c>
      <c r="J224">
        <v>17.579999999999998</v>
      </c>
      <c r="K224">
        <v>23.86</v>
      </c>
      <c r="L224">
        <v>23.96</v>
      </c>
      <c r="M224">
        <v>24.05</v>
      </c>
    </row>
    <row r="225" spans="1:13" x14ac:dyDescent="0.25">
      <c r="A225" s="1">
        <v>39771</v>
      </c>
      <c r="B225">
        <v>21.88</v>
      </c>
      <c r="C225">
        <v>22.29</v>
      </c>
      <c r="D225">
        <v>23.04</v>
      </c>
      <c r="E225">
        <v>19.579999999999998</v>
      </c>
      <c r="F225">
        <v>19.77</v>
      </c>
      <c r="G225">
        <v>19.96</v>
      </c>
      <c r="H225">
        <v>16.64</v>
      </c>
      <c r="I225">
        <v>16.690000000000001</v>
      </c>
      <c r="J225">
        <v>16.73</v>
      </c>
      <c r="K225">
        <v>22.15</v>
      </c>
      <c r="L225">
        <v>22.24</v>
      </c>
      <c r="M225">
        <v>22.34</v>
      </c>
    </row>
    <row r="226" spans="1:13" x14ac:dyDescent="0.25">
      <c r="A226" s="1">
        <v>39772</v>
      </c>
      <c r="B226">
        <v>20.82</v>
      </c>
      <c r="C226">
        <v>21.21</v>
      </c>
      <c r="D226">
        <v>21.92</v>
      </c>
      <c r="E226">
        <v>18.760000000000002</v>
      </c>
      <c r="F226">
        <v>18.940000000000001</v>
      </c>
      <c r="G226">
        <v>19.12</v>
      </c>
      <c r="H226">
        <v>16.04</v>
      </c>
      <c r="I226">
        <v>16.079999999999998</v>
      </c>
      <c r="J226">
        <v>16.12</v>
      </c>
      <c r="K226">
        <v>20.62</v>
      </c>
      <c r="L226">
        <v>20.71</v>
      </c>
      <c r="M226">
        <v>20.8</v>
      </c>
    </row>
    <row r="227" spans="1:13" x14ac:dyDescent="0.25">
      <c r="A227" s="1">
        <v>39773</v>
      </c>
      <c r="B227">
        <v>21.17</v>
      </c>
      <c r="C227">
        <v>21.57</v>
      </c>
      <c r="D227">
        <v>22.29</v>
      </c>
      <c r="E227">
        <v>18.97</v>
      </c>
      <c r="F227">
        <v>19.149999999999999</v>
      </c>
      <c r="G227">
        <v>19.329999999999998</v>
      </c>
      <c r="H227">
        <v>16.309999999999999</v>
      </c>
      <c r="I227">
        <v>16.350000000000001</v>
      </c>
      <c r="J227">
        <v>16.39</v>
      </c>
      <c r="K227">
        <v>20.329999999999998</v>
      </c>
      <c r="L227">
        <v>20.41</v>
      </c>
      <c r="M227">
        <v>20.5</v>
      </c>
    </row>
    <row r="228" spans="1:13" x14ac:dyDescent="0.25">
      <c r="A228" s="1">
        <v>39776</v>
      </c>
      <c r="B228">
        <v>22.57</v>
      </c>
      <c r="C228">
        <v>22.99</v>
      </c>
      <c r="D228">
        <v>23.77</v>
      </c>
      <c r="E228">
        <v>21.12</v>
      </c>
      <c r="F228">
        <v>21.32</v>
      </c>
      <c r="G228">
        <v>21.53</v>
      </c>
      <c r="H228">
        <v>18.12</v>
      </c>
      <c r="I228">
        <v>18.170000000000002</v>
      </c>
      <c r="J228">
        <v>18.21</v>
      </c>
      <c r="K228">
        <v>22.54</v>
      </c>
      <c r="L228">
        <v>22.64</v>
      </c>
      <c r="M228">
        <v>22.74</v>
      </c>
    </row>
    <row r="229" spans="1:13" x14ac:dyDescent="0.25">
      <c r="A229" s="1">
        <v>39777</v>
      </c>
      <c r="B229">
        <v>22.78</v>
      </c>
      <c r="C229">
        <v>23.21</v>
      </c>
      <c r="D229">
        <v>23.99</v>
      </c>
      <c r="E229">
        <v>21.58</v>
      </c>
      <c r="F229">
        <v>21.79</v>
      </c>
      <c r="G229">
        <v>22</v>
      </c>
      <c r="H229">
        <v>18.2</v>
      </c>
      <c r="I229">
        <v>18.239999999999998</v>
      </c>
      <c r="J229">
        <v>18.29</v>
      </c>
      <c r="K229">
        <v>23.11</v>
      </c>
      <c r="L229">
        <v>23.21</v>
      </c>
      <c r="M229">
        <v>23.31</v>
      </c>
    </row>
    <row r="230" spans="1:13" x14ac:dyDescent="0.25">
      <c r="A230" s="1">
        <v>39778</v>
      </c>
      <c r="B230">
        <v>22.81</v>
      </c>
      <c r="C230">
        <v>23.23</v>
      </c>
      <c r="D230">
        <v>24.02</v>
      </c>
      <c r="E230">
        <v>21.23</v>
      </c>
      <c r="F230">
        <v>21.44</v>
      </c>
      <c r="G230">
        <v>21.64</v>
      </c>
      <c r="H230">
        <v>17.93</v>
      </c>
      <c r="I230">
        <v>17.98</v>
      </c>
      <c r="J230">
        <v>18.03</v>
      </c>
      <c r="K230">
        <v>23.49</v>
      </c>
      <c r="L230">
        <v>23.59</v>
      </c>
      <c r="M230">
        <v>23.69</v>
      </c>
    </row>
    <row r="231" spans="1:13" x14ac:dyDescent="0.25">
      <c r="A231" s="1">
        <v>39779</v>
      </c>
      <c r="B231">
        <v>23.21</v>
      </c>
      <c r="C231">
        <v>23.64</v>
      </c>
      <c r="D231">
        <v>24.44</v>
      </c>
      <c r="E231">
        <v>22.03</v>
      </c>
      <c r="F231">
        <v>22.24</v>
      </c>
      <c r="G231">
        <v>22.45</v>
      </c>
      <c r="H231">
        <v>18.45</v>
      </c>
      <c r="I231">
        <v>18.5</v>
      </c>
      <c r="J231">
        <v>18.55</v>
      </c>
      <c r="K231">
        <v>24.2</v>
      </c>
      <c r="L231">
        <v>24.31</v>
      </c>
      <c r="M231">
        <v>24.41</v>
      </c>
    </row>
    <row r="232" spans="1:13" x14ac:dyDescent="0.25">
      <c r="A232" s="1">
        <v>39780</v>
      </c>
      <c r="B232">
        <v>23.12</v>
      </c>
      <c r="C232">
        <v>23.55</v>
      </c>
      <c r="D232">
        <v>24.35</v>
      </c>
      <c r="E232">
        <v>22.2</v>
      </c>
      <c r="F232">
        <v>22.42</v>
      </c>
      <c r="G232">
        <v>22.63</v>
      </c>
      <c r="H232">
        <v>18.489999999999998</v>
      </c>
      <c r="I232">
        <v>18.54</v>
      </c>
      <c r="J232">
        <v>18.59</v>
      </c>
      <c r="K232">
        <v>24.25</v>
      </c>
      <c r="L232">
        <v>24.35</v>
      </c>
      <c r="M232">
        <v>24.45</v>
      </c>
    </row>
    <row r="233" spans="1:13" x14ac:dyDescent="0.25">
      <c r="A233" s="1">
        <v>39783</v>
      </c>
      <c r="B233">
        <v>22.23</v>
      </c>
      <c r="C233">
        <v>22.64</v>
      </c>
      <c r="D233">
        <v>23.41</v>
      </c>
      <c r="E233">
        <v>21.45</v>
      </c>
      <c r="F233">
        <v>21.66</v>
      </c>
      <c r="G233">
        <v>21.87</v>
      </c>
      <c r="H233">
        <v>17.91</v>
      </c>
      <c r="I233">
        <v>17.96</v>
      </c>
      <c r="J233">
        <v>18.010000000000002</v>
      </c>
      <c r="K233">
        <v>22.51</v>
      </c>
      <c r="L233">
        <v>22.61</v>
      </c>
      <c r="M233">
        <v>22.71</v>
      </c>
    </row>
    <row r="234" spans="1:13" x14ac:dyDescent="0.25">
      <c r="A234" s="1">
        <v>39784</v>
      </c>
      <c r="B234">
        <v>22.35</v>
      </c>
      <c r="C234">
        <v>22.77</v>
      </c>
      <c r="D234">
        <v>23.54</v>
      </c>
      <c r="E234">
        <v>21.6</v>
      </c>
      <c r="F234">
        <v>21.81</v>
      </c>
      <c r="G234">
        <v>22.02</v>
      </c>
      <c r="H234">
        <v>18.010000000000002</v>
      </c>
      <c r="I234">
        <v>18.059999999999999</v>
      </c>
      <c r="J234">
        <v>18.11</v>
      </c>
      <c r="K234">
        <v>22.84</v>
      </c>
      <c r="L234">
        <v>22.94</v>
      </c>
      <c r="M234">
        <v>23.04</v>
      </c>
    </row>
    <row r="235" spans="1:13" x14ac:dyDescent="0.25">
      <c r="A235" s="1">
        <v>39785</v>
      </c>
      <c r="B235">
        <v>22.27</v>
      </c>
      <c r="C235">
        <v>22.69</v>
      </c>
      <c r="D235">
        <v>23.46</v>
      </c>
      <c r="E235">
        <v>21.39</v>
      </c>
      <c r="F235">
        <v>21.6</v>
      </c>
      <c r="G235">
        <v>21.81</v>
      </c>
      <c r="H235">
        <v>17.899999999999999</v>
      </c>
      <c r="I235">
        <v>17.95</v>
      </c>
      <c r="J235">
        <v>18</v>
      </c>
      <c r="K235">
        <v>22.8</v>
      </c>
      <c r="L235">
        <v>22.9</v>
      </c>
      <c r="M235">
        <v>23</v>
      </c>
    </row>
    <row r="236" spans="1:13" x14ac:dyDescent="0.25">
      <c r="A236" s="1">
        <v>39786</v>
      </c>
      <c r="B236">
        <v>22.7</v>
      </c>
      <c r="C236">
        <v>23.12</v>
      </c>
      <c r="D236">
        <v>23.91</v>
      </c>
      <c r="E236">
        <v>22.19</v>
      </c>
      <c r="F236">
        <v>22.41</v>
      </c>
      <c r="G236">
        <v>22.63</v>
      </c>
      <c r="H236">
        <v>18.510000000000002</v>
      </c>
      <c r="I236">
        <v>18.559999999999999</v>
      </c>
      <c r="J236">
        <v>18.61</v>
      </c>
      <c r="K236">
        <v>22.78</v>
      </c>
      <c r="L236">
        <v>22.88</v>
      </c>
      <c r="M236">
        <v>22.98</v>
      </c>
    </row>
    <row r="237" spans="1:13" x14ac:dyDescent="0.25">
      <c r="A237" s="1">
        <v>39787</v>
      </c>
      <c r="B237">
        <v>22.14</v>
      </c>
      <c r="C237">
        <v>22.56</v>
      </c>
      <c r="D237">
        <v>23.32</v>
      </c>
      <c r="E237">
        <v>21.24</v>
      </c>
      <c r="F237">
        <v>21.45</v>
      </c>
      <c r="G237">
        <v>21.66</v>
      </c>
      <c r="H237">
        <v>17.86</v>
      </c>
      <c r="I237">
        <v>17.899999999999999</v>
      </c>
      <c r="J237">
        <v>17.95</v>
      </c>
      <c r="K237">
        <v>21.93</v>
      </c>
      <c r="L237">
        <v>22.03</v>
      </c>
      <c r="M237">
        <v>22.12</v>
      </c>
    </row>
    <row r="238" spans="1:13" x14ac:dyDescent="0.25">
      <c r="A238" s="1">
        <v>39790</v>
      </c>
      <c r="B238">
        <v>22.68</v>
      </c>
      <c r="C238">
        <v>23.1</v>
      </c>
      <c r="D238">
        <v>23.89</v>
      </c>
      <c r="E238">
        <v>21.26</v>
      </c>
      <c r="F238">
        <v>21.47</v>
      </c>
      <c r="G238">
        <v>21.68</v>
      </c>
      <c r="H238">
        <v>17.829999999999998</v>
      </c>
      <c r="I238">
        <v>17.88</v>
      </c>
      <c r="J238">
        <v>17.93</v>
      </c>
      <c r="K238">
        <v>23.05</v>
      </c>
      <c r="L238">
        <v>23.15</v>
      </c>
      <c r="M238">
        <v>23.26</v>
      </c>
    </row>
    <row r="239" spans="1:13" x14ac:dyDescent="0.25">
      <c r="A239" s="1">
        <v>39791</v>
      </c>
      <c r="B239">
        <v>23.17</v>
      </c>
      <c r="C239">
        <v>23.61</v>
      </c>
      <c r="D239">
        <v>24.41</v>
      </c>
      <c r="E239">
        <v>22.02</v>
      </c>
      <c r="F239">
        <v>22.23</v>
      </c>
      <c r="G239">
        <v>22.45</v>
      </c>
      <c r="H239">
        <v>18.37</v>
      </c>
      <c r="I239">
        <v>18.420000000000002</v>
      </c>
      <c r="J239">
        <v>18.47</v>
      </c>
      <c r="K239">
        <v>23.91</v>
      </c>
      <c r="L239">
        <v>24.01</v>
      </c>
      <c r="M239">
        <v>24.12</v>
      </c>
    </row>
    <row r="240" spans="1:13" x14ac:dyDescent="0.25">
      <c r="A240" s="1">
        <v>39792</v>
      </c>
      <c r="B240">
        <v>23.28</v>
      </c>
      <c r="C240">
        <v>23.72</v>
      </c>
      <c r="D240">
        <v>24.52</v>
      </c>
      <c r="E240">
        <v>22.36</v>
      </c>
      <c r="F240">
        <v>22.58</v>
      </c>
      <c r="G240">
        <v>22.8</v>
      </c>
      <c r="H240">
        <v>18.62</v>
      </c>
      <c r="I240">
        <v>18.670000000000002</v>
      </c>
      <c r="J240">
        <v>18.72</v>
      </c>
      <c r="K240">
        <v>24.82</v>
      </c>
      <c r="L240">
        <v>24.93</v>
      </c>
      <c r="M240">
        <v>25.04</v>
      </c>
    </row>
    <row r="241" spans="1:13" x14ac:dyDescent="0.25">
      <c r="A241" s="1">
        <v>39793</v>
      </c>
      <c r="B241">
        <v>23.21</v>
      </c>
      <c r="C241">
        <v>23.65</v>
      </c>
      <c r="D241">
        <v>24.46</v>
      </c>
      <c r="E241">
        <v>22.39</v>
      </c>
      <c r="F241">
        <v>22.61</v>
      </c>
      <c r="G241">
        <v>22.83</v>
      </c>
      <c r="H241">
        <v>18.690000000000001</v>
      </c>
      <c r="I241">
        <v>18.739999999999998</v>
      </c>
      <c r="J241">
        <v>18.79</v>
      </c>
      <c r="K241">
        <v>24.29</v>
      </c>
      <c r="L241">
        <v>24.4</v>
      </c>
      <c r="M241">
        <v>24.51</v>
      </c>
    </row>
    <row r="242" spans="1:13" x14ac:dyDescent="0.25">
      <c r="A242" s="1">
        <v>39794</v>
      </c>
      <c r="B242">
        <v>22.69</v>
      </c>
      <c r="C242">
        <v>23.12</v>
      </c>
      <c r="D242">
        <v>23.9</v>
      </c>
      <c r="E242">
        <v>21.77</v>
      </c>
      <c r="F242">
        <v>21.99</v>
      </c>
      <c r="G242">
        <v>22.2</v>
      </c>
      <c r="H242">
        <v>18.37</v>
      </c>
      <c r="I242">
        <v>18.43</v>
      </c>
      <c r="J242">
        <v>18.48</v>
      </c>
      <c r="K242">
        <v>23.71</v>
      </c>
      <c r="L242">
        <v>23.81</v>
      </c>
      <c r="M242">
        <v>23.92</v>
      </c>
    </row>
    <row r="243" spans="1:13" x14ac:dyDescent="0.25">
      <c r="A243" s="1">
        <v>39797</v>
      </c>
      <c r="B243">
        <v>22.95</v>
      </c>
      <c r="C243">
        <v>23.38</v>
      </c>
      <c r="D243">
        <v>24.18</v>
      </c>
      <c r="E243">
        <v>21.87</v>
      </c>
      <c r="F243">
        <v>22.09</v>
      </c>
      <c r="G243">
        <v>22.31</v>
      </c>
      <c r="H243">
        <v>18.53</v>
      </c>
      <c r="I243">
        <v>18.59</v>
      </c>
      <c r="J243">
        <v>18.64</v>
      </c>
      <c r="K243">
        <v>23.89</v>
      </c>
      <c r="L243">
        <v>23.99</v>
      </c>
      <c r="M243">
        <v>24.1</v>
      </c>
    </row>
    <row r="244" spans="1:13" x14ac:dyDescent="0.25">
      <c r="A244" s="1">
        <v>39798</v>
      </c>
      <c r="B244">
        <v>23.28</v>
      </c>
      <c r="C244">
        <v>23.72</v>
      </c>
      <c r="D244">
        <v>24.53</v>
      </c>
      <c r="E244">
        <v>22.27</v>
      </c>
      <c r="F244">
        <v>22.49</v>
      </c>
      <c r="G244">
        <v>22.71</v>
      </c>
      <c r="H244">
        <v>18.91</v>
      </c>
      <c r="I244">
        <v>18.96</v>
      </c>
      <c r="J244">
        <v>19.010000000000002</v>
      </c>
      <c r="K244">
        <v>24.52</v>
      </c>
      <c r="L244">
        <v>24.64</v>
      </c>
      <c r="M244">
        <v>24.75</v>
      </c>
    </row>
    <row r="245" spans="1:13" x14ac:dyDescent="0.25">
      <c r="A245" s="1">
        <v>39799</v>
      </c>
      <c r="B245">
        <v>23.22</v>
      </c>
      <c r="C245">
        <v>23.66</v>
      </c>
      <c r="D245">
        <v>24.47</v>
      </c>
      <c r="E245">
        <v>22.57</v>
      </c>
      <c r="F245">
        <v>22.79</v>
      </c>
      <c r="G245">
        <v>23.02</v>
      </c>
      <c r="H245">
        <v>19.059999999999999</v>
      </c>
      <c r="I245">
        <v>19.12</v>
      </c>
      <c r="J245">
        <v>19.170000000000002</v>
      </c>
      <c r="K245">
        <v>24.8</v>
      </c>
      <c r="L245">
        <v>24.91</v>
      </c>
      <c r="M245">
        <v>25.02</v>
      </c>
    </row>
    <row r="246" spans="1:13" x14ac:dyDescent="0.25">
      <c r="A246" s="1">
        <v>39800</v>
      </c>
      <c r="B246">
        <v>22.98</v>
      </c>
      <c r="C246">
        <v>23.42</v>
      </c>
      <c r="D246">
        <v>24.21</v>
      </c>
      <c r="E246">
        <v>22.31</v>
      </c>
      <c r="F246">
        <v>22.53</v>
      </c>
      <c r="G246">
        <v>22.76</v>
      </c>
      <c r="H246">
        <v>18.88</v>
      </c>
      <c r="I246">
        <v>18.93</v>
      </c>
      <c r="J246">
        <v>18.98</v>
      </c>
      <c r="K246">
        <v>24.36</v>
      </c>
      <c r="L246">
        <v>24.47</v>
      </c>
      <c r="M246">
        <v>24.58</v>
      </c>
    </row>
    <row r="247" spans="1:13" x14ac:dyDescent="0.25">
      <c r="A247" s="1">
        <v>39801</v>
      </c>
      <c r="B247">
        <v>22.83</v>
      </c>
      <c r="C247">
        <v>23.27</v>
      </c>
      <c r="D247">
        <v>24.06</v>
      </c>
      <c r="E247">
        <v>22.3</v>
      </c>
      <c r="F247">
        <v>22.52</v>
      </c>
      <c r="G247">
        <v>22.75</v>
      </c>
      <c r="H247">
        <v>18.670000000000002</v>
      </c>
      <c r="I247">
        <v>18.72</v>
      </c>
      <c r="J247">
        <v>18.77</v>
      </c>
      <c r="K247">
        <v>23.71</v>
      </c>
      <c r="L247">
        <v>23.82</v>
      </c>
      <c r="M247">
        <v>23.92</v>
      </c>
    </row>
    <row r="248" spans="1:13" x14ac:dyDescent="0.25">
      <c r="A248" s="1">
        <v>39804</v>
      </c>
      <c r="B248">
        <v>22.62</v>
      </c>
      <c r="C248">
        <v>23.05</v>
      </c>
      <c r="D248">
        <v>23.84</v>
      </c>
      <c r="E248">
        <v>22.3</v>
      </c>
      <c r="F248">
        <v>22.52</v>
      </c>
      <c r="G248">
        <v>22.75</v>
      </c>
      <c r="H248">
        <v>18.690000000000001</v>
      </c>
      <c r="I248">
        <v>18.739999999999998</v>
      </c>
      <c r="J248">
        <v>18.79</v>
      </c>
      <c r="K248">
        <v>23</v>
      </c>
      <c r="L248">
        <v>23.11</v>
      </c>
      <c r="M248">
        <v>23.22</v>
      </c>
    </row>
    <row r="249" spans="1:13" x14ac:dyDescent="0.25">
      <c r="A249" s="1">
        <v>39805</v>
      </c>
      <c r="B249">
        <v>22.7</v>
      </c>
      <c r="C249">
        <v>23.13</v>
      </c>
      <c r="D249">
        <v>23.92</v>
      </c>
      <c r="E249">
        <v>22.71</v>
      </c>
      <c r="F249">
        <v>22.94</v>
      </c>
      <c r="G249">
        <v>23.17</v>
      </c>
      <c r="H249">
        <v>18.899999999999999</v>
      </c>
      <c r="I249">
        <v>18.96</v>
      </c>
      <c r="J249">
        <v>19.010000000000002</v>
      </c>
      <c r="K249">
        <v>23.32</v>
      </c>
      <c r="L249">
        <v>23.43</v>
      </c>
      <c r="M249">
        <v>23.54</v>
      </c>
    </row>
    <row r="250" spans="1:13" x14ac:dyDescent="0.25">
      <c r="A250" s="1">
        <v>39811</v>
      </c>
      <c r="B250">
        <v>22.84</v>
      </c>
      <c r="C250">
        <v>23.28</v>
      </c>
      <c r="D250">
        <v>24.08</v>
      </c>
      <c r="E250">
        <v>23.14</v>
      </c>
      <c r="F250">
        <v>23.37</v>
      </c>
      <c r="G250">
        <v>23.61</v>
      </c>
      <c r="H250">
        <v>19.13</v>
      </c>
      <c r="I250">
        <v>19.190000000000001</v>
      </c>
      <c r="J250">
        <v>19.239999999999998</v>
      </c>
      <c r="K250">
        <v>23.85</v>
      </c>
      <c r="L250">
        <v>23.96</v>
      </c>
      <c r="M250">
        <v>24.08</v>
      </c>
    </row>
    <row r="251" spans="1:13" x14ac:dyDescent="0.25">
      <c r="A251" s="1">
        <v>39812</v>
      </c>
      <c r="B251">
        <v>22.94</v>
      </c>
      <c r="C251">
        <v>23.37</v>
      </c>
      <c r="D251">
        <v>24.18</v>
      </c>
      <c r="E251">
        <v>22.95</v>
      </c>
      <c r="F251">
        <v>23.18</v>
      </c>
      <c r="G251">
        <v>23.41</v>
      </c>
      <c r="H251">
        <v>19</v>
      </c>
      <c r="I251">
        <v>19.05</v>
      </c>
      <c r="J251">
        <v>19.11</v>
      </c>
      <c r="K251">
        <v>24.12</v>
      </c>
      <c r="L251">
        <v>24.23</v>
      </c>
      <c r="M251">
        <v>24.35</v>
      </c>
    </row>
    <row r="252" spans="1:13" x14ac:dyDescent="0.25">
      <c r="A252" s="1">
        <v>39813</v>
      </c>
      <c r="B252">
        <v>23.08</v>
      </c>
      <c r="C252">
        <v>23.52</v>
      </c>
      <c r="D252">
        <v>24.33</v>
      </c>
      <c r="E252">
        <v>23.23</v>
      </c>
      <c r="F252">
        <v>23.46</v>
      </c>
      <c r="G252">
        <v>23.7</v>
      </c>
      <c r="H252">
        <v>19.190000000000001</v>
      </c>
      <c r="I252">
        <v>19.239999999999998</v>
      </c>
      <c r="J252">
        <v>19.3</v>
      </c>
      <c r="K252">
        <v>24.66</v>
      </c>
      <c r="L252">
        <v>24.77</v>
      </c>
      <c r="M252">
        <v>24.89</v>
      </c>
    </row>
    <row r="254" spans="1:13" x14ac:dyDescent="0.25">
      <c r="A254" s="2"/>
      <c r="B254" s="3" t="str">
        <f t="shared" ref="B254:M254" si="0">B1</f>
        <v>A</v>
      </c>
      <c r="C254" s="3" t="str">
        <f t="shared" si="0"/>
        <v>B</v>
      </c>
      <c r="D254" s="3" t="str">
        <f t="shared" si="0"/>
        <v>C</v>
      </c>
      <c r="E254" s="3" t="str">
        <f t="shared" si="0"/>
        <v>D</v>
      </c>
      <c r="F254" s="3" t="str">
        <f t="shared" si="0"/>
        <v>E</v>
      </c>
      <c r="G254" s="3" t="str">
        <f t="shared" si="0"/>
        <v>F</v>
      </c>
      <c r="H254" s="3" t="str">
        <f t="shared" si="0"/>
        <v>G</v>
      </c>
      <c r="I254" s="3" t="str">
        <f t="shared" si="0"/>
        <v>H</v>
      </c>
      <c r="J254" s="3" t="str">
        <f t="shared" si="0"/>
        <v>I</v>
      </c>
      <c r="K254" s="3" t="str">
        <f t="shared" si="0"/>
        <v>J</v>
      </c>
      <c r="L254" s="3" t="str">
        <f t="shared" si="0"/>
        <v>K</v>
      </c>
      <c r="M254" s="3" t="str">
        <f t="shared" si="0"/>
        <v>L</v>
      </c>
    </row>
    <row r="255" spans="1:13" x14ac:dyDescent="0.25">
      <c r="A255" s="3" t="s">
        <v>13</v>
      </c>
      <c r="B255" s="3">
        <f>ROUND(AVERAGE(historia3[A]),2)</f>
        <v>36.54</v>
      </c>
      <c r="C255" s="3">
        <f>ROUND(AVERAGE(historia3[B]),2)</f>
        <v>37.14</v>
      </c>
      <c r="D255" s="3">
        <f>ROUND(AVERAGE(historia3[C]),2)</f>
        <v>38.299999999999997</v>
      </c>
      <c r="E255" s="3">
        <f>ROUND(AVERAGE(historia3[D]),2)</f>
        <v>39</v>
      </c>
      <c r="F255" s="3">
        <f>ROUND(AVERAGE(historia3[E]),2)</f>
        <v>39.28</v>
      </c>
      <c r="G255" s="3">
        <f>ROUND(AVERAGE(historia3[F]),2)</f>
        <v>39.56</v>
      </c>
      <c r="H255" s="3">
        <f>ROUND(AVERAGE(historia3[G]),2)</f>
        <v>33.4</v>
      </c>
      <c r="I255" s="3">
        <f>ROUND(AVERAGE(historia3[H]),2)</f>
        <v>33.44</v>
      </c>
      <c r="J255" s="3">
        <f>ROUND(AVERAGE(historia3[I]),2)</f>
        <v>33.49</v>
      </c>
      <c r="K255" s="3">
        <f>ROUND(AVERAGE(historia3[J]),2)</f>
        <v>38.340000000000003</v>
      </c>
      <c r="L255" s="3">
        <f>ROUND(AVERAGE(historia3[K]),2)</f>
        <v>38.42</v>
      </c>
      <c r="M255" s="3">
        <f>ROUND(AVERAGE(historia3[L]),2)</f>
        <v>38.49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AE439-6C34-4767-94CA-15A05414C88E}">
  <dimension ref="A1:R252"/>
  <sheetViews>
    <sheetView topLeftCell="C1" workbookViewId="0">
      <selection activeCell="R2" sqref="R2"/>
    </sheetView>
  </sheetViews>
  <sheetFormatPr defaultRowHeight="15" x14ac:dyDescent="0.25"/>
  <cols>
    <col min="1" max="9" width="11.140625" bestFit="1" customWidth="1"/>
    <col min="10" max="13" width="12.140625" bestFit="1" customWidth="1"/>
    <col min="15" max="15" width="24.140625" bestFit="1" customWidth="1"/>
    <col min="17" max="17" width="19.28515625" bestFit="1" customWidth="1"/>
    <col min="18" max="18" width="20.140625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O1" t="s">
        <v>15</v>
      </c>
      <c r="P1" t="s">
        <v>14</v>
      </c>
      <c r="Q1" t="s">
        <v>16</v>
      </c>
      <c r="R1" s="3" t="s">
        <v>17</v>
      </c>
    </row>
    <row r="2" spans="1:18" x14ac:dyDescent="0.25">
      <c r="A2" s="1">
        <v>39449</v>
      </c>
      <c r="B2">
        <v>50.9</v>
      </c>
      <c r="C2">
        <v>51.62</v>
      </c>
      <c r="D2">
        <v>53.12</v>
      </c>
      <c r="E2">
        <v>58.66</v>
      </c>
      <c r="F2">
        <v>58.96</v>
      </c>
      <c r="G2">
        <v>59.26</v>
      </c>
      <c r="H2">
        <v>48.15</v>
      </c>
      <c r="I2">
        <v>48.17</v>
      </c>
      <c r="J2">
        <v>48.19</v>
      </c>
      <c r="K2">
        <v>50.23</v>
      </c>
      <c r="L2">
        <v>50.23</v>
      </c>
      <c r="M2">
        <v>50.23</v>
      </c>
      <c r="O2">
        <f>SUMIF(historia4[[#This Row],[A]:[L]],"&gt;33",historia4[[#This Row],[A]:[L]])</f>
        <v>627.72</v>
      </c>
      <c r="P2">
        <f>SUM(historia4[[#This Row],[A]:[L]])</f>
        <v>627.72</v>
      </c>
      <c r="Q2">
        <f>IF(O2=P2,1,0)</f>
        <v>1</v>
      </c>
      <c r="R2" s="3">
        <f>SUMIF(Q2:Q252,"=1",Q2:Q252)</f>
        <v>158</v>
      </c>
    </row>
    <row r="3" spans="1:18" x14ac:dyDescent="0.25">
      <c r="A3" s="1">
        <v>39450</v>
      </c>
      <c r="B3">
        <v>50.42</v>
      </c>
      <c r="C3">
        <v>51.13</v>
      </c>
      <c r="D3">
        <v>52.62</v>
      </c>
      <c r="E3">
        <v>57.92</v>
      </c>
      <c r="F3">
        <v>58.22</v>
      </c>
      <c r="G3">
        <v>58.51</v>
      </c>
      <c r="H3">
        <v>48.04</v>
      </c>
      <c r="I3">
        <v>48.06</v>
      </c>
      <c r="J3">
        <v>48.08</v>
      </c>
      <c r="K3">
        <v>50.07</v>
      </c>
      <c r="L3">
        <v>50.07</v>
      </c>
      <c r="M3">
        <v>50.07</v>
      </c>
      <c r="O3">
        <f>SUMIF(historia4[[#This Row],[A]:[L]],"&gt;33",historia4[[#This Row],[A]:[L]])</f>
        <v>623.21000000000015</v>
      </c>
      <c r="P3">
        <f>SUM(historia4[[#This Row],[A]:[L]])</f>
        <v>623.21000000000015</v>
      </c>
      <c r="Q3">
        <f t="shared" ref="Q3:Q5" si="0">IF(O3=P3,1,0)</f>
        <v>1</v>
      </c>
    </row>
    <row r="4" spans="1:18" x14ac:dyDescent="0.25">
      <c r="A4" s="1">
        <v>39451</v>
      </c>
      <c r="B4">
        <v>49.68</v>
      </c>
      <c r="C4">
        <v>50.39</v>
      </c>
      <c r="D4">
        <v>51.85</v>
      </c>
      <c r="E4">
        <v>56.86</v>
      </c>
      <c r="F4">
        <v>57.15</v>
      </c>
      <c r="G4">
        <v>57.44</v>
      </c>
      <c r="H4">
        <v>47.14</v>
      </c>
      <c r="I4">
        <v>47.16</v>
      </c>
      <c r="J4">
        <v>47.17</v>
      </c>
      <c r="K4">
        <v>49.27</v>
      </c>
      <c r="L4">
        <v>49.28</v>
      </c>
      <c r="M4">
        <v>49.28</v>
      </c>
      <c r="O4">
        <f>SUMIF(historia4[[#This Row],[A]:[L]],"&gt;33",historia4[[#This Row],[A]:[L]])</f>
        <v>612.66999999999996</v>
      </c>
      <c r="P4">
        <f>SUM(historia4[[#This Row],[A]:[L]])</f>
        <v>612.66999999999996</v>
      </c>
      <c r="Q4">
        <f t="shared" si="0"/>
        <v>1</v>
      </c>
    </row>
    <row r="5" spans="1:18" x14ac:dyDescent="0.25">
      <c r="A5" s="1">
        <v>39454</v>
      </c>
      <c r="B5">
        <v>48.97</v>
      </c>
      <c r="C5">
        <v>49.66</v>
      </c>
      <c r="D5">
        <v>51.11</v>
      </c>
      <c r="E5">
        <v>56.19</v>
      </c>
      <c r="F5">
        <v>56.48</v>
      </c>
      <c r="G5">
        <v>56.77</v>
      </c>
      <c r="H5">
        <v>46.52</v>
      </c>
      <c r="I5">
        <v>46.54</v>
      </c>
      <c r="J5">
        <v>46.56</v>
      </c>
      <c r="K5">
        <v>48.25</v>
      </c>
      <c r="L5">
        <v>48.26</v>
      </c>
      <c r="M5">
        <v>48.26</v>
      </c>
      <c r="O5">
        <f>SUMIF(historia4[[#This Row],[A]:[L]],"&gt;33",historia4[[#This Row],[A]:[L]])</f>
        <v>603.57000000000005</v>
      </c>
      <c r="P5">
        <f>SUM(historia4[[#This Row],[A]:[L]])</f>
        <v>603.57000000000005</v>
      </c>
      <c r="Q5">
        <f t="shared" si="0"/>
        <v>1</v>
      </c>
    </row>
    <row r="6" spans="1:18" x14ac:dyDescent="0.25">
      <c r="A6" s="1">
        <v>39455</v>
      </c>
      <c r="B6">
        <v>49.17</v>
      </c>
      <c r="C6">
        <v>49.87</v>
      </c>
      <c r="D6">
        <v>51.32</v>
      </c>
      <c r="E6">
        <v>56.65</v>
      </c>
      <c r="F6">
        <v>56.94</v>
      </c>
      <c r="G6">
        <v>57.24</v>
      </c>
      <c r="H6">
        <v>46.76</v>
      </c>
      <c r="I6">
        <v>46.78</v>
      </c>
      <c r="J6">
        <v>46.8</v>
      </c>
      <c r="K6">
        <v>48.69</v>
      </c>
      <c r="L6">
        <v>48.69</v>
      </c>
      <c r="M6">
        <v>48.69</v>
      </c>
      <c r="O6">
        <f>SUMIF(historia4[[#This Row],[A]:[L]],"&gt;33",historia4[[#This Row],[A]:[L]])</f>
        <v>607.60000000000014</v>
      </c>
      <c r="P6">
        <f>SUM(historia4[[#This Row],[A]:[L]])</f>
        <v>607.60000000000014</v>
      </c>
      <c r="Q6">
        <f t="shared" ref="Q6:Q69" si="1">IF(O6=P6,1,0)</f>
        <v>1</v>
      </c>
    </row>
    <row r="7" spans="1:18" x14ac:dyDescent="0.25">
      <c r="A7" s="1">
        <v>39456</v>
      </c>
      <c r="B7">
        <v>48.08</v>
      </c>
      <c r="C7">
        <v>48.76</v>
      </c>
      <c r="D7">
        <v>50.19</v>
      </c>
      <c r="E7">
        <v>55.41</v>
      </c>
      <c r="F7">
        <v>55.7</v>
      </c>
      <c r="G7">
        <v>55.99</v>
      </c>
      <c r="H7">
        <v>45.34</v>
      </c>
      <c r="I7">
        <v>45.36</v>
      </c>
      <c r="J7">
        <v>45.38</v>
      </c>
      <c r="K7">
        <v>47.85</v>
      </c>
      <c r="L7">
        <v>47.85</v>
      </c>
      <c r="M7">
        <v>47.86</v>
      </c>
      <c r="O7">
        <f>SUMIF(historia4[[#This Row],[A]:[L]],"&gt;33",historia4[[#This Row],[A]:[L]])</f>
        <v>593.7700000000001</v>
      </c>
      <c r="P7">
        <f>SUM(historia4[[#This Row],[A]:[L]])</f>
        <v>593.7700000000001</v>
      </c>
      <c r="Q7">
        <f t="shared" si="1"/>
        <v>1</v>
      </c>
    </row>
    <row r="8" spans="1:18" x14ac:dyDescent="0.25">
      <c r="A8" s="1">
        <v>39457</v>
      </c>
      <c r="B8">
        <v>46.78</v>
      </c>
      <c r="C8">
        <v>47.44</v>
      </c>
      <c r="D8">
        <v>48.83</v>
      </c>
      <c r="E8">
        <v>54.31</v>
      </c>
      <c r="F8">
        <v>54.59</v>
      </c>
      <c r="G8">
        <v>54.88</v>
      </c>
      <c r="H8">
        <v>44.44</v>
      </c>
      <c r="I8">
        <v>44.46</v>
      </c>
      <c r="J8">
        <v>44.48</v>
      </c>
      <c r="K8">
        <v>46.23</v>
      </c>
      <c r="L8">
        <v>46.23</v>
      </c>
      <c r="M8">
        <v>46.24</v>
      </c>
      <c r="O8">
        <f>SUMIF(historia4[[#This Row],[A]:[L]],"&gt;33",historia4[[#This Row],[A]:[L]])</f>
        <v>578.91000000000008</v>
      </c>
      <c r="P8">
        <f>SUM(historia4[[#This Row],[A]:[L]])</f>
        <v>578.91000000000008</v>
      </c>
      <c r="Q8">
        <f t="shared" si="1"/>
        <v>1</v>
      </c>
    </row>
    <row r="9" spans="1:18" x14ac:dyDescent="0.25">
      <c r="A9" s="1">
        <v>39458</v>
      </c>
      <c r="B9">
        <v>46.19</v>
      </c>
      <c r="C9">
        <v>46.85</v>
      </c>
      <c r="D9">
        <v>48.22</v>
      </c>
      <c r="E9">
        <v>53.47</v>
      </c>
      <c r="F9">
        <v>53.75</v>
      </c>
      <c r="G9">
        <v>54.03</v>
      </c>
      <c r="H9">
        <v>43.93</v>
      </c>
      <c r="I9">
        <v>43.95</v>
      </c>
      <c r="J9">
        <v>43.97</v>
      </c>
      <c r="K9">
        <v>45.58</v>
      </c>
      <c r="L9">
        <v>45.58</v>
      </c>
      <c r="M9">
        <v>45.59</v>
      </c>
      <c r="O9">
        <f>SUMIF(historia4[[#This Row],[A]:[L]],"&gt;33",historia4[[#This Row],[A]:[L]])</f>
        <v>571.11</v>
      </c>
      <c r="P9">
        <f>SUM(historia4[[#This Row],[A]:[L]])</f>
        <v>571.11</v>
      </c>
      <c r="Q9">
        <f t="shared" si="1"/>
        <v>1</v>
      </c>
    </row>
    <row r="10" spans="1:18" x14ac:dyDescent="0.25">
      <c r="A10" s="1">
        <v>39461</v>
      </c>
      <c r="B10">
        <v>45.92</v>
      </c>
      <c r="C10">
        <v>46.58</v>
      </c>
      <c r="D10">
        <v>47.94</v>
      </c>
      <c r="E10">
        <v>53.25</v>
      </c>
      <c r="F10">
        <v>53.53</v>
      </c>
      <c r="G10">
        <v>53.81</v>
      </c>
      <c r="H10">
        <v>44.11</v>
      </c>
      <c r="I10">
        <v>44.14</v>
      </c>
      <c r="J10">
        <v>44.16</v>
      </c>
      <c r="K10">
        <v>45.87</v>
      </c>
      <c r="L10">
        <v>45.88</v>
      </c>
      <c r="M10">
        <v>45.89</v>
      </c>
      <c r="O10">
        <f>SUMIF(historia4[[#This Row],[A]:[L]],"&gt;33",historia4[[#This Row],[A]:[L]])</f>
        <v>571.07999999999993</v>
      </c>
      <c r="P10">
        <f>SUM(historia4[[#This Row],[A]:[L]])</f>
        <v>571.07999999999993</v>
      </c>
      <c r="Q10">
        <f t="shared" si="1"/>
        <v>1</v>
      </c>
    </row>
    <row r="11" spans="1:18" x14ac:dyDescent="0.25">
      <c r="A11" s="1">
        <v>39462</v>
      </c>
      <c r="B11">
        <v>44.59</v>
      </c>
      <c r="C11">
        <v>45.23</v>
      </c>
      <c r="D11">
        <v>46.55</v>
      </c>
      <c r="E11">
        <v>51.61</v>
      </c>
      <c r="F11">
        <v>51.88</v>
      </c>
      <c r="G11">
        <v>52.15</v>
      </c>
      <c r="H11">
        <v>42.81</v>
      </c>
      <c r="I11">
        <v>42.83</v>
      </c>
      <c r="J11">
        <v>42.85</v>
      </c>
      <c r="K11">
        <v>44.67</v>
      </c>
      <c r="L11">
        <v>44.68</v>
      </c>
      <c r="M11">
        <v>44.68</v>
      </c>
      <c r="O11">
        <f>SUMIF(historia4[[#This Row],[A]:[L]],"&gt;33",historia4[[#This Row],[A]:[L]])</f>
        <v>554.53</v>
      </c>
      <c r="P11">
        <f>SUM(historia4[[#This Row],[A]:[L]])</f>
        <v>554.53</v>
      </c>
      <c r="Q11">
        <f t="shared" si="1"/>
        <v>1</v>
      </c>
    </row>
    <row r="12" spans="1:18" x14ac:dyDescent="0.25">
      <c r="A12" s="1">
        <v>39463</v>
      </c>
      <c r="B12">
        <v>42.88</v>
      </c>
      <c r="C12">
        <v>43.5</v>
      </c>
      <c r="D12">
        <v>44.77</v>
      </c>
      <c r="E12">
        <v>49.94</v>
      </c>
      <c r="F12">
        <v>50.2</v>
      </c>
      <c r="G12">
        <v>50.47</v>
      </c>
      <c r="H12">
        <v>41.38</v>
      </c>
      <c r="I12">
        <v>41.4</v>
      </c>
      <c r="J12">
        <v>41.42</v>
      </c>
      <c r="K12">
        <v>43.37</v>
      </c>
      <c r="L12">
        <v>43.37</v>
      </c>
      <c r="M12">
        <v>43.38</v>
      </c>
      <c r="O12">
        <f>SUMIF(historia4[[#This Row],[A]:[L]],"&gt;33",historia4[[#This Row],[A]:[L]])</f>
        <v>536.08000000000004</v>
      </c>
      <c r="P12">
        <f>SUM(historia4[[#This Row],[A]:[L]])</f>
        <v>536.08000000000004</v>
      </c>
      <c r="Q12">
        <f t="shared" si="1"/>
        <v>1</v>
      </c>
    </row>
    <row r="13" spans="1:18" x14ac:dyDescent="0.25">
      <c r="A13" s="1">
        <v>39464</v>
      </c>
      <c r="B13">
        <v>43.16</v>
      </c>
      <c r="C13">
        <v>43.78</v>
      </c>
      <c r="D13">
        <v>45.06</v>
      </c>
      <c r="E13">
        <v>49.84</v>
      </c>
      <c r="F13">
        <v>50.1</v>
      </c>
      <c r="G13">
        <v>50.37</v>
      </c>
      <c r="H13">
        <v>41.66</v>
      </c>
      <c r="I13">
        <v>41.69</v>
      </c>
      <c r="J13">
        <v>41.71</v>
      </c>
      <c r="K13">
        <v>43.31</v>
      </c>
      <c r="L13">
        <v>43.32</v>
      </c>
      <c r="M13">
        <v>43.32</v>
      </c>
      <c r="O13">
        <f>SUMIF(historia4[[#This Row],[A]:[L]],"&gt;33",historia4[[#This Row],[A]:[L]])</f>
        <v>537.32000000000005</v>
      </c>
      <c r="P13">
        <f>SUM(historia4[[#This Row],[A]:[L]])</f>
        <v>537.32000000000005</v>
      </c>
      <c r="Q13">
        <f t="shared" si="1"/>
        <v>1</v>
      </c>
    </row>
    <row r="14" spans="1:18" x14ac:dyDescent="0.25">
      <c r="A14" s="1">
        <v>39465</v>
      </c>
      <c r="B14">
        <v>43.58</v>
      </c>
      <c r="C14">
        <v>44.2</v>
      </c>
      <c r="D14">
        <v>45.5</v>
      </c>
      <c r="E14">
        <v>49.99</v>
      </c>
      <c r="F14">
        <v>50.26</v>
      </c>
      <c r="G14">
        <v>50.52</v>
      </c>
      <c r="H14">
        <v>41.64</v>
      </c>
      <c r="I14">
        <v>41.66</v>
      </c>
      <c r="J14">
        <v>41.68</v>
      </c>
      <c r="K14">
        <v>43.2</v>
      </c>
      <c r="L14">
        <v>43.21</v>
      </c>
      <c r="M14">
        <v>43.21</v>
      </c>
      <c r="O14">
        <f>SUMIF(historia4[[#This Row],[A]:[L]],"&gt;33",historia4[[#This Row],[A]:[L]])</f>
        <v>538.65</v>
      </c>
      <c r="P14">
        <f>SUM(historia4[[#This Row],[A]:[L]])</f>
        <v>538.65</v>
      </c>
      <c r="Q14">
        <f t="shared" si="1"/>
        <v>1</v>
      </c>
    </row>
    <row r="15" spans="1:18" x14ac:dyDescent="0.25">
      <c r="A15" s="1">
        <v>39468</v>
      </c>
      <c r="B15">
        <v>41.1</v>
      </c>
      <c r="C15">
        <v>41.69</v>
      </c>
      <c r="D15">
        <v>42.91</v>
      </c>
      <c r="E15">
        <v>47.03</v>
      </c>
      <c r="F15">
        <v>47.29</v>
      </c>
      <c r="G15">
        <v>47.54</v>
      </c>
      <c r="H15">
        <v>39.94</v>
      </c>
      <c r="I15">
        <v>39.97</v>
      </c>
      <c r="J15">
        <v>39.99</v>
      </c>
      <c r="K15">
        <v>40.54</v>
      </c>
      <c r="L15">
        <v>40.54</v>
      </c>
      <c r="M15">
        <v>40.549999999999997</v>
      </c>
      <c r="O15">
        <f>SUMIF(historia4[[#This Row],[A]:[L]],"&gt;33",historia4[[#This Row],[A]:[L]])</f>
        <v>509.09000000000009</v>
      </c>
      <c r="P15">
        <f>SUM(historia4[[#This Row],[A]:[L]])</f>
        <v>509.09000000000009</v>
      </c>
      <c r="Q15">
        <f t="shared" si="1"/>
        <v>1</v>
      </c>
    </row>
    <row r="16" spans="1:18" x14ac:dyDescent="0.25">
      <c r="A16" s="1">
        <v>39469</v>
      </c>
      <c r="B16">
        <v>41.76</v>
      </c>
      <c r="C16">
        <v>42.36</v>
      </c>
      <c r="D16">
        <v>43.61</v>
      </c>
      <c r="E16">
        <v>47.17</v>
      </c>
      <c r="F16">
        <v>47.43</v>
      </c>
      <c r="G16">
        <v>47.68</v>
      </c>
      <c r="H16">
        <v>41.17</v>
      </c>
      <c r="I16">
        <v>41.19</v>
      </c>
      <c r="J16">
        <v>41.22</v>
      </c>
      <c r="K16">
        <v>41.3</v>
      </c>
      <c r="L16">
        <v>41.31</v>
      </c>
      <c r="M16">
        <v>41.31</v>
      </c>
      <c r="O16">
        <f>SUMIF(historia4[[#This Row],[A]:[L]],"&gt;33",historia4[[#This Row],[A]:[L]])</f>
        <v>517.51</v>
      </c>
      <c r="P16">
        <f>SUM(historia4[[#This Row],[A]:[L]])</f>
        <v>517.51</v>
      </c>
      <c r="Q16">
        <f t="shared" si="1"/>
        <v>1</v>
      </c>
    </row>
    <row r="17" spans="1:17" x14ac:dyDescent="0.25">
      <c r="A17" s="1">
        <v>39470</v>
      </c>
      <c r="B17">
        <v>41.25</v>
      </c>
      <c r="C17">
        <v>41.84</v>
      </c>
      <c r="D17">
        <v>43.07</v>
      </c>
      <c r="E17">
        <v>45.83</v>
      </c>
      <c r="F17">
        <v>46.08</v>
      </c>
      <c r="G17">
        <v>46.32</v>
      </c>
      <c r="H17">
        <v>40.200000000000003</v>
      </c>
      <c r="I17">
        <v>40.22</v>
      </c>
      <c r="J17">
        <v>40.24</v>
      </c>
      <c r="K17">
        <v>40.35</v>
      </c>
      <c r="L17">
        <v>40.36</v>
      </c>
      <c r="M17">
        <v>40.36</v>
      </c>
      <c r="O17">
        <f>SUMIF(historia4[[#This Row],[A]:[L]],"&gt;33",historia4[[#This Row],[A]:[L]])</f>
        <v>506.12</v>
      </c>
      <c r="P17">
        <f>SUM(historia4[[#This Row],[A]:[L]])</f>
        <v>506.12</v>
      </c>
      <c r="Q17">
        <f t="shared" si="1"/>
        <v>1</v>
      </c>
    </row>
    <row r="18" spans="1:17" x14ac:dyDescent="0.25">
      <c r="A18" s="1">
        <v>39471</v>
      </c>
      <c r="B18">
        <v>43.34</v>
      </c>
      <c r="C18">
        <v>43.96</v>
      </c>
      <c r="D18">
        <v>45.25</v>
      </c>
      <c r="E18">
        <v>48.3</v>
      </c>
      <c r="F18">
        <v>48.56</v>
      </c>
      <c r="G18">
        <v>48.82</v>
      </c>
      <c r="H18">
        <v>42.27</v>
      </c>
      <c r="I18">
        <v>42.3</v>
      </c>
      <c r="J18">
        <v>42.32</v>
      </c>
      <c r="K18">
        <v>42.16</v>
      </c>
      <c r="L18">
        <v>42.16</v>
      </c>
      <c r="M18">
        <v>42.17</v>
      </c>
      <c r="O18">
        <f>SUMIF(historia4[[#This Row],[A]:[L]],"&gt;33",historia4[[#This Row],[A]:[L]])</f>
        <v>531.6099999999999</v>
      </c>
      <c r="P18">
        <f>SUM(historia4[[#This Row],[A]:[L]])</f>
        <v>531.6099999999999</v>
      </c>
      <c r="Q18">
        <f t="shared" si="1"/>
        <v>1</v>
      </c>
    </row>
    <row r="19" spans="1:17" x14ac:dyDescent="0.25">
      <c r="A19" s="1">
        <v>39472</v>
      </c>
      <c r="B19">
        <v>43.55</v>
      </c>
      <c r="C19">
        <v>44.18</v>
      </c>
      <c r="D19">
        <v>45.48</v>
      </c>
      <c r="E19">
        <v>48.55</v>
      </c>
      <c r="F19">
        <v>48.81</v>
      </c>
      <c r="G19">
        <v>49.07</v>
      </c>
      <c r="H19">
        <v>42.38</v>
      </c>
      <c r="I19">
        <v>42.4</v>
      </c>
      <c r="J19">
        <v>42.42</v>
      </c>
      <c r="K19">
        <v>43.26</v>
      </c>
      <c r="L19">
        <v>43.26</v>
      </c>
      <c r="M19">
        <v>43.27</v>
      </c>
      <c r="O19">
        <f>SUMIF(historia4[[#This Row],[A]:[L]],"&gt;33",historia4[[#This Row],[A]:[L]])</f>
        <v>536.63</v>
      </c>
      <c r="P19">
        <f>SUM(historia4[[#This Row],[A]:[L]])</f>
        <v>536.63</v>
      </c>
      <c r="Q19">
        <f t="shared" si="1"/>
        <v>1</v>
      </c>
    </row>
    <row r="20" spans="1:17" x14ac:dyDescent="0.25">
      <c r="A20" s="1">
        <v>39475</v>
      </c>
      <c r="B20">
        <v>42.51</v>
      </c>
      <c r="C20">
        <v>43.12</v>
      </c>
      <c r="D20">
        <v>44.39</v>
      </c>
      <c r="E20">
        <v>47.03</v>
      </c>
      <c r="F20">
        <v>47.29</v>
      </c>
      <c r="G20">
        <v>47.54</v>
      </c>
      <c r="H20">
        <v>41.19</v>
      </c>
      <c r="I20">
        <v>41.21</v>
      </c>
      <c r="J20">
        <v>41.23</v>
      </c>
      <c r="K20">
        <v>42.75</v>
      </c>
      <c r="L20">
        <v>42.76</v>
      </c>
      <c r="M20">
        <v>42.77</v>
      </c>
      <c r="O20">
        <f>SUMIF(historia4[[#This Row],[A]:[L]],"&gt;33",historia4[[#This Row],[A]:[L]])</f>
        <v>523.79</v>
      </c>
      <c r="P20">
        <f>SUM(historia4[[#This Row],[A]:[L]])</f>
        <v>523.79</v>
      </c>
      <c r="Q20">
        <f t="shared" si="1"/>
        <v>1</v>
      </c>
    </row>
    <row r="21" spans="1:17" x14ac:dyDescent="0.25">
      <c r="A21" s="1">
        <v>39476</v>
      </c>
      <c r="B21">
        <v>43.83</v>
      </c>
      <c r="C21">
        <v>44.46</v>
      </c>
      <c r="D21">
        <v>45.77</v>
      </c>
      <c r="E21">
        <v>48.04</v>
      </c>
      <c r="F21">
        <v>48.3</v>
      </c>
      <c r="G21">
        <v>48.56</v>
      </c>
      <c r="H21">
        <v>42.22</v>
      </c>
      <c r="I21">
        <v>42.25</v>
      </c>
      <c r="J21">
        <v>42.27</v>
      </c>
      <c r="K21">
        <v>43.88</v>
      </c>
      <c r="L21">
        <v>43.89</v>
      </c>
      <c r="M21">
        <v>43.9</v>
      </c>
      <c r="O21">
        <f>SUMIF(historia4[[#This Row],[A]:[L]],"&gt;33",historia4[[#This Row],[A]:[L]])</f>
        <v>537.36999999999989</v>
      </c>
      <c r="P21">
        <f>SUM(historia4[[#This Row],[A]:[L]])</f>
        <v>537.36999999999989</v>
      </c>
      <c r="Q21">
        <f t="shared" si="1"/>
        <v>1</v>
      </c>
    </row>
    <row r="22" spans="1:17" x14ac:dyDescent="0.25">
      <c r="A22" s="1">
        <v>39477</v>
      </c>
      <c r="B22">
        <v>43.65</v>
      </c>
      <c r="C22">
        <v>44.28</v>
      </c>
      <c r="D22">
        <v>45.59</v>
      </c>
      <c r="E22">
        <v>47.85</v>
      </c>
      <c r="F22">
        <v>48.11</v>
      </c>
      <c r="G22">
        <v>48.37</v>
      </c>
      <c r="H22">
        <v>42.07</v>
      </c>
      <c r="I22">
        <v>42.1</v>
      </c>
      <c r="J22">
        <v>42.12</v>
      </c>
      <c r="K22">
        <v>43.39</v>
      </c>
      <c r="L22">
        <v>43.4</v>
      </c>
      <c r="M22">
        <v>43.41</v>
      </c>
      <c r="O22">
        <f>SUMIF(historia4[[#This Row],[A]:[L]],"&gt;33",historia4[[#This Row],[A]:[L]])</f>
        <v>534.34</v>
      </c>
      <c r="P22">
        <f>SUM(historia4[[#This Row],[A]:[L]])</f>
        <v>534.34</v>
      </c>
      <c r="Q22">
        <f t="shared" si="1"/>
        <v>1</v>
      </c>
    </row>
    <row r="23" spans="1:17" x14ac:dyDescent="0.25">
      <c r="A23" s="1">
        <v>39478</v>
      </c>
      <c r="B23">
        <v>43.03</v>
      </c>
      <c r="C23">
        <v>43.65</v>
      </c>
      <c r="D23">
        <v>44.94</v>
      </c>
      <c r="E23">
        <v>47.2</v>
      </c>
      <c r="F23">
        <v>47.46</v>
      </c>
      <c r="G23">
        <v>47.72</v>
      </c>
      <c r="H23">
        <v>41.88</v>
      </c>
      <c r="I23">
        <v>41.91</v>
      </c>
      <c r="J23">
        <v>41.93</v>
      </c>
      <c r="K23">
        <v>43.21</v>
      </c>
      <c r="L23">
        <v>43.22</v>
      </c>
      <c r="M23">
        <v>43.23</v>
      </c>
      <c r="O23">
        <f>SUMIF(historia4[[#This Row],[A]:[L]],"&gt;33",historia4[[#This Row],[A]:[L]])</f>
        <v>529.38</v>
      </c>
      <c r="P23">
        <f>SUM(historia4[[#This Row],[A]:[L]])</f>
        <v>529.38</v>
      </c>
      <c r="Q23">
        <f t="shared" si="1"/>
        <v>1</v>
      </c>
    </row>
    <row r="24" spans="1:17" x14ac:dyDescent="0.25">
      <c r="A24" s="1">
        <v>39479</v>
      </c>
      <c r="B24">
        <v>44.01</v>
      </c>
      <c r="C24">
        <v>44.65</v>
      </c>
      <c r="D24">
        <v>45.97</v>
      </c>
      <c r="E24">
        <v>48.27</v>
      </c>
      <c r="F24">
        <v>48.54</v>
      </c>
      <c r="G24">
        <v>48.81</v>
      </c>
      <c r="H24">
        <v>42.49</v>
      </c>
      <c r="I24">
        <v>42.52</v>
      </c>
      <c r="J24">
        <v>42.54</v>
      </c>
      <c r="K24">
        <v>43.85</v>
      </c>
      <c r="L24">
        <v>43.86</v>
      </c>
      <c r="M24">
        <v>43.87</v>
      </c>
      <c r="O24">
        <f>SUMIF(historia4[[#This Row],[A]:[L]],"&gt;33",historia4[[#This Row],[A]:[L]])</f>
        <v>539.38</v>
      </c>
      <c r="P24">
        <f>SUM(historia4[[#This Row],[A]:[L]])</f>
        <v>539.38</v>
      </c>
      <c r="Q24">
        <f t="shared" si="1"/>
        <v>1</v>
      </c>
    </row>
    <row r="25" spans="1:17" x14ac:dyDescent="0.25">
      <c r="A25" s="1">
        <v>39482</v>
      </c>
      <c r="B25">
        <v>44.4</v>
      </c>
      <c r="C25">
        <v>45.05</v>
      </c>
      <c r="D25">
        <v>46.38</v>
      </c>
      <c r="E25">
        <v>48.75</v>
      </c>
      <c r="F25">
        <v>49.02</v>
      </c>
      <c r="G25">
        <v>49.29</v>
      </c>
      <c r="H25">
        <v>42.52</v>
      </c>
      <c r="I25">
        <v>42.55</v>
      </c>
      <c r="J25">
        <v>42.58</v>
      </c>
      <c r="K25">
        <v>44.19</v>
      </c>
      <c r="L25">
        <v>44.21</v>
      </c>
      <c r="M25">
        <v>44.22</v>
      </c>
      <c r="O25">
        <f>SUMIF(historia4[[#This Row],[A]:[L]],"&gt;33",historia4[[#This Row],[A]:[L]])</f>
        <v>543.16</v>
      </c>
      <c r="P25">
        <f>SUM(historia4[[#This Row],[A]:[L]])</f>
        <v>543.16</v>
      </c>
      <c r="Q25">
        <f t="shared" si="1"/>
        <v>1</v>
      </c>
    </row>
    <row r="26" spans="1:17" x14ac:dyDescent="0.25">
      <c r="A26" s="1">
        <v>39483</v>
      </c>
      <c r="B26">
        <v>43.18</v>
      </c>
      <c r="C26">
        <v>43.81</v>
      </c>
      <c r="D26">
        <v>45.1</v>
      </c>
      <c r="E26">
        <v>47.53</v>
      </c>
      <c r="F26">
        <v>47.79</v>
      </c>
      <c r="G26">
        <v>48.06</v>
      </c>
      <c r="H26">
        <v>41.3</v>
      </c>
      <c r="I26">
        <v>41.33</v>
      </c>
      <c r="J26">
        <v>41.35</v>
      </c>
      <c r="K26">
        <v>43.02</v>
      </c>
      <c r="L26">
        <v>43.03</v>
      </c>
      <c r="M26">
        <v>43.05</v>
      </c>
      <c r="O26">
        <f>SUMIF(historia4[[#This Row],[A]:[L]],"&gt;33",historia4[[#This Row],[A]:[L]])</f>
        <v>528.54999999999995</v>
      </c>
      <c r="P26">
        <f>SUM(historia4[[#This Row],[A]:[L]])</f>
        <v>528.54999999999995</v>
      </c>
      <c r="Q26">
        <f t="shared" si="1"/>
        <v>1</v>
      </c>
    </row>
    <row r="27" spans="1:17" x14ac:dyDescent="0.25">
      <c r="A27" s="1">
        <v>39484</v>
      </c>
      <c r="B27">
        <v>43.2</v>
      </c>
      <c r="C27">
        <v>43.83</v>
      </c>
      <c r="D27">
        <v>45.12</v>
      </c>
      <c r="E27">
        <v>47.57</v>
      </c>
      <c r="F27">
        <v>47.84</v>
      </c>
      <c r="G27">
        <v>48.1</v>
      </c>
      <c r="H27">
        <v>41.47</v>
      </c>
      <c r="I27">
        <v>41.49</v>
      </c>
      <c r="J27">
        <v>41.52</v>
      </c>
      <c r="K27">
        <v>43.05</v>
      </c>
      <c r="L27">
        <v>43.07</v>
      </c>
      <c r="M27">
        <v>43.08</v>
      </c>
      <c r="O27">
        <f>SUMIF(historia4[[#This Row],[A]:[L]],"&gt;33",historia4[[#This Row],[A]:[L]])</f>
        <v>529.34</v>
      </c>
      <c r="P27">
        <f>SUM(historia4[[#This Row],[A]:[L]])</f>
        <v>529.34</v>
      </c>
      <c r="Q27">
        <f t="shared" si="1"/>
        <v>1</v>
      </c>
    </row>
    <row r="28" spans="1:17" x14ac:dyDescent="0.25">
      <c r="A28" s="1">
        <v>39485</v>
      </c>
      <c r="B28">
        <v>42.52</v>
      </c>
      <c r="C28">
        <v>43.14</v>
      </c>
      <c r="D28">
        <v>44.42</v>
      </c>
      <c r="E28">
        <v>46.34</v>
      </c>
      <c r="F28">
        <v>46.59</v>
      </c>
      <c r="G28">
        <v>46.85</v>
      </c>
      <c r="H28">
        <v>40.75</v>
      </c>
      <c r="I28">
        <v>40.78</v>
      </c>
      <c r="J28">
        <v>40.799999999999997</v>
      </c>
      <c r="K28">
        <v>42.15</v>
      </c>
      <c r="L28">
        <v>42.16</v>
      </c>
      <c r="M28">
        <v>42.18</v>
      </c>
      <c r="O28">
        <f>SUMIF(historia4[[#This Row],[A]:[L]],"&gt;33",historia4[[#This Row],[A]:[L]])</f>
        <v>518.67999999999995</v>
      </c>
      <c r="P28">
        <f>SUM(historia4[[#This Row],[A]:[L]])</f>
        <v>518.67999999999995</v>
      </c>
      <c r="Q28">
        <f t="shared" si="1"/>
        <v>1</v>
      </c>
    </row>
    <row r="29" spans="1:17" x14ac:dyDescent="0.25">
      <c r="A29" s="1">
        <v>39486</v>
      </c>
      <c r="B29">
        <v>42.68</v>
      </c>
      <c r="C29">
        <v>43.3</v>
      </c>
      <c r="D29">
        <v>44.59</v>
      </c>
      <c r="E29">
        <v>46.39</v>
      </c>
      <c r="F29">
        <v>46.65</v>
      </c>
      <c r="G29">
        <v>46.91</v>
      </c>
      <c r="H29">
        <v>41.23</v>
      </c>
      <c r="I29">
        <v>41.26</v>
      </c>
      <c r="J29">
        <v>41.29</v>
      </c>
      <c r="K29">
        <v>42.51</v>
      </c>
      <c r="L29">
        <v>42.52</v>
      </c>
      <c r="M29">
        <v>42.53</v>
      </c>
      <c r="O29">
        <f>SUMIF(historia4[[#This Row],[A]:[L]],"&gt;33",historia4[[#This Row],[A]:[L]])</f>
        <v>521.86</v>
      </c>
      <c r="P29">
        <f>SUM(historia4[[#This Row],[A]:[L]])</f>
        <v>521.86</v>
      </c>
      <c r="Q29">
        <f t="shared" si="1"/>
        <v>1</v>
      </c>
    </row>
    <row r="30" spans="1:17" x14ac:dyDescent="0.25">
      <c r="A30" s="1">
        <v>39489</v>
      </c>
      <c r="B30">
        <v>42.79</v>
      </c>
      <c r="C30">
        <v>43.42</v>
      </c>
      <c r="D30">
        <v>44.71</v>
      </c>
      <c r="E30">
        <v>46.06</v>
      </c>
      <c r="F30">
        <v>46.32</v>
      </c>
      <c r="G30">
        <v>46.58</v>
      </c>
      <c r="H30">
        <v>41.18</v>
      </c>
      <c r="I30">
        <v>41.2</v>
      </c>
      <c r="J30">
        <v>41.23</v>
      </c>
      <c r="K30">
        <v>42.75</v>
      </c>
      <c r="L30">
        <v>42.76</v>
      </c>
      <c r="M30">
        <v>42.78</v>
      </c>
      <c r="O30">
        <f>SUMIF(historia4[[#This Row],[A]:[L]],"&gt;33",historia4[[#This Row],[A]:[L]])</f>
        <v>521.78</v>
      </c>
      <c r="P30">
        <f>SUM(historia4[[#This Row],[A]:[L]])</f>
        <v>521.78</v>
      </c>
      <c r="Q30">
        <f t="shared" si="1"/>
        <v>1</v>
      </c>
    </row>
    <row r="31" spans="1:17" x14ac:dyDescent="0.25">
      <c r="A31" s="1">
        <v>39490</v>
      </c>
      <c r="B31">
        <v>44.11</v>
      </c>
      <c r="C31">
        <v>44.76</v>
      </c>
      <c r="D31">
        <v>46.09</v>
      </c>
      <c r="E31">
        <v>47.61</v>
      </c>
      <c r="F31">
        <v>47.87</v>
      </c>
      <c r="G31">
        <v>48.14</v>
      </c>
      <c r="H31">
        <v>42.26</v>
      </c>
      <c r="I31">
        <v>42.29</v>
      </c>
      <c r="J31">
        <v>42.32</v>
      </c>
      <c r="K31">
        <v>44.33</v>
      </c>
      <c r="L31">
        <v>44.34</v>
      </c>
      <c r="M31">
        <v>44.35</v>
      </c>
      <c r="O31">
        <f>SUMIF(historia4[[#This Row],[A]:[L]],"&gt;33",historia4[[#This Row],[A]:[L]])</f>
        <v>538.47</v>
      </c>
      <c r="P31">
        <f>SUM(historia4[[#This Row],[A]:[L]])</f>
        <v>538.47</v>
      </c>
      <c r="Q31">
        <f t="shared" si="1"/>
        <v>1</v>
      </c>
    </row>
    <row r="32" spans="1:17" x14ac:dyDescent="0.25">
      <c r="A32" s="1">
        <v>39491</v>
      </c>
      <c r="B32">
        <v>44.67</v>
      </c>
      <c r="C32">
        <v>45.33</v>
      </c>
      <c r="D32">
        <v>46.68</v>
      </c>
      <c r="E32">
        <v>48.56</v>
      </c>
      <c r="F32">
        <v>48.84</v>
      </c>
      <c r="G32">
        <v>49.11</v>
      </c>
      <c r="H32">
        <v>42.56</v>
      </c>
      <c r="I32">
        <v>42.59</v>
      </c>
      <c r="J32">
        <v>42.62</v>
      </c>
      <c r="K32">
        <v>44.82</v>
      </c>
      <c r="L32">
        <v>44.83</v>
      </c>
      <c r="M32">
        <v>44.85</v>
      </c>
      <c r="O32">
        <f>SUMIF(historia4[[#This Row],[A]:[L]],"&gt;33",historia4[[#This Row],[A]:[L]])</f>
        <v>545.46</v>
      </c>
      <c r="P32">
        <f>SUM(historia4[[#This Row],[A]:[L]])</f>
        <v>545.46</v>
      </c>
      <c r="Q32">
        <f t="shared" si="1"/>
        <v>1</v>
      </c>
    </row>
    <row r="33" spans="1:17" x14ac:dyDescent="0.25">
      <c r="A33" s="1">
        <v>39492</v>
      </c>
      <c r="B33">
        <v>45.01</v>
      </c>
      <c r="C33">
        <v>45.68</v>
      </c>
      <c r="D33">
        <v>47.03</v>
      </c>
      <c r="E33">
        <v>49.05</v>
      </c>
      <c r="F33">
        <v>49.33</v>
      </c>
      <c r="G33">
        <v>49.61</v>
      </c>
      <c r="H33">
        <v>42.84</v>
      </c>
      <c r="I33">
        <v>42.87</v>
      </c>
      <c r="J33">
        <v>42.9</v>
      </c>
      <c r="K33">
        <v>45.1</v>
      </c>
      <c r="L33">
        <v>45.11</v>
      </c>
      <c r="M33">
        <v>45.13</v>
      </c>
      <c r="O33">
        <f>SUMIF(historia4[[#This Row],[A]:[L]],"&gt;33",historia4[[#This Row],[A]:[L]])</f>
        <v>549.66</v>
      </c>
      <c r="P33">
        <f>SUM(historia4[[#This Row],[A]:[L]])</f>
        <v>549.66</v>
      </c>
      <c r="Q33">
        <f t="shared" si="1"/>
        <v>1</v>
      </c>
    </row>
    <row r="34" spans="1:17" x14ac:dyDescent="0.25">
      <c r="A34" s="1">
        <v>39493</v>
      </c>
      <c r="B34">
        <v>44.4</v>
      </c>
      <c r="C34">
        <v>45.05</v>
      </c>
      <c r="D34">
        <v>46.39</v>
      </c>
      <c r="E34">
        <v>48.22</v>
      </c>
      <c r="F34">
        <v>48.49</v>
      </c>
      <c r="G34">
        <v>48.77</v>
      </c>
      <c r="H34">
        <v>42.04</v>
      </c>
      <c r="I34">
        <v>42.07</v>
      </c>
      <c r="J34">
        <v>42.1</v>
      </c>
      <c r="K34">
        <v>44.49</v>
      </c>
      <c r="L34">
        <v>44.5</v>
      </c>
      <c r="M34">
        <v>44.52</v>
      </c>
      <c r="O34">
        <f>SUMIF(historia4[[#This Row],[A]:[L]],"&gt;33",historia4[[#This Row],[A]:[L]])</f>
        <v>541.04000000000008</v>
      </c>
      <c r="P34">
        <f>SUM(historia4[[#This Row],[A]:[L]])</f>
        <v>541.04000000000008</v>
      </c>
      <c r="Q34">
        <f t="shared" si="1"/>
        <v>1</v>
      </c>
    </row>
    <row r="35" spans="1:17" x14ac:dyDescent="0.25">
      <c r="A35" s="1">
        <v>39496</v>
      </c>
      <c r="B35">
        <v>45.37</v>
      </c>
      <c r="C35">
        <v>46.04</v>
      </c>
      <c r="D35">
        <v>47.41</v>
      </c>
      <c r="E35">
        <v>49.07</v>
      </c>
      <c r="F35">
        <v>49.35</v>
      </c>
      <c r="G35">
        <v>49.64</v>
      </c>
      <c r="H35">
        <v>42.95</v>
      </c>
      <c r="I35">
        <v>42.98</v>
      </c>
      <c r="J35">
        <v>43.01</v>
      </c>
      <c r="K35">
        <v>45.07</v>
      </c>
      <c r="L35">
        <v>45.09</v>
      </c>
      <c r="M35">
        <v>45.1</v>
      </c>
      <c r="O35">
        <f>SUMIF(historia4[[#This Row],[A]:[L]],"&gt;33",historia4[[#This Row],[A]:[L]])</f>
        <v>551.08000000000004</v>
      </c>
      <c r="P35">
        <f>SUM(historia4[[#This Row],[A]:[L]])</f>
        <v>551.08000000000004</v>
      </c>
      <c r="Q35">
        <f t="shared" si="1"/>
        <v>1</v>
      </c>
    </row>
    <row r="36" spans="1:17" x14ac:dyDescent="0.25">
      <c r="A36" s="1">
        <v>39497</v>
      </c>
      <c r="B36">
        <v>45.37</v>
      </c>
      <c r="C36">
        <v>46.04</v>
      </c>
      <c r="D36">
        <v>47.41</v>
      </c>
      <c r="E36">
        <v>49.28</v>
      </c>
      <c r="F36">
        <v>49.56</v>
      </c>
      <c r="G36">
        <v>49.85</v>
      </c>
      <c r="H36">
        <v>43.06</v>
      </c>
      <c r="I36">
        <v>43.09</v>
      </c>
      <c r="J36">
        <v>43.12</v>
      </c>
      <c r="K36">
        <v>45.18</v>
      </c>
      <c r="L36">
        <v>45.19</v>
      </c>
      <c r="M36">
        <v>45.21</v>
      </c>
      <c r="O36">
        <f>SUMIF(historia4[[#This Row],[A]:[L]],"&gt;33",historia4[[#This Row],[A]:[L]])</f>
        <v>552.36</v>
      </c>
      <c r="P36">
        <f>SUM(historia4[[#This Row],[A]:[L]])</f>
        <v>552.36</v>
      </c>
      <c r="Q36">
        <f t="shared" si="1"/>
        <v>1</v>
      </c>
    </row>
    <row r="37" spans="1:17" x14ac:dyDescent="0.25">
      <c r="A37" s="1">
        <v>39498</v>
      </c>
      <c r="B37">
        <v>45.07</v>
      </c>
      <c r="C37">
        <v>45.73</v>
      </c>
      <c r="D37">
        <v>47.09</v>
      </c>
      <c r="E37">
        <v>48.96</v>
      </c>
      <c r="F37">
        <v>49.24</v>
      </c>
      <c r="G37">
        <v>49.52</v>
      </c>
      <c r="H37">
        <v>42.83</v>
      </c>
      <c r="I37">
        <v>42.86</v>
      </c>
      <c r="J37">
        <v>42.89</v>
      </c>
      <c r="K37">
        <v>44.7</v>
      </c>
      <c r="L37">
        <v>44.72</v>
      </c>
      <c r="M37">
        <v>44.73</v>
      </c>
      <c r="O37">
        <f>SUMIF(historia4[[#This Row],[A]:[L]],"&gt;33",historia4[[#This Row],[A]:[L]])</f>
        <v>548.34</v>
      </c>
      <c r="P37">
        <f>SUM(historia4[[#This Row],[A]:[L]])</f>
        <v>548.34</v>
      </c>
      <c r="Q37">
        <f t="shared" si="1"/>
        <v>1</v>
      </c>
    </row>
    <row r="38" spans="1:17" x14ac:dyDescent="0.25">
      <c r="A38" s="1">
        <v>39499</v>
      </c>
      <c r="B38">
        <v>45.11</v>
      </c>
      <c r="C38">
        <v>45.78</v>
      </c>
      <c r="D38">
        <v>47.15</v>
      </c>
      <c r="E38">
        <v>49.28</v>
      </c>
      <c r="F38">
        <v>49.57</v>
      </c>
      <c r="G38">
        <v>49.85</v>
      </c>
      <c r="H38">
        <v>42.91</v>
      </c>
      <c r="I38">
        <v>42.95</v>
      </c>
      <c r="J38">
        <v>42.98</v>
      </c>
      <c r="K38">
        <v>44.91</v>
      </c>
      <c r="L38">
        <v>44.93</v>
      </c>
      <c r="M38">
        <v>44.95</v>
      </c>
      <c r="O38">
        <f>SUMIF(historia4[[#This Row],[A]:[L]],"&gt;33",historia4[[#This Row],[A]:[L]])</f>
        <v>550.37</v>
      </c>
      <c r="P38">
        <f>SUM(historia4[[#This Row],[A]:[L]])</f>
        <v>550.37</v>
      </c>
      <c r="Q38">
        <f t="shared" si="1"/>
        <v>1</v>
      </c>
    </row>
    <row r="39" spans="1:17" x14ac:dyDescent="0.25">
      <c r="A39" s="1">
        <v>39500</v>
      </c>
      <c r="B39">
        <v>44.58</v>
      </c>
      <c r="C39">
        <v>45.24</v>
      </c>
      <c r="D39">
        <v>46.59</v>
      </c>
      <c r="E39">
        <v>48.83</v>
      </c>
      <c r="F39">
        <v>49.12</v>
      </c>
      <c r="G39">
        <v>49.4</v>
      </c>
      <c r="H39">
        <v>42.52</v>
      </c>
      <c r="I39">
        <v>42.56</v>
      </c>
      <c r="J39">
        <v>42.59</v>
      </c>
      <c r="K39">
        <v>44.56</v>
      </c>
      <c r="L39">
        <v>44.58</v>
      </c>
      <c r="M39">
        <v>44.6</v>
      </c>
      <c r="O39">
        <f>SUMIF(historia4[[#This Row],[A]:[L]],"&gt;33",historia4[[#This Row],[A]:[L]])</f>
        <v>545.16999999999996</v>
      </c>
      <c r="P39">
        <f>SUM(historia4[[#This Row],[A]:[L]])</f>
        <v>545.16999999999996</v>
      </c>
      <c r="Q39">
        <f t="shared" si="1"/>
        <v>1</v>
      </c>
    </row>
    <row r="40" spans="1:17" x14ac:dyDescent="0.25">
      <c r="A40" s="1">
        <v>39503</v>
      </c>
      <c r="B40">
        <v>44.63</v>
      </c>
      <c r="C40">
        <v>45.3</v>
      </c>
      <c r="D40">
        <v>46.65</v>
      </c>
      <c r="E40">
        <v>48.95</v>
      </c>
      <c r="F40">
        <v>49.24</v>
      </c>
      <c r="G40">
        <v>49.52</v>
      </c>
      <c r="H40">
        <v>42.63</v>
      </c>
      <c r="I40">
        <v>42.66</v>
      </c>
      <c r="J40">
        <v>42.69</v>
      </c>
      <c r="K40">
        <v>45.2</v>
      </c>
      <c r="L40">
        <v>45.23</v>
      </c>
      <c r="M40">
        <v>45.25</v>
      </c>
      <c r="O40">
        <f>SUMIF(historia4[[#This Row],[A]:[L]],"&gt;33",historia4[[#This Row],[A]:[L]])</f>
        <v>547.95000000000005</v>
      </c>
      <c r="P40">
        <f>SUM(historia4[[#This Row],[A]:[L]])</f>
        <v>547.95000000000005</v>
      </c>
      <c r="Q40">
        <f t="shared" si="1"/>
        <v>1</v>
      </c>
    </row>
    <row r="41" spans="1:17" x14ac:dyDescent="0.25">
      <c r="A41" s="1">
        <v>39504</v>
      </c>
      <c r="B41">
        <v>44.36</v>
      </c>
      <c r="C41">
        <v>45.02</v>
      </c>
      <c r="D41">
        <v>46.36</v>
      </c>
      <c r="E41">
        <v>49.17</v>
      </c>
      <c r="F41">
        <v>49.46</v>
      </c>
      <c r="G41">
        <v>49.75</v>
      </c>
      <c r="H41">
        <v>42.7</v>
      </c>
      <c r="I41">
        <v>42.73</v>
      </c>
      <c r="J41">
        <v>42.77</v>
      </c>
      <c r="K41">
        <v>45.07</v>
      </c>
      <c r="L41">
        <v>45.09</v>
      </c>
      <c r="M41">
        <v>45.11</v>
      </c>
      <c r="O41">
        <f>SUMIF(historia4[[#This Row],[A]:[L]],"&gt;33",historia4[[#This Row],[A]:[L]])</f>
        <v>547.59</v>
      </c>
      <c r="P41">
        <f>SUM(historia4[[#This Row],[A]:[L]])</f>
        <v>547.59</v>
      </c>
      <c r="Q41">
        <f t="shared" si="1"/>
        <v>1</v>
      </c>
    </row>
    <row r="42" spans="1:17" x14ac:dyDescent="0.25">
      <c r="A42" s="1">
        <v>39505</v>
      </c>
      <c r="B42">
        <v>44.44</v>
      </c>
      <c r="C42">
        <v>45.1</v>
      </c>
      <c r="D42">
        <v>46.44</v>
      </c>
      <c r="E42">
        <v>49.26</v>
      </c>
      <c r="F42">
        <v>49.55</v>
      </c>
      <c r="G42">
        <v>49.84</v>
      </c>
      <c r="H42">
        <v>42.86</v>
      </c>
      <c r="I42">
        <v>42.9</v>
      </c>
      <c r="J42">
        <v>42.93</v>
      </c>
      <c r="K42">
        <v>45.13</v>
      </c>
      <c r="L42">
        <v>45.15</v>
      </c>
      <c r="M42">
        <v>45.18</v>
      </c>
      <c r="O42">
        <f>SUMIF(historia4[[#This Row],[A]:[L]],"&gt;33",historia4[[#This Row],[A]:[L]])</f>
        <v>548.78</v>
      </c>
      <c r="P42">
        <f>SUM(historia4[[#This Row],[A]:[L]])</f>
        <v>548.78</v>
      </c>
      <c r="Q42">
        <f t="shared" si="1"/>
        <v>1</v>
      </c>
    </row>
    <row r="43" spans="1:17" x14ac:dyDescent="0.25">
      <c r="A43" s="1">
        <v>39506</v>
      </c>
      <c r="B43">
        <v>44.03</v>
      </c>
      <c r="C43">
        <v>44.68</v>
      </c>
      <c r="D43">
        <v>46.02</v>
      </c>
      <c r="E43">
        <v>48.39</v>
      </c>
      <c r="F43">
        <v>48.67</v>
      </c>
      <c r="G43">
        <v>48.96</v>
      </c>
      <c r="H43">
        <v>42.08</v>
      </c>
      <c r="I43">
        <v>42.11</v>
      </c>
      <c r="J43">
        <v>42.15</v>
      </c>
      <c r="K43">
        <v>44.73</v>
      </c>
      <c r="L43">
        <v>44.75</v>
      </c>
      <c r="M43">
        <v>44.77</v>
      </c>
      <c r="O43">
        <f>SUMIF(historia4[[#This Row],[A]:[L]],"&gt;33",historia4[[#This Row],[A]:[L]])</f>
        <v>541.34</v>
      </c>
      <c r="P43">
        <f>SUM(historia4[[#This Row],[A]:[L]])</f>
        <v>541.34</v>
      </c>
      <c r="Q43">
        <f t="shared" si="1"/>
        <v>1</v>
      </c>
    </row>
    <row r="44" spans="1:17" x14ac:dyDescent="0.25">
      <c r="A44" s="1">
        <v>39507</v>
      </c>
      <c r="B44">
        <v>43.32</v>
      </c>
      <c r="C44">
        <v>43.97</v>
      </c>
      <c r="D44">
        <v>45.28</v>
      </c>
      <c r="E44">
        <v>47.45</v>
      </c>
      <c r="F44">
        <v>47.73</v>
      </c>
      <c r="G44">
        <v>48.01</v>
      </c>
      <c r="H44">
        <v>41.25</v>
      </c>
      <c r="I44">
        <v>41.28</v>
      </c>
      <c r="J44">
        <v>41.31</v>
      </c>
      <c r="K44">
        <v>43.75</v>
      </c>
      <c r="L44">
        <v>43.77</v>
      </c>
      <c r="M44">
        <v>43.79</v>
      </c>
      <c r="O44">
        <f>SUMIF(historia4[[#This Row],[A]:[L]],"&gt;33",historia4[[#This Row],[A]:[L]])</f>
        <v>530.91</v>
      </c>
      <c r="P44">
        <f>SUM(historia4[[#This Row],[A]:[L]])</f>
        <v>530.91</v>
      </c>
      <c r="Q44">
        <f t="shared" si="1"/>
        <v>1</v>
      </c>
    </row>
    <row r="45" spans="1:17" x14ac:dyDescent="0.25">
      <c r="A45" s="1">
        <v>39510</v>
      </c>
      <c r="B45">
        <v>42.22</v>
      </c>
      <c r="C45">
        <v>42.86</v>
      </c>
      <c r="D45">
        <v>44.14</v>
      </c>
      <c r="E45">
        <v>45.87</v>
      </c>
      <c r="F45">
        <v>46.14</v>
      </c>
      <c r="G45">
        <v>46.42</v>
      </c>
      <c r="H45">
        <v>40.28</v>
      </c>
      <c r="I45">
        <v>40.31</v>
      </c>
      <c r="J45">
        <v>40.340000000000003</v>
      </c>
      <c r="K45">
        <v>43.32</v>
      </c>
      <c r="L45">
        <v>43.34</v>
      </c>
      <c r="M45">
        <v>43.37</v>
      </c>
      <c r="O45">
        <f>SUMIF(historia4[[#This Row],[A]:[L]],"&gt;33",historia4[[#This Row],[A]:[L]])</f>
        <v>518.61</v>
      </c>
      <c r="P45">
        <f>SUM(historia4[[#This Row],[A]:[L]])</f>
        <v>518.61</v>
      </c>
      <c r="Q45">
        <f t="shared" si="1"/>
        <v>1</v>
      </c>
    </row>
    <row r="46" spans="1:17" x14ac:dyDescent="0.25">
      <c r="A46" s="1">
        <v>39511</v>
      </c>
      <c r="B46">
        <v>41.3</v>
      </c>
      <c r="C46">
        <v>41.92</v>
      </c>
      <c r="D46">
        <v>43.17</v>
      </c>
      <c r="E46">
        <v>44.9</v>
      </c>
      <c r="F46">
        <v>45.17</v>
      </c>
      <c r="G46">
        <v>45.43</v>
      </c>
      <c r="H46">
        <v>39.340000000000003</v>
      </c>
      <c r="I46">
        <v>39.369999999999997</v>
      </c>
      <c r="J46">
        <v>39.4</v>
      </c>
      <c r="K46">
        <v>42.92</v>
      </c>
      <c r="L46">
        <v>42.94</v>
      </c>
      <c r="M46">
        <v>42.97</v>
      </c>
      <c r="O46">
        <f>SUMIF(historia4[[#This Row],[A]:[L]],"&gt;33",historia4[[#This Row],[A]:[L]])</f>
        <v>508.83000000000004</v>
      </c>
      <c r="P46">
        <f>SUM(historia4[[#This Row],[A]:[L]])</f>
        <v>508.83000000000004</v>
      </c>
      <c r="Q46">
        <f t="shared" si="1"/>
        <v>1</v>
      </c>
    </row>
    <row r="47" spans="1:17" x14ac:dyDescent="0.25">
      <c r="A47" s="1">
        <v>39512</v>
      </c>
      <c r="B47">
        <v>42.07</v>
      </c>
      <c r="C47">
        <v>42.7</v>
      </c>
      <c r="D47">
        <v>43.98</v>
      </c>
      <c r="E47">
        <v>45.77</v>
      </c>
      <c r="F47">
        <v>46.04</v>
      </c>
      <c r="G47">
        <v>46.32</v>
      </c>
      <c r="H47">
        <v>40.340000000000003</v>
      </c>
      <c r="I47">
        <v>40.369999999999997</v>
      </c>
      <c r="J47">
        <v>40.409999999999997</v>
      </c>
      <c r="K47">
        <v>43.89</v>
      </c>
      <c r="L47">
        <v>43.92</v>
      </c>
      <c r="M47">
        <v>43.94</v>
      </c>
      <c r="O47">
        <f>SUMIF(historia4[[#This Row],[A]:[L]],"&gt;33",historia4[[#This Row],[A]:[L]])</f>
        <v>519.75</v>
      </c>
      <c r="P47">
        <f>SUM(historia4[[#This Row],[A]:[L]])</f>
        <v>519.75</v>
      </c>
      <c r="Q47">
        <f t="shared" si="1"/>
        <v>1</v>
      </c>
    </row>
    <row r="48" spans="1:17" x14ac:dyDescent="0.25">
      <c r="A48" s="1">
        <v>39513</v>
      </c>
      <c r="B48">
        <v>41.48</v>
      </c>
      <c r="C48">
        <v>42.1</v>
      </c>
      <c r="D48">
        <v>43.37</v>
      </c>
      <c r="E48">
        <v>45.06</v>
      </c>
      <c r="F48">
        <v>45.33</v>
      </c>
      <c r="G48">
        <v>45.6</v>
      </c>
      <c r="H48">
        <v>39.65</v>
      </c>
      <c r="I48">
        <v>39.68</v>
      </c>
      <c r="J48">
        <v>39.71</v>
      </c>
      <c r="K48">
        <v>43.62</v>
      </c>
      <c r="L48">
        <v>43.65</v>
      </c>
      <c r="M48">
        <v>43.67</v>
      </c>
      <c r="O48">
        <f>SUMIF(historia4[[#This Row],[A]:[L]],"&gt;33",historia4[[#This Row],[A]:[L]])</f>
        <v>512.91999999999996</v>
      </c>
      <c r="P48">
        <f>SUM(historia4[[#This Row],[A]:[L]])</f>
        <v>512.91999999999996</v>
      </c>
      <c r="Q48">
        <f t="shared" si="1"/>
        <v>1</v>
      </c>
    </row>
    <row r="49" spans="1:17" x14ac:dyDescent="0.25">
      <c r="A49" s="1">
        <v>39514</v>
      </c>
      <c r="B49">
        <v>40.880000000000003</v>
      </c>
      <c r="C49">
        <v>41.49</v>
      </c>
      <c r="D49">
        <v>42.73</v>
      </c>
      <c r="E49">
        <v>44.22</v>
      </c>
      <c r="F49">
        <v>44.48</v>
      </c>
      <c r="G49">
        <v>44.75</v>
      </c>
      <c r="H49">
        <v>39.19</v>
      </c>
      <c r="I49">
        <v>39.22</v>
      </c>
      <c r="J49">
        <v>39.25</v>
      </c>
      <c r="K49">
        <v>42.79</v>
      </c>
      <c r="L49">
        <v>42.82</v>
      </c>
      <c r="M49">
        <v>42.84</v>
      </c>
      <c r="O49">
        <f>SUMIF(historia4[[#This Row],[A]:[L]],"&gt;33",historia4[[#This Row],[A]:[L]])</f>
        <v>504.65999999999997</v>
      </c>
      <c r="P49">
        <f>SUM(historia4[[#This Row],[A]:[L]])</f>
        <v>504.65999999999997</v>
      </c>
      <c r="Q49">
        <f t="shared" si="1"/>
        <v>1</v>
      </c>
    </row>
    <row r="50" spans="1:17" x14ac:dyDescent="0.25">
      <c r="A50" s="1">
        <v>39517</v>
      </c>
      <c r="B50">
        <v>41.14</v>
      </c>
      <c r="C50">
        <v>41.76</v>
      </c>
      <c r="D50">
        <v>43.01</v>
      </c>
      <c r="E50">
        <v>43.98</v>
      </c>
      <c r="F50">
        <v>44.25</v>
      </c>
      <c r="G50">
        <v>44.51</v>
      </c>
      <c r="H50">
        <v>39.299999999999997</v>
      </c>
      <c r="I50">
        <v>39.33</v>
      </c>
      <c r="J50">
        <v>39.369999999999997</v>
      </c>
      <c r="K50">
        <v>41.98</v>
      </c>
      <c r="L50">
        <v>42.01</v>
      </c>
      <c r="M50">
        <v>42.03</v>
      </c>
      <c r="O50">
        <f>SUMIF(historia4[[#This Row],[A]:[L]],"&gt;33",historia4[[#This Row],[A]:[L]])</f>
        <v>502.66999999999996</v>
      </c>
      <c r="P50">
        <f>SUM(historia4[[#This Row],[A]:[L]])</f>
        <v>502.66999999999996</v>
      </c>
      <c r="Q50">
        <f t="shared" si="1"/>
        <v>1</v>
      </c>
    </row>
    <row r="51" spans="1:17" x14ac:dyDescent="0.25">
      <c r="A51" s="1">
        <v>39518</v>
      </c>
      <c r="B51">
        <v>41.97</v>
      </c>
      <c r="C51">
        <v>42.6</v>
      </c>
      <c r="D51">
        <v>43.88</v>
      </c>
      <c r="E51">
        <v>45.05</v>
      </c>
      <c r="F51">
        <v>45.32</v>
      </c>
      <c r="G51">
        <v>45.59</v>
      </c>
      <c r="H51">
        <v>40.04</v>
      </c>
      <c r="I51">
        <v>40.07</v>
      </c>
      <c r="J51">
        <v>40.1</v>
      </c>
      <c r="K51">
        <v>42.72</v>
      </c>
      <c r="L51">
        <v>42.75</v>
      </c>
      <c r="M51">
        <v>42.78</v>
      </c>
      <c r="O51">
        <f>SUMIF(historia4[[#This Row],[A]:[L]],"&gt;33",historia4[[#This Row],[A]:[L]])</f>
        <v>512.87</v>
      </c>
      <c r="P51">
        <f>SUM(historia4[[#This Row],[A]:[L]])</f>
        <v>512.87</v>
      </c>
      <c r="Q51">
        <f t="shared" si="1"/>
        <v>1</v>
      </c>
    </row>
    <row r="52" spans="1:17" x14ac:dyDescent="0.25">
      <c r="A52" s="1">
        <v>39519</v>
      </c>
      <c r="B52">
        <v>42.52</v>
      </c>
      <c r="C52">
        <v>43.16</v>
      </c>
      <c r="D52">
        <v>44.46</v>
      </c>
      <c r="E52">
        <v>45.73</v>
      </c>
      <c r="F52">
        <v>46</v>
      </c>
      <c r="G52">
        <v>46.28</v>
      </c>
      <c r="H52">
        <v>40.22</v>
      </c>
      <c r="I52">
        <v>40.26</v>
      </c>
      <c r="J52">
        <v>40.29</v>
      </c>
      <c r="K52">
        <v>42.93</v>
      </c>
      <c r="L52">
        <v>42.95</v>
      </c>
      <c r="M52">
        <v>42.98</v>
      </c>
      <c r="O52">
        <f>SUMIF(historia4[[#This Row],[A]:[L]],"&gt;33",historia4[[#This Row],[A]:[L]])</f>
        <v>517.78</v>
      </c>
      <c r="P52">
        <f>SUM(historia4[[#This Row],[A]:[L]])</f>
        <v>517.78</v>
      </c>
      <c r="Q52">
        <f t="shared" si="1"/>
        <v>1</v>
      </c>
    </row>
    <row r="53" spans="1:17" x14ac:dyDescent="0.25">
      <c r="A53" s="1">
        <v>39520</v>
      </c>
      <c r="B53">
        <v>41.29</v>
      </c>
      <c r="C53">
        <v>41.91</v>
      </c>
      <c r="D53">
        <v>43.17</v>
      </c>
      <c r="E53">
        <v>44.34</v>
      </c>
      <c r="F53">
        <v>44.61</v>
      </c>
      <c r="G53">
        <v>44.88</v>
      </c>
      <c r="H53">
        <v>39.270000000000003</v>
      </c>
      <c r="I53">
        <v>39.299999999999997</v>
      </c>
      <c r="J53">
        <v>39.340000000000003</v>
      </c>
      <c r="K53">
        <v>42.58</v>
      </c>
      <c r="L53">
        <v>42.61</v>
      </c>
      <c r="M53">
        <v>42.63</v>
      </c>
      <c r="O53">
        <f>SUMIF(historia4[[#This Row],[A]:[L]],"&gt;33",historia4[[#This Row],[A]:[L]])</f>
        <v>505.93</v>
      </c>
      <c r="P53">
        <f>SUM(historia4[[#This Row],[A]:[L]])</f>
        <v>505.93</v>
      </c>
      <c r="Q53">
        <f t="shared" si="1"/>
        <v>1</v>
      </c>
    </row>
    <row r="54" spans="1:17" x14ac:dyDescent="0.25">
      <c r="A54" s="1">
        <v>39521</v>
      </c>
      <c r="B54">
        <v>40.97</v>
      </c>
      <c r="C54">
        <v>41.59</v>
      </c>
      <c r="D54">
        <v>42.84</v>
      </c>
      <c r="E54">
        <v>44.12</v>
      </c>
      <c r="F54">
        <v>44.38</v>
      </c>
      <c r="G54">
        <v>44.65</v>
      </c>
      <c r="H54">
        <v>39.15</v>
      </c>
      <c r="I54">
        <v>39.19</v>
      </c>
      <c r="J54">
        <v>39.22</v>
      </c>
      <c r="K54">
        <v>42.15</v>
      </c>
      <c r="L54">
        <v>42.18</v>
      </c>
      <c r="M54">
        <v>42.21</v>
      </c>
      <c r="O54">
        <f>SUMIF(historia4[[#This Row],[A]:[L]],"&gt;33",historia4[[#This Row],[A]:[L]])</f>
        <v>502.65</v>
      </c>
      <c r="P54">
        <f>SUM(historia4[[#This Row],[A]:[L]])</f>
        <v>502.65</v>
      </c>
      <c r="Q54">
        <f t="shared" si="1"/>
        <v>1</v>
      </c>
    </row>
    <row r="55" spans="1:17" x14ac:dyDescent="0.25">
      <c r="A55" s="1">
        <v>39524</v>
      </c>
      <c r="B55">
        <v>39.299999999999997</v>
      </c>
      <c r="C55">
        <v>39.89</v>
      </c>
      <c r="D55">
        <v>41.1</v>
      </c>
      <c r="E55">
        <v>41.65</v>
      </c>
      <c r="F55">
        <v>41.91</v>
      </c>
      <c r="G55">
        <v>42.16</v>
      </c>
      <c r="H55">
        <v>37.58</v>
      </c>
      <c r="I55">
        <v>37.619999999999997</v>
      </c>
      <c r="J55">
        <v>37.65</v>
      </c>
      <c r="K55">
        <v>40.35</v>
      </c>
      <c r="L55">
        <v>40.380000000000003</v>
      </c>
      <c r="M55">
        <v>40.409999999999997</v>
      </c>
      <c r="O55">
        <f>SUMIF(historia4[[#This Row],[A]:[L]],"&gt;33",historia4[[#This Row],[A]:[L]])</f>
        <v>480</v>
      </c>
      <c r="P55">
        <f>SUM(historia4[[#This Row],[A]:[L]])</f>
        <v>480</v>
      </c>
      <c r="Q55">
        <f t="shared" si="1"/>
        <v>1</v>
      </c>
    </row>
    <row r="56" spans="1:17" x14ac:dyDescent="0.25">
      <c r="A56" s="1">
        <v>39525</v>
      </c>
      <c r="B56">
        <v>40.57</v>
      </c>
      <c r="C56">
        <v>41.18</v>
      </c>
      <c r="D56">
        <v>42.43</v>
      </c>
      <c r="E56">
        <v>42.77</v>
      </c>
      <c r="F56">
        <v>43.03</v>
      </c>
      <c r="G56">
        <v>43.29</v>
      </c>
      <c r="H56">
        <v>38.6</v>
      </c>
      <c r="I56">
        <v>38.630000000000003</v>
      </c>
      <c r="J56">
        <v>38.67</v>
      </c>
      <c r="K56">
        <v>41.03</v>
      </c>
      <c r="L56">
        <v>41.06</v>
      </c>
      <c r="M56">
        <v>41.09</v>
      </c>
      <c r="O56">
        <f>SUMIF(historia4[[#This Row],[A]:[L]],"&gt;33",historia4[[#This Row],[A]:[L]])</f>
        <v>492.35</v>
      </c>
      <c r="P56">
        <f>SUM(historia4[[#This Row],[A]:[L]])</f>
        <v>492.35</v>
      </c>
      <c r="Q56">
        <f t="shared" si="1"/>
        <v>1</v>
      </c>
    </row>
    <row r="57" spans="1:17" x14ac:dyDescent="0.25">
      <c r="A57" s="1">
        <v>39526</v>
      </c>
      <c r="B57">
        <v>40.700000000000003</v>
      </c>
      <c r="C57">
        <v>41.32</v>
      </c>
      <c r="D57">
        <v>42.57</v>
      </c>
      <c r="E57">
        <v>42.88</v>
      </c>
      <c r="F57">
        <v>43.14</v>
      </c>
      <c r="G57">
        <v>43.41</v>
      </c>
      <c r="H57">
        <v>38.71</v>
      </c>
      <c r="I57">
        <v>38.75</v>
      </c>
      <c r="J57">
        <v>38.79</v>
      </c>
      <c r="K57">
        <v>40.29</v>
      </c>
      <c r="L57">
        <v>40.32</v>
      </c>
      <c r="M57">
        <v>40.35</v>
      </c>
      <c r="O57">
        <f>SUMIF(historia4[[#This Row],[A]:[L]],"&gt;33",historia4[[#This Row],[A]:[L]])</f>
        <v>491.23000000000008</v>
      </c>
      <c r="P57">
        <f>SUM(historia4[[#This Row],[A]:[L]])</f>
        <v>491.23000000000008</v>
      </c>
      <c r="Q57">
        <f t="shared" si="1"/>
        <v>1</v>
      </c>
    </row>
    <row r="58" spans="1:17" x14ac:dyDescent="0.25">
      <c r="A58" s="1">
        <v>39527</v>
      </c>
      <c r="B58">
        <v>40.07</v>
      </c>
      <c r="C58">
        <v>40.68</v>
      </c>
      <c r="D58">
        <v>41.91</v>
      </c>
      <c r="E58">
        <v>42.67</v>
      </c>
      <c r="F58">
        <v>42.93</v>
      </c>
      <c r="G58">
        <v>43.19</v>
      </c>
      <c r="H58">
        <v>38.520000000000003</v>
      </c>
      <c r="I58">
        <v>38.56</v>
      </c>
      <c r="J58">
        <v>38.590000000000003</v>
      </c>
      <c r="K58">
        <v>39.46</v>
      </c>
      <c r="L58">
        <v>39.49</v>
      </c>
      <c r="M58">
        <v>39.520000000000003</v>
      </c>
      <c r="O58">
        <f>SUMIF(historia4[[#This Row],[A]:[L]],"&gt;33",historia4[[#This Row],[A]:[L]])</f>
        <v>485.59</v>
      </c>
      <c r="P58">
        <f>SUM(historia4[[#This Row],[A]:[L]])</f>
        <v>485.59</v>
      </c>
      <c r="Q58">
        <f t="shared" si="1"/>
        <v>1</v>
      </c>
    </row>
    <row r="59" spans="1:17" x14ac:dyDescent="0.25">
      <c r="A59" s="1">
        <v>39532</v>
      </c>
      <c r="B59">
        <v>41.31</v>
      </c>
      <c r="C59">
        <v>41.94</v>
      </c>
      <c r="D59">
        <v>43.21</v>
      </c>
      <c r="E59">
        <v>43.98</v>
      </c>
      <c r="F59">
        <v>44.25</v>
      </c>
      <c r="G59">
        <v>44.53</v>
      </c>
      <c r="H59">
        <v>39.869999999999997</v>
      </c>
      <c r="I59">
        <v>39.909999999999997</v>
      </c>
      <c r="J59">
        <v>39.950000000000003</v>
      </c>
      <c r="K59">
        <v>40.659999999999997</v>
      </c>
      <c r="L59">
        <v>40.700000000000003</v>
      </c>
      <c r="M59">
        <v>40.729999999999997</v>
      </c>
      <c r="O59">
        <f>SUMIF(historia4[[#This Row],[A]:[L]],"&gt;33",historia4[[#This Row],[A]:[L]])</f>
        <v>501.04</v>
      </c>
      <c r="P59">
        <f>SUM(historia4[[#This Row],[A]:[L]])</f>
        <v>501.04</v>
      </c>
      <c r="Q59">
        <f t="shared" si="1"/>
        <v>1</v>
      </c>
    </row>
    <row r="60" spans="1:17" x14ac:dyDescent="0.25">
      <c r="A60" s="1">
        <v>39533</v>
      </c>
      <c r="B60">
        <v>41.42</v>
      </c>
      <c r="C60">
        <v>42.05</v>
      </c>
      <c r="D60">
        <v>43.33</v>
      </c>
      <c r="E60">
        <v>43.4</v>
      </c>
      <c r="F60">
        <v>43.67</v>
      </c>
      <c r="G60">
        <v>43.95</v>
      </c>
      <c r="H60">
        <v>39.68</v>
      </c>
      <c r="I60">
        <v>39.72</v>
      </c>
      <c r="J60">
        <v>39.75</v>
      </c>
      <c r="K60">
        <v>41.17</v>
      </c>
      <c r="L60">
        <v>41.21</v>
      </c>
      <c r="M60">
        <v>41.24</v>
      </c>
      <c r="O60">
        <f>SUMIF(historia4[[#This Row],[A]:[L]],"&gt;33",historia4[[#This Row],[A]:[L]])</f>
        <v>500.59000000000003</v>
      </c>
      <c r="P60">
        <f>SUM(historia4[[#This Row],[A]:[L]])</f>
        <v>500.59000000000003</v>
      </c>
      <c r="Q60">
        <f t="shared" si="1"/>
        <v>1</v>
      </c>
    </row>
    <row r="61" spans="1:17" x14ac:dyDescent="0.25">
      <c r="A61" s="1">
        <v>39534</v>
      </c>
      <c r="B61">
        <v>42.07</v>
      </c>
      <c r="C61">
        <v>42.71</v>
      </c>
      <c r="D61">
        <v>44</v>
      </c>
      <c r="E61">
        <v>44.15</v>
      </c>
      <c r="F61">
        <v>44.43</v>
      </c>
      <c r="G61">
        <v>44.71</v>
      </c>
      <c r="H61">
        <v>40.17</v>
      </c>
      <c r="I61">
        <v>40.21</v>
      </c>
      <c r="J61">
        <v>40.25</v>
      </c>
      <c r="K61">
        <v>42.29</v>
      </c>
      <c r="L61">
        <v>42.33</v>
      </c>
      <c r="M61">
        <v>42.36</v>
      </c>
      <c r="O61">
        <f>SUMIF(historia4[[#This Row],[A]:[L]],"&gt;33",historia4[[#This Row],[A]:[L]])</f>
        <v>509.68</v>
      </c>
      <c r="P61">
        <f>SUM(historia4[[#This Row],[A]:[L]])</f>
        <v>509.68</v>
      </c>
      <c r="Q61">
        <f t="shared" si="1"/>
        <v>1</v>
      </c>
    </row>
    <row r="62" spans="1:17" x14ac:dyDescent="0.25">
      <c r="A62" s="1">
        <v>39535</v>
      </c>
      <c r="B62">
        <v>42.03</v>
      </c>
      <c r="C62">
        <v>42.68</v>
      </c>
      <c r="D62">
        <v>43.97</v>
      </c>
      <c r="E62">
        <v>43.97</v>
      </c>
      <c r="F62">
        <v>44.25</v>
      </c>
      <c r="G62">
        <v>44.53</v>
      </c>
      <c r="H62">
        <v>40.18</v>
      </c>
      <c r="I62">
        <v>40.22</v>
      </c>
      <c r="J62">
        <v>40.26</v>
      </c>
      <c r="K62">
        <v>42.49</v>
      </c>
      <c r="L62">
        <v>42.53</v>
      </c>
      <c r="M62">
        <v>42.57</v>
      </c>
      <c r="O62">
        <f>SUMIF(historia4[[#This Row],[A]:[L]],"&gt;33",historia4[[#This Row],[A]:[L]])</f>
        <v>509.68</v>
      </c>
      <c r="P62">
        <f>SUM(historia4[[#This Row],[A]:[L]])</f>
        <v>509.68</v>
      </c>
      <c r="Q62">
        <f t="shared" si="1"/>
        <v>1</v>
      </c>
    </row>
    <row r="63" spans="1:17" x14ac:dyDescent="0.25">
      <c r="A63" s="1">
        <v>39538</v>
      </c>
      <c r="B63">
        <v>41.69</v>
      </c>
      <c r="C63">
        <v>42.33</v>
      </c>
      <c r="D63">
        <v>43.62</v>
      </c>
      <c r="E63">
        <v>42.98</v>
      </c>
      <c r="F63">
        <v>43.26</v>
      </c>
      <c r="G63">
        <v>43.53</v>
      </c>
      <c r="H63">
        <v>39.6</v>
      </c>
      <c r="I63">
        <v>39.64</v>
      </c>
      <c r="J63">
        <v>39.68</v>
      </c>
      <c r="K63">
        <v>42.35</v>
      </c>
      <c r="L63">
        <v>42.39</v>
      </c>
      <c r="M63">
        <v>42.43</v>
      </c>
      <c r="O63">
        <f>SUMIF(historia4[[#This Row],[A]:[L]],"&gt;33",historia4[[#This Row],[A]:[L]])</f>
        <v>503.5</v>
      </c>
      <c r="P63">
        <f>SUM(historia4[[#This Row],[A]:[L]])</f>
        <v>503.5</v>
      </c>
      <c r="Q63">
        <f t="shared" si="1"/>
        <v>1</v>
      </c>
    </row>
    <row r="64" spans="1:17" x14ac:dyDescent="0.25">
      <c r="A64" s="1">
        <v>39539</v>
      </c>
      <c r="B64">
        <v>42.45</v>
      </c>
      <c r="C64">
        <v>43.1</v>
      </c>
      <c r="D64">
        <v>44.41</v>
      </c>
      <c r="E64">
        <v>44.04</v>
      </c>
      <c r="F64">
        <v>44.32</v>
      </c>
      <c r="G64">
        <v>44.6</v>
      </c>
      <c r="H64">
        <v>40.58</v>
      </c>
      <c r="I64">
        <v>40.619999999999997</v>
      </c>
      <c r="J64">
        <v>40.659999999999997</v>
      </c>
      <c r="K64">
        <v>43.2</v>
      </c>
      <c r="L64">
        <v>43.24</v>
      </c>
      <c r="M64">
        <v>43.28</v>
      </c>
      <c r="O64">
        <f>SUMIF(historia4[[#This Row],[A]:[L]],"&gt;33",historia4[[#This Row],[A]:[L]])</f>
        <v>514.5</v>
      </c>
      <c r="P64">
        <f>SUM(historia4[[#This Row],[A]:[L]])</f>
        <v>514.5</v>
      </c>
      <c r="Q64">
        <f t="shared" si="1"/>
        <v>1</v>
      </c>
    </row>
    <row r="65" spans="1:17" x14ac:dyDescent="0.25">
      <c r="A65" s="1">
        <v>39540</v>
      </c>
      <c r="B65">
        <v>42.7</v>
      </c>
      <c r="C65">
        <v>43.36</v>
      </c>
      <c r="D65">
        <v>44.68</v>
      </c>
      <c r="E65">
        <v>44.9</v>
      </c>
      <c r="F65">
        <v>45.19</v>
      </c>
      <c r="G65">
        <v>45.48</v>
      </c>
      <c r="H65">
        <v>41.2</v>
      </c>
      <c r="I65">
        <v>41.24</v>
      </c>
      <c r="J65">
        <v>41.28</v>
      </c>
      <c r="K65">
        <v>42.94</v>
      </c>
      <c r="L65">
        <v>42.98</v>
      </c>
      <c r="M65">
        <v>43.02</v>
      </c>
      <c r="O65">
        <f>SUMIF(historia4[[#This Row],[A]:[L]],"&gt;33",historia4[[#This Row],[A]:[L]])</f>
        <v>518.97</v>
      </c>
      <c r="P65">
        <f>SUM(historia4[[#This Row],[A]:[L]])</f>
        <v>518.97</v>
      </c>
      <c r="Q65">
        <f t="shared" si="1"/>
        <v>1</v>
      </c>
    </row>
    <row r="66" spans="1:17" x14ac:dyDescent="0.25">
      <c r="A66" s="1">
        <v>39541</v>
      </c>
      <c r="B66">
        <v>42.28</v>
      </c>
      <c r="C66">
        <v>42.93</v>
      </c>
      <c r="D66">
        <v>44.24</v>
      </c>
      <c r="E66">
        <v>44.14</v>
      </c>
      <c r="F66">
        <v>44.42</v>
      </c>
      <c r="G66">
        <v>44.7</v>
      </c>
      <c r="H66">
        <v>40.56</v>
      </c>
      <c r="I66">
        <v>40.6</v>
      </c>
      <c r="J66">
        <v>40.64</v>
      </c>
      <c r="K66">
        <v>43.04</v>
      </c>
      <c r="L66">
        <v>43.08</v>
      </c>
      <c r="M66">
        <v>43.12</v>
      </c>
      <c r="O66">
        <f>SUMIF(historia4[[#This Row],[A]:[L]],"&gt;33",historia4[[#This Row],[A]:[L]])</f>
        <v>513.75</v>
      </c>
      <c r="P66">
        <f>SUM(historia4[[#This Row],[A]:[L]])</f>
        <v>513.75</v>
      </c>
      <c r="Q66">
        <f t="shared" si="1"/>
        <v>1</v>
      </c>
    </row>
    <row r="67" spans="1:17" x14ac:dyDescent="0.25">
      <c r="A67" s="1">
        <v>39542</v>
      </c>
      <c r="B67">
        <v>42.72</v>
      </c>
      <c r="C67">
        <v>43.38</v>
      </c>
      <c r="D67">
        <v>44.7</v>
      </c>
      <c r="E67">
        <v>44.33</v>
      </c>
      <c r="F67">
        <v>44.61</v>
      </c>
      <c r="G67">
        <v>44.9</v>
      </c>
      <c r="H67">
        <v>40.64</v>
      </c>
      <c r="I67">
        <v>40.68</v>
      </c>
      <c r="J67">
        <v>40.729999999999997</v>
      </c>
      <c r="K67">
        <v>43.57</v>
      </c>
      <c r="L67">
        <v>43.62</v>
      </c>
      <c r="M67">
        <v>43.66</v>
      </c>
      <c r="O67">
        <f>SUMIF(historia4[[#This Row],[A]:[L]],"&gt;33",historia4[[#This Row],[A]:[L]])</f>
        <v>517.54</v>
      </c>
      <c r="P67">
        <f>SUM(historia4[[#This Row],[A]:[L]])</f>
        <v>517.54</v>
      </c>
      <c r="Q67">
        <f t="shared" si="1"/>
        <v>1</v>
      </c>
    </row>
    <row r="68" spans="1:17" x14ac:dyDescent="0.25">
      <c r="A68" s="1">
        <v>39545</v>
      </c>
      <c r="B68">
        <v>43.05</v>
      </c>
      <c r="C68">
        <v>43.71</v>
      </c>
      <c r="D68">
        <v>45.04</v>
      </c>
      <c r="E68">
        <v>45.11</v>
      </c>
      <c r="F68">
        <v>45.4</v>
      </c>
      <c r="G68">
        <v>45.69</v>
      </c>
      <c r="H68">
        <v>40.9</v>
      </c>
      <c r="I68">
        <v>40.94</v>
      </c>
      <c r="J68">
        <v>40.98</v>
      </c>
      <c r="K68">
        <v>43.99</v>
      </c>
      <c r="L68">
        <v>44.03</v>
      </c>
      <c r="M68">
        <v>44.08</v>
      </c>
      <c r="O68">
        <f>SUMIF(historia4[[#This Row],[A]:[L]],"&gt;33",historia4[[#This Row],[A]:[L]])</f>
        <v>522.92000000000007</v>
      </c>
      <c r="P68">
        <f>SUM(historia4[[#This Row],[A]:[L]])</f>
        <v>522.92000000000007</v>
      </c>
      <c r="Q68">
        <f t="shared" si="1"/>
        <v>1</v>
      </c>
    </row>
    <row r="69" spans="1:17" x14ac:dyDescent="0.25">
      <c r="A69" s="1">
        <v>39546</v>
      </c>
      <c r="B69">
        <v>42.74</v>
      </c>
      <c r="C69">
        <v>43.4</v>
      </c>
      <c r="D69">
        <v>44.73</v>
      </c>
      <c r="E69">
        <v>44.73</v>
      </c>
      <c r="F69">
        <v>45.02</v>
      </c>
      <c r="G69">
        <v>45.31</v>
      </c>
      <c r="H69">
        <v>40.53</v>
      </c>
      <c r="I69">
        <v>40.58</v>
      </c>
      <c r="J69">
        <v>40.619999999999997</v>
      </c>
      <c r="K69">
        <v>43.59</v>
      </c>
      <c r="L69">
        <v>43.64</v>
      </c>
      <c r="M69">
        <v>43.68</v>
      </c>
      <c r="O69">
        <f>SUMIF(historia4[[#This Row],[A]:[L]],"&gt;33",historia4[[#This Row],[A]:[L]])</f>
        <v>518.56999999999994</v>
      </c>
      <c r="P69">
        <f>SUM(historia4[[#This Row],[A]:[L]])</f>
        <v>518.56999999999994</v>
      </c>
      <c r="Q69">
        <f t="shared" si="1"/>
        <v>1</v>
      </c>
    </row>
    <row r="70" spans="1:17" x14ac:dyDescent="0.25">
      <c r="A70" s="1">
        <v>39547</v>
      </c>
      <c r="B70">
        <v>42.91</v>
      </c>
      <c r="C70">
        <v>43.57</v>
      </c>
      <c r="D70">
        <v>44.9</v>
      </c>
      <c r="E70">
        <v>44.76</v>
      </c>
      <c r="F70">
        <v>45.05</v>
      </c>
      <c r="G70">
        <v>45.34</v>
      </c>
      <c r="H70">
        <v>40.53</v>
      </c>
      <c r="I70">
        <v>40.57</v>
      </c>
      <c r="J70">
        <v>40.61</v>
      </c>
      <c r="K70">
        <v>43.3</v>
      </c>
      <c r="L70">
        <v>43.34</v>
      </c>
      <c r="M70">
        <v>43.39</v>
      </c>
      <c r="O70">
        <f>SUMIF(historia4[[#This Row],[A]:[L]],"&gt;33",historia4[[#This Row],[A]:[L]])</f>
        <v>518.27</v>
      </c>
      <c r="P70">
        <f>SUM(historia4[[#This Row],[A]:[L]])</f>
        <v>518.27</v>
      </c>
      <c r="Q70">
        <f t="shared" ref="Q70:Q133" si="2">IF(O70=P70,1,0)</f>
        <v>1</v>
      </c>
    </row>
    <row r="71" spans="1:17" x14ac:dyDescent="0.25">
      <c r="A71" s="1">
        <v>39548</v>
      </c>
      <c r="B71">
        <v>42.27</v>
      </c>
      <c r="C71">
        <v>42.92</v>
      </c>
      <c r="D71">
        <v>44.23</v>
      </c>
      <c r="E71">
        <v>43.61</v>
      </c>
      <c r="F71">
        <v>43.89</v>
      </c>
      <c r="G71">
        <v>44.17</v>
      </c>
      <c r="H71">
        <v>39.729999999999997</v>
      </c>
      <c r="I71">
        <v>39.770000000000003</v>
      </c>
      <c r="J71">
        <v>39.82</v>
      </c>
      <c r="K71">
        <v>42.99</v>
      </c>
      <c r="L71">
        <v>43.04</v>
      </c>
      <c r="M71">
        <v>43.08</v>
      </c>
      <c r="O71">
        <f>SUMIF(historia4[[#This Row],[A]:[L]],"&gt;33",historia4[[#This Row],[A]:[L]])</f>
        <v>509.52</v>
      </c>
      <c r="P71">
        <f>SUM(historia4[[#This Row],[A]:[L]])</f>
        <v>509.52</v>
      </c>
      <c r="Q71">
        <f t="shared" si="2"/>
        <v>1</v>
      </c>
    </row>
    <row r="72" spans="1:17" x14ac:dyDescent="0.25">
      <c r="A72" s="1">
        <v>39549</v>
      </c>
      <c r="B72">
        <v>41.55</v>
      </c>
      <c r="C72">
        <v>42.2</v>
      </c>
      <c r="D72">
        <v>43.49</v>
      </c>
      <c r="E72">
        <v>42.91</v>
      </c>
      <c r="F72">
        <v>43.19</v>
      </c>
      <c r="G72">
        <v>43.47</v>
      </c>
      <c r="H72">
        <v>38.979999999999997</v>
      </c>
      <c r="I72">
        <v>39.03</v>
      </c>
      <c r="J72">
        <v>39.07</v>
      </c>
      <c r="K72">
        <v>42.51</v>
      </c>
      <c r="L72">
        <v>42.56</v>
      </c>
      <c r="M72">
        <v>42.6</v>
      </c>
      <c r="O72">
        <f>SUMIF(historia4[[#This Row],[A]:[L]],"&gt;33",historia4[[#This Row],[A]:[L]])</f>
        <v>501.56000000000006</v>
      </c>
      <c r="P72">
        <f>SUM(historia4[[#This Row],[A]:[L]])</f>
        <v>501.56000000000006</v>
      </c>
      <c r="Q72">
        <f t="shared" si="2"/>
        <v>1</v>
      </c>
    </row>
    <row r="73" spans="1:17" x14ac:dyDescent="0.25">
      <c r="A73" s="1">
        <v>39552</v>
      </c>
      <c r="B73">
        <v>41.12</v>
      </c>
      <c r="C73">
        <v>41.76</v>
      </c>
      <c r="D73">
        <v>43.03</v>
      </c>
      <c r="E73">
        <v>42.57</v>
      </c>
      <c r="F73">
        <v>42.84</v>
      </c>
      <c r="G73">
        <v>43.12</v>
      </c>
      <c r="H73">
        <v>38.85</v>
      </c>
      <c r="I73">
        <v>38.89</v>
      </c>
      <c r="J73">
        <v>38.94</v>
      </c>
      <c r="K73">
        <v>42.36</v>
      </c>
      <c r="L73">
        <v>42.41</v>
      </c>
      <c r="M73">
        <v>42.46</v>
      </c>
      <c r="O73">
        <f>SUMIF(historia4[[#This Row],[A]:[L]],"&gt;33",historia4[[#This Row],[A]:[L]])</f>
        <v>498.34999999999997</v>
      </c>
      <c r="P73">
        <f>SUM(historia4[[#This Row],[A]:[L]])</f>
        <v>498.34999999999997</v>
      </c>
      <c r="Q73">
        <f t="shared" si="2"/>
        <v>1</v>
      </c>
    </row>
    <row r="74" spans="1:17" x14ac:dyDescent="0.25">
      <c r="A74" s="1">
        <v>39553</v>
      </c>
      <c r="B74">
        <v>41.25</v>
      </c>
      <c r="C74">
        <v>41.89</v>
      </c>
      <c r="D74">
        <v>43.17</v>
      </c>
      <c r="E74">
        <v>42.63</v>
      </c>
      <c r="F74">
        <v>42.91</v>
      </c>
      <c r="G74">
        <v>43.19</v>
      </c>
      <c r="H74">
        <v>38.770000000000003</v>
      </c>
      <c r="I74">
        <v>38.81</v>
      </c>
      <c r="J74">
        <v>38.85</v>
      </c>
      <c r="K74">
        <v>42.53</v>
      </c>
      <c r="L74">
        <v>42.58</v>
      </c>
      <c r="M74">
        <v>42.63</v>
      </c>
      <c r="O74">
        <f>SUMIF(historia4[[#This Row],[A]:[L]],"&gt;33",historia4[[#This Row],[A]:[L]])</f>
        <v>499.21</v>
      </c>
      <c r="P74">
        <f>SUM(historia4[[#This Row],[A]:[L]])</f>
        <v>499.21</v>
      </c>
      <c r="Q74">
        <f t="shared" si="2"/>
        <v>1</v>
      </c>
    </row>
    <row r="75" spans="1:17" x14ac:dyDescent="0.25">
      <c r="A75" s="1">
        <v>39554</v>
      </c>
      <c r="B75">
        <v>41.43</v>
      </c>
      <c r="C75">
        <v>42.07</v>
      </c>
      <c r="D75">
        <v>43.36</v>
      </c>
      <c r="E75">
        <v>42.94</v>
      </c>
      <c r="F75">
        <v>43.22</v>
      </c>
      <c r="G75">
        <v>43.51</v>
      </c>
      <c r="H75">
        <v>39.26</v>
      </c>
      <c r="I75">
        <v>39.31</v>
      </c>
      <c r="J75">
        <v>39.35</v>
      </c>
      <c r="K75">
        <v>43.37</v>
      </c>
      <c r="L75">
        <v>43.42</v>
      </c>
      <c r="M75">
        <v>43.47</v>
      </c>
      <c r="O75">
        <f>SUMIF(historia4[[#This Row],[A]:[L]],"&gt;33",historia4[[#This Row],[A]:[L]])</f>
        <v>504.71000000000004</v>
      </c>
      <c r="P75">
        <f>SUM(historia4[[#This Row],[A]:[L]])</f>
        <v>504.71000000000004</v>
      </c>
      <c r="Q75">
        <f t="shared" si="2"/>
        <v>1</v>
      </c>
    </row>
    <row r="76" spans="1:17" x14ac:dyDescent="0.25">
      <c r="A76" s="1">
        <v>39555</v>
      </c>
      <c r="B76">
        <v>41.35</v>
      </c>
      <c r="C76">
        <v>42</v>
      </c>
      <c r="D76">
        <v>43.28</v>
      </c>
      <c r="E76">
        <v>42.94</v>
      </c>
      <c r="F76">
        <v>43.22</v>
      </c>
      <c r="G76">
        <v>43.51</v>
      </c>
      <c r="H76">
        <v>39.39</v>
      </c>
      <c r="I76">
        <v>39.43</v>
      </c>
      <c r="J76">
        <v>39.479999999999997</v>
      </c>
      <c r="K76">
        <v>43.31</v>
      </c>
      <c r="L76">
        <v>43.36</v>
      </c>
      <c r="M76">
        <v>43.41</v>
      </c>
      <c r="O76">
        <f>SUMIF(historia4[[#This Row],[A]:[L]],"&gt;33",historia4[[#This Row],[A]:[L]])</f>
        <v>504.68000000000006</v>
      </c>
      <c r="P76">
        <f>SUM(historia4[[#This Row],[A]:[L]])</f>
        <v>504.68000000000006</v>
      </c>
      <c r="Q76">
        <f t="shared" si="2"/>
        <v>1</v>
      </c>
    </row>
    <row r="77" spans="1:17" x14ac:dyDescent="0.25">
      <c r="A77" s="1">
        <v>39556</v>
      </c>
      <c r="B77">
        <v>41.88</v>
      </c>
      <c r="C77">
        <v>42.53</v>
      </c>
      <c r="D77">
        <v>43.83</v>
      </c>
      <c r="E77">
        <v>43.65</v>
      </c>
      <c r="F77">
        <v>43.93</v>
      </c>
      <c r="G77">
        <v>44.22</v>
      </c>
      <c r="H77">
        <v>39.869999999999997</v>
      </c>
      <c r="I77">
        <v>39.92</v>
      </c>
      <c r="J77">
        <v>39.96</v>
      </c>
      <c r="K77">
        <v>43.99</v>
      </c>
      <c r="L77">
        <v>44.04</v>
      </c>
      <c r="M77">
        <v>44.09</v>
      </c>
      <c r="O77">
        <f>SUMIF(historia4[[#This Row],[A]:[L]],"&gt;33",historia4[[#This Row],[A]:[L]])</f>
        <v>511.91000000000008</v>
      </c>
      <c r="P77">
        <f>SUM(historia4[[#This Row],[A]:[L]])</f>
        <v>511.91000000000008</v>
      </c>
      <c r="Q77">
        <f t="shared" si="2"/>
        <v>1</v>
      </c>
    </row>
    <row r="78" spans="1:17" x14ac:dyDescent="0.25">
      <c r="A78" s="1">
        <v>39559</v>
      </c>
      <c r="B78">
        <v>41.61</v>
      </c>
      <c r="C78">
        <v>42.25</v>
      </c>
      <c r="D78">
        <v>43.55</v>
      </c>
      <c r="E78">
        <v>43.29</v>
      </c>
      <c r="F78">
        <v>43.57</v>
      </c>
      <c r="G78">
        <v>43.86</v>
      </c>
      <c r="H78">
        <v>39.36</v>
      </c>
      <c r="I78">
        <v>39.409999999999997</v>
      </c>
      <c r="J78">
        <v>39.450000000000003</v>
      </c>
      <c r="K78">
        <v>43.82</v>
      </c>
      <c r="L78">
        <v>43.87</v>
      </c>
      <c r="M78">
        <v>43.92</v>
      </c>
      <c r="O78">
        <f>SUMIF(historia4[[#This Row],[A]:[L]],"&gt;33",historia4[[#This Row],[A]:[L]])</f>
        <v>507.96</v>
      </c>
      <c r="P78">
        <f>SUM(historia4[[#This Row],[A]:[L]])</f>
        <v>507.96</v>
      </c>
      <c r="Q78">
        <f t="shared" si="2"/>
        <v>1</v>
      </c>
    </row>
    <row r="79" spans="1:17" x14ac:dyDescent="0.25">
      <c r="A79" s="1">
        <v>39560</v>
      </c>
      <c r="B79">
        <v>41.11</v>
      </c>
      <c r="C79">
        <v>41.75</v>
      </c>
      <c r="D79">
        <v>43.04</v>
      </c>
      <c r="E79">
        <v>42.97</v>
      </c>
      <c r="F79">
        <v>43.25</v>
      </c>
      <c r="G79">
        <v>43.54</v>
      </c>
      <c r="H79">
        <v>39</v>
      </c>
      <c r="I79">
        <v>39.04</v>
      </c>
      <c r="J79">
        <v>39.090000000000003</v>
      </c>
      <c r="K79">
        <v>43.84</v>
      </c>
      <c r="L79">
        <v>43.9</v>
      </c>
      <c r="M79">
        <v>43.95</v>
      </c>
      <c r="O79">
        <f>SUMIF(historia4[[#This Row],[A]:[L]],"&gt;33",historia4[[#This Row],[A]:[L]])</f>
        <v>504.47999999999996</v>
      </c>
      <c r="P79">
        <f>SUM(historia4[[#This Row],[A]:[L]])</f>
        <v>504.47999999999996</v>
      </c>
      <c r="Q79">
        <f t="shared" si="2"/>
        <v>1</v>
      </c>
    </row>
    <row r="80" spans="1:17" x14ac:dyDescent="0.25">
      <c r="A80" s="1">
        <v>39561</v>
      </c>
      <c r="B80">
        <v>40.97</v>
      </c>
      <c r="C80">
        <v>41.61</v>
      </c>
      <c r="D80">
        <v>42.89</v>
      </c>
      <c r="E80">
        <v>43</v>
      </c>
      <c r="F80">
        <v>43.28</v>
      </c>
      <c r="G80">
        <v>43.57</v>
      </c>
      <c r="H80">
        <v>38.97</v>
      </c>
      <c r="I80">
        <v>39.01</v>
      </c>
      <c r="J80">
        <v>39.06</v>
      </c>
      <c r="K80">
        <v>44.35</v>
      </c>
      <c r="L80">
        <v>44.41</v>
      </c>
      <c r="M80">
        <v>44.46</v>
      </c>
      <c r="O80">
        <f>SUMIF(historia4[[#This Row],[A]:[L]],"&gt;33",historia4[[#This Row],[A]:[L]])</f>
        <v>505.58</v>
      </c>
      <c r="P80">
        <f>SUM(historia4[[#This Row],[A]:[L]])</f>
        <v>505.58</v>
      </c>
      <c r="Q80">
        <f t="shared" si="2"/>
        <v>1</v>
      </c>
    </row>
    <row r="81" spans="1:17" x14ac:dyDescent="0.25">
      <c r="A81" s="1">
        <v>39562</v>
      </c>
      <c r="B81">
        <v>41.43</v>
      </c>
      <c r="C81">
        <v>42.08</v>
      </c>
      <c r="D81">
        <v>43.37</v>
      </c>
      <c r="E81">
        <v>43.34</v>
      </c>
      <c r="F81">
        <v>43.63</v>
      </c>
      <c r="G81">
        <v>43.92</v>
      </c>
      <c r="H81">
        <v>39.14</v>
      </c>
      <c r="I81">
        <v>39.19</v>
      </c>
      <c r="J81">
        <v>39.229999999999997</v>
      </c>
      <c r="K81">
        <v>44.7</v>
      </c>
      <c r="L81">
        <v>44.76</v>
      </c>
      <c r="M81">
        <v>44.82</v>
      </c>
      <c r="O81">
        <f>SUMIF(historia4[[#This Row],[A]:[L]],"&gt;33",historia4[[#This Row],[A]:[L]])</f>
        <v>509.60999999999996</v>
      </c>
      <c r="P81">
        <f>SUM(historia4[[#This Row],[A]:[L]])</f>
        <v>509.60999999999996</v>
      </c>
      <c r="Q81">
        <f t="shared" si="2"/>
        <v>1</v>
      </c>
    </row>
    <row r="82" spans="1:17" x14ac:dyDescent="0.25">
      <c r="A82" s="1">
        <v>39563</v>
      </c>
      <c r="B82">
        <v>41.87</v>
      </c>
      <c r="C82">
        <v>42.52</v>
      </c>
      <c r="D82">
        <v>43.83</v>
      </c>
      <c r="E82">
        <v>44.07</v>
      </c>
      <c r="F82">
        <v>44.36</v>
      </c>
      <c r="G82">
        <v>44.65</v>
      </c>
      <c r="H82">
        <v>39.869999999999997</v>
      </c>
      <c r="I82">
        <v>39.909999999999997</v>
      </c>
      <c r="J82">
        <v>39.96</v>
      </c>
      <c r="K82">
        <v>45.26</v>
      </c>
      <c r="L82">
        <v>45.32</v>
      </c>
      <c r="M82">
        <v>45.38</v>
      </c>
      <c r="O82">
        <f>SUMIF(historia4[[#This Row],[A]:[L]],"&gt;33",historia4[[#This Row],[A]:[L]])</f>
        <v>516.99999999999989</v>
      </c>
      <c r="P82">
        <f>SUM(historia4[[#This Row],[A]:[L]])</f>
        <v>516.99999999999989</v>
      </c>
      <c r="Q82">
        <f t="shared" si="2"/>
        <v>1</v>
      </c>
    </row>
    <row r="83" spans="1:17" x14ac:dyDescent="0.25">
      <c r="A83" s="1">
        <v>39566</v>
      </c>
      <c r="B83">
        <v>42.27</v>
      </c>
      <c r="C83">
        <v>42.94</v>
      </c>
      <c r="D83">
        <v>44.26</v>
      </c>
      <c r="E83">
        <v>44.71</v>
      </c>
      <c r="F83">
        <v>45.01</v>
      </c>
      <c r="G83">
        <v>45.31</v>
      </c>
      <c r="H83">
        <v>40.57</v>
      </c>
      <c r="I83">
        <v>40.619999999999997</v>
      </c>
      <c r="J83">
        <v>40.659999999999997</v>
      </c>
      <c r="K83">
        <v>45.57</v>
      </c>
      <c r="L83">
        <v>45.63</v>
      </c>
      <c r="M83">
        <v>45.69</v>
      </c>
      <c r="O83">
        <f>SUMIF(historia4[[#This Row],[A]:[L]],"&gt;33",historia4[[#This Row],[A]:[L]])</f>
        <v>523.24</v>
      </c>
      <c r="P83">
        <f>SUM(historia4[[#This Row],[A]:[L]])</f>
        <v>523.24</v>
      </c>
      <c r="Q83">
        <f t="shared" si="2"/>
        <v>1</v>
      </c>
    </row>
    <row r="84" spans="1:17" x14ac:dyDescent="0.25">
      <c r="A84" s="1">
        <v>39567</v>
      </c>
      <c r="B84">
        <v>41.91</v>
      </c>
      <c r="C84">
        <v>42.57</v>
      </c>
      <c r="D84">
        <v>43.88</v>
      </c>
      <c r="E84">
        <v>44.67</v>
      </c>
      <c r="F84">
        <v>44.97</v>
      </c>
      <c r="G84">
        <v>45.27</v>
      </c>
      <c r="H84">
        <v>40.33</v>
      </c>
      <c r="I84">
        <v>40.380000000000003</v>
      </c>
      <c r="J84">
        <v>40.43</v>
      </c>
      <c r="K84">
        <v>45.05</v>
      </c>
      <c r="L84">
        <v>45.12</v>
      </c>
      <c r="M84">
        <v>45.17</v>
      </c>
      <c r="O84">
        <f>SUMIF(historia4[[#This Row],[A]:[L]],"&gt;33",historia4[[#This Row],[A]:[L]])</f>
        <v>519.75</v>
      </c>
      <c r="P84">
        <f>SUM(historia4[[#This Row],[A]:[L]])</f>
        <v>519.75</v>
      </c>
      <c r="Q84">
        <f t="shared" si="2"/>
        <v>1</v>
      </c>
    </row>
    <row r="85" spans="1:17" x14ac:dyDescent="0.25">
      <c r="A85" s="1">
        <v>39568</v>
      </c>
      <c r="B85">
        <v>42.33</v>
      </c>
      <c r="C85">
        <v>43</v>
      </c>
      <c r="D85">
        <v>44.32</v>
      </c>
      <c r="E85">
        <v>45.39</v>
      </c>
      <c r="F85">
        <v>45.69</v>
      </c>
      <c r="G85">
        <v>46</v>
      </c>
      <c r="H85">
        <v>40.94</v>
      </c>
      <c r="I85">
        <v>40.99</v>
      </c>
      <c r="J85">
        <v>41.03</v>
      </c>
      <c r="K85">
        <v>45.5</v>
      </c>
      <c r="L85">
        <v>45.56</v>
      </c>
      <c r="M85">
        <v>45.62</v>
      </c>
      <c r="O85">
        <f>SUMIF(historia4[[#This Row],[A]:[L]],"&gt;33",historia4[[#This Row],[A]:[L]])</f>
        <v>526.37</v>
      </c>
      <c r="P85">
        <f>SUM(historia4[[#This Row],[A]:[L]])</f>
        <v>526.37</v>
      </c>
      <c r="Q85">
        <f t="shared" si="2"/>
        <v>1</v>
      </c>
    </row>
    <row r="86" spans="1:17" x14ac:dyDescent="0.25">
      <c r="A86" s="1">
        <v>39573</v>
      </c>
      <c r="B86">
        <v>43.02</v>
      </c>
      <c r="C86">
        <v>43.7</v>
      </c>
      <c r="D86">
        <v>45.05</v>
      </c>
      <c r="E86">
        <v>46.23</v>
      </c>
      <c r="F86">
        <v>46.55</v>
      </c>
      <c r="G86">
        <v>46.86</v>
      </c>
      <c r="H86">
        <v>41.78</v>
      </c>
      <c r="I86">
        <v>41.83</v>
      </c>
      <c r="J86">
        <v>41.88</v>
      </c>
      <c r="K86">
        <v>45.74</v>
      </c>
      <c r="L86">
        <v>45.81</v>
      </c>
      <c r="M86">
        <v>45.87</v>
      </c>
      <c r="O86">
        <f>SUMIF(historia4[[#This Row],[A]:[L]],"&gt;33",historia4[[#This Row],[A]:[L]])</f>
        <v>534.31999999999994</v>
      </c>
      <c r="P86">
        <f>SUM(historia4[[#This Row],[A]:[L]])</f>
        <v>534.31999999999994</v>
      </c>
      <c r="Q86">
        <f t="shared" si="2"/>
        <v>1</v>
      </c>
    </row>
    <row r="87" spans="1:17" x14ac:dyDescent="0.25">
      <c r="A87" s="1">
        <v>39574</v>
      </c>
      <c r="B87">
        <v>42.98</v>
      </c>
      <c r="C87">
        <v>43.66</v>
      </c>
      <c r="D87">
        <v>45.01</v>
      </c>
      <c r="E87">
        <v>46.03</v>
      </c>
      <c r="F87">
        <v>46.34</v>
      </c>
      <c r="G87">
        <v>46.65</v>
      </c>
      <c r="H87">
        <v>41.35</v>
      </c>
      <c r="I87">
        <v>41.4</v>
      </c>
      <c r="J87">
        <v>41.45</v>
      </c>
      <c r="K87">
        <v>45.59</v>
      </c>
      <c r="L87">
        <v>45.66</v>
      </c>
      <c r="M87">
        <v>45.72</v>
      </c>
      <c r="O87">
        <f>SUMIF(historia4[[#This Row],[A]:[L]],"&gt;33",historia4[[#This Row],[A]:[L]])</f>
        <v>531.83999999999992</v>
      </c>
      <c r="P87">
        <f>SUM(historia4[[#This Row],[A]:[L]])</f>
        <v>531.83999999999992</v>
      </c>
      <c r="Q87">
        <f t="shared" si="2"/>
        <v>1</v>
      </c>
    </row>
    <row r="88" spans="1:17" x14ac:dyDescent="0.25">
      <c r="A88" s="1">
        <v>39575</v>
      </c>
      <c r="B88">
        <v>43.51</v>
      </c>
      <c r="C88">
        <v>44.2</v>
      </c>
      <c r="D88">
        <v>45.57</v>
      </c>
      <c r="E88">
        <v>46.66</v>
      </c>
      <c r="F88">
        <v>46.98</v>
      </c>
      <c r="G88">
        <v>47.3</v>
      </c>
      <c r="H88">
        <v>42.19</v>
      </c>
      <c r="I88">
        <v>42.24</v>
      </c>
      <c r="J88">
        <v>42.29</v>
      </c>
      <c r="K88">
        <v>45.99</v>
      </c>
      <c r="L88">
        <v>46.05</v>
      </c>
      <c r="M88">
        <v>46.12</v>
      </c>
      <c r="O88">
        <f>SUMIF(historia4[[#This Row],[A]:[L]],"&gt;33",historia4[[#This Row],[A]:[L]])</f>
        <v>539.1</v>
      </c>
      <c r="P88">
        <f>SUM(historia4[[#This Row],[A]:[L]])</f>
        <v>539.1</v>
      </c>
      <c r="Q88">
        <f t="shared" si="2"/>
        <v>1</v>
      </c>
    </row>
    <row r="89" spans="1:17" x14ac:dyDescent="0.25">
      <c r="A89" s="1">
        <v>39576</v>
      </c>
      <c r="B89">
        <v>42.98</v>
      </c>
      <c r="C89">
        <v>43.66</v>
      </c>
      <c r="D89">
        <v>45.01</v>
      </c>
      <c r="E89">
        <v>45.75</v>
      </c>
      <c r="F89">
        <v>46.06</v>
      </c>
      <c r="G89">
        <v>46.38</v>
      </c>
      <c r="H89">
        <v>41.31</v>
      </c>
      <c r="I89">
        <v>41.37</v>
      </c>
      <c r="J89">
        <v>41.42</v>
      </c>
      <c r="K89">
        <v>46.52</v>
      </c>
      <c r="L89">
        <v>46.59</v>
      </c>
      <c r="M89">
        <v>46.65</v>
      </c>
      <c r="O89">
        <f>SUMIF(historia4[[#This Row],[A]:[L]],"&gt;33",historia4[[#This Row],[A]:[L]])</f>
        <v>533.69999999999993</v>
      </c>
      <c r="P89">
        <f>SUM(historia4[[#This Row],[A]:[L]])</f>
        <v>533.69999999999993</v>
      </c>
      <c r="Q89">
        <f t="shared" si="2"/>
        <v>1</v>
      </c>
    </row>
    <row r="90" spans="1:17" x14ac:dyDescent="0.25">
      <c r="A90" s="1">
        <v>39577</v>
      </c>
      <c r="B90">
        <v>42.66</v>
      </c>
      <c r="C90">
        <v>43.33</v>
      </c>
      <c r="D90">
        <v>44.67</v>
      </c>
      <c r="E90">
        <v>45.23</v>
      </c>
      <c r="F90">
        <v>45.54</v>
      </c>
      <c r="G90">
        <v>45.85</v>
      </c>
      <c r="H90">
        <v>40.97</v>
      </c>
      <c r="I90">
        <v>41.02</v>
      </c>
      <c r="J90">
        <v>41.07</v>
      </c>
      <c r="K90">
        <v>46.27</v>
      </c>
      <c r="L90">
        <v>46.34</v>
      </c>
      <c r="M90">
        <v>46.41</v>
      </c>
      <c r="O90">
        <f>SUMIF(historia4[[#This Row],[A]:[L]],"&gt;33",historia4[[#This Row],[A]:[L]])</f>
        <v>529.3599999999999</v>
      </c>
      <c r="P90">
        <f>SUM(historia4[[#This Row],[A]:[L]])</f>
        <v>529.3599999999999</v>
      </c>
      <c r="Q90">
        <f t="shared" si="2"/>
        <v>1</v>
      </c>
    </row>
    <row r="91" spans="1:17" x14ac:dyDescent="0.25">
      <c r="A91" s="1">
        <v>39580</v>
      </c>
      <c r="B91">
        <v>42.78</v>
      </c>
      <c r="C91">
        <v>43.46</v>
      </c>
      <c r="D91">
        <v>44.81</v>
      </c>
      <c r="E91">
        <v>45.13</v>
      </c>
      <c r="F91">
        <v>45.45</v>
      </c>
      <c r="G91">
        <v>45.76</v>
      </c>
      <c r="H91">
        <v>40.85</v>
      </c>
      <c r="I91">
        <v>40.9</v>
      </c>
      <c r="J91">
        <v>40.950000000000003</v>
      </c>
      <c r="K91">
        <v>46.2</v>
      </c>
      <c r="L91">
        <v>46.27</v>
      </c>
      <c r="M91">
        <v>46.34</v>
      </c>
      <c r="O91">
        <f>SUMIF(historia4[[#This Row],[A]:[L]],"&gt;33",historia4[[#This Row],[A]:[L]])</f>
        <v>528.9</v>
      </c>
      <c r="P91">
        <f>SUM(historia4[[#This Row],[A]:[L]])</f>
        <v>528.9</v>
      </c>
      <c r="Q91">
        <f t="shared" si="2"/>
        <v>1</v>
      </c>
    </row>
    <row r="92" spans="1:17" x14ac:dyDescent="0.25">
      <c r="A92" s="1">
        <v>39581</v>
      </c>
      <c r="B92">
        <v>42.88</v>
      </c>
      <c r="C92">
        <v>43.56</v>
      </c>
      <c r="D92">
        <v>44.91</v>
      </c>
      <c r="E92">
        <v>45.37</v>
      </c>
      <c r="F92">
        <v>45.69</v>
      </c>
      <c r="G92">
        <v>46</v>
      </c>
      <c r="H92">
        <v>41.08</v>
      </c>
      <c r="I92">
        <v>41.13</v>
      </c>
      <c r="J92">
        <v>41.19</v>
      </c>
      <c r="K92">
        <v>46.6</v>
      </c>
      <c r="L92">
        <v>46.67</v>
      </c>
      <c r="M92">
        <v>46.74</v>
      </c>
      <c r="O92">
        <f>SUMIF(historia4[[#This Row],[A]:[L]],"&gt;33",historia4[[#This Row],[A]:[L]])</f>
        <v>531.81999999999994</v>
      </c>
      <c r="P92">
        <f>SUM(historia4[[#This Row],[A]:[L]])</f>
        <v>531.81999999999994</v>
      </c>
      <c r="Q92">
        <f t="shared" si="2"/>
        <v>1</v>
      </c>
    </row>
    <row r="93" spans="1:17" x14ac:dyDescent="0.25">
      <c r="A93" s="1">
        <v>39582</v>
      </c>
      <c r="B93">
        <v>43.41</v>
      </c>
      <c r="C93">
        <v>44.1</v>
      </c>
      <c r="D93">
        <v>45.46</v>
      </c>
      <c r="E93">
        <v>45.93</v>
      </c>
      <c r="F93">
        <v>46.25</v>
      </c>
      <c r="G93">
        <v>46.57</v>
      </c>
      <c r="H93">
        <v>41.55</v>
      </c>
      <c r="I93">
        <v>41.61</v>
      </c>
      <c r="J93">
        <v>41.66</v>
      </c>
      <c r="K93">
        <v>47.13</v>
      </c>
      <c r="L93">
        <v>47.2</v>
      </c>
      <c r="M93">
        <v>47.27</v>
      </c>
      <c r="O93">
        <f>SUMIF(historia4[[#This Row],[A]:[L]],"&gt;33",historia4[[#This Row],[A]:[L]])</f>
        <v>538.1400000000001</v>
      </c>
      <c r="P93">
        <f>SUM(historia4[[#This Row],[A]:[L]])</f>
        <v>538.1400000000001</v>
      </c>
      <c r="Q93">
        <f t="shared" si="2"/>
        <v>1</v>
      </c>
    </row>
    <row r="94" spans="1:17" x14ac:dyDescent="0.25">
      <c r="A94" s="1">
        <v>39583</v>
      </c>
      <c r="B94">
        <v>43.07</v>
      </c>
      <c r="C94">
        <v>43.75</v>
      </c>
      <c r="D94">
        <v>45.11</v>
      </c>
      <c r="E94">
        <v>45.98</v>
      </c>
      <c r="F94">
        <v>46.29</v>
      </c>
      <c r="G94">
        <v>46.62</v>
      </c>
      <c r="H94">
        <v>41.35</v>
      </c>
      <c r="I94">
        <v>41.4</v>
      </c>
      <c r="J94">
        <v>41.46</v>
      </c>
      <c r="K94">
        <v>47.65</v>
      </c>
      <c r="L94">
        <v>47.72</v>
      </c>
      <c r="M94">
        <v>47.79</v>
      </c>
      <c r="O94">
        <f>SUMIF(historia4[[#This Row],[A]:[L]],"&gt;33",historia4[[#This Row],[A]:[L]])</f>
        <v>538.18999999999994</v>
      </c>
      <c r="P94">
        <f>SUM(historia4[[#This Row],[A]:[L]])</f>
        <v>538.18999999999994</v>
      </c>
      <c r="Q94">
        <f t="shared" si="2"/>
        <v>1</v>
      </c>
    </row>
    <row r="95" spans="1:17" x14ac:dyDescent="0.25">
      <c r="A95" s="1">
        <v>39584</v>
      </c>
      <c r="B95">
        <v>43.41</v>
      </c>
      <c r="C95">
        <v>44.11</v>
      </c>
      <c r="D95">
        <v>45.48</v>
      </c>
      <c r="E95">
        <v>46.76</v>
      </c>
      <c r="F95">
        <v>47.09</v>
      </c>
      <c r="G95">
        <v>47.41</v>
      </c>
      <c r="H95">
        <v>41.66</v>
      </c>
      <c r="I95">
        <v>41.71</v>
      </c>
      <c r="J95">
        <v>41.76</v>
      </c>
      <c r="K95">
        <v>48.35</v>
      </c>
      <c r="L95">
        <v>48.42</v>
      </c>
      <c r="M95">
        <v>48.5</v>
      </c>
      <c r="O95">
        <f>SUMIF(historia4[[#This Row],[A]:[L]],"&gt;33",historia4[[#This Row],[A]:[L]])</f>
        <v>544.66</v>
      </c>
      <c r="P95">
        <f>SUM(historia4[[#This Row],[A]:[L]])</f>
        <v>544.66</v>
      </c>
      <c r="Q95">
        <f t="shared" si="2"/>
        <v>1</v>
      </c>
    </row>
    <row r="96" spans="1:17" x14ac:dyDescent="0.25">
      <c r="A96" s="1">
        <v>39587</v>
      </c>
      <c r="B96">
        <v>43.25</v>
      </c>
      <c r="C96">
        <v>43.95</v>
      </c>
      <c r="D96">
        <v>45.31</v>
      </c>
      <c r="E96">
        <v>46.91</v>
      </c>
      <c r="F96">
        <v>47.24</v>
      </c>
      <c r="G96">
        <v>47.57</v>
      </c>
      <c r="H96">
        <v>41.69</v>
      </c>
      <c r="I96">
        <v>41.75</v>
      </c>
      <c r="J96">
        <v>41.81</v>
      </c>
      <c r="K96">
        <v>48.87</v>
      </c>
      <c r="L96">
        <v>48.95</v>
      </c>
      <c r="M96">
        <v>49.02</v>
      </c>
      <c r="O96">
        <f>SUMIF(historia4[[#This Row],[A]:[L]],"&gt;33",historia4[[#This Row],[A]:[L]])</f>
        <v>546.32000000000005</v>
      </c>
      <c r="P96">
        <f>SUM(historia4[[#This Row],[A]:[L]])</f>
        <v>546.32000000000005</v>
      </c>
      <c r="Q96">
        <f t="shared" si="2"/>
        <v>1</v>
      </c>
    </row>
    <row r="97" spans="1:17" x14ac:dyDescent="0.25">
      <c r="A97" s="1">
        <v>39588</v>
      </c>
      <c r="B97">
        <v>42.64</v>
      </c>
      <c r="C97">
        <v>43.33</v>
      </c>
      <c r="D97">
        <v>44.68</v>
      </c>
      <c r="E97">
        <v>46.09</v>
      </c>
      <c r="F97">
        <v>46.41</v>
      </c>
      <c r="G97">
        <v>46.74</v>
      </c>
      <c r="H97">
        <v>41.02</v>
      </c>
      <c r="I97">
        <v>41.08</v>
      </c>
      <c r="J97">
        <v>41.13</v>
      </c>
      <c r="K97">
        <v>48.37</v>
      </c>
      <c r="L97">
        <v>48.45</v>
      </c>
      <c r="M97">
        <v>48.53</v>
      </c>
      <c r="O97">
        <f>SUMIF(historia4[[#This Row],[A]:[L]],"&gt;33",historia4[[#This Row],[A]:[L]])</f>
        <v>538.46999999999991</v>
      </c>
      <c r="P97">
        <f>SUM(historia4[[#This Row],[A]:[L]])</f>
        <v>538.46999999999991</v>
      </c>
      <c r="Q97">
        <f t="shared" si="2"/>
        <v>1</v>
      </c>
    </row>
    <row r="98" spans="1:17" x14ac:dyDescent="0.25">
      <c r="A98" s="1">
        <v>39589</v>
      </c>
      <c r="B98">
        <v>42.7</v>
      </c>
      <c r="C98">
        <v>43.39</v>
      </c>
      <c r="D98">
        <v>44.74</v>
      </c>
      <c r="E98">
        <v>45.8</v>
      </c>
      <c r="F98">
        <v>46.12</v>
      </c>
      <c r="G98">
        <v>46.45</v>
      </c>
      <c r="H98">
        <v>40.49</v>
      </c>
      <c r="I98">
        <v>40.549999999999997</v>
      </c>
      <c r="J98">
        <v>40.6</v>
      </c>
      <c r="K98">
        <v>48.87</v>
      </c>
      <c r="L98">
        <v>48.95</v>
      </c>
      <c r="M98">
        <v>49.03</v>
      </c>
      <c r="O98">
        <f>SUMIF(historia4[[#This Row],[A]:[L]],"&gt;33",historia4[[#This Row],[A]:[L]])</f>
        <v>537.69000000000005</v>
      </c>
      <c r="P98">
        <f>SUM(historia4[[#This Row],[A]:[L]])</f>
        <v>537.69000000000005</v>
      </c>
      <c r="Q98">
        <f t="shared" si="2"/>
        <v>1</v>
      </c>
    </row>
    <row r="99" spans="1:17" x14ac:dyDescent="0.25">
      <c r="A99" s="1">
        <v>39591</v>
      </c>
      <c r="B99">
        <v>42.32</v>
      </c>
      <c r="C99">
        <v>43</v>
      </c>
      <c r="D99">
        <v>44.34</v>
      </c>
      <c r="E99">
        <v>45.4</v>
      </c>
      <c r="F99">
        <v>45.72</v>
      </c>
      <c r="G99">
        <v>46.04</v>
      </c>
      <c r="H99">
        <v>40.06</v>
      </c>
      <c r="I99">
        <v>40.11</v>
      </c>
      <c r="J99">
        <v>40.159999999999997</v>
      </c>
      <c r="K99">
        <v>48.44</v>
      </c>
      <c r="L99">
        <v>48.52</v>
      </c>
      <c r="M99">
        <v>48.6</v>
      </c>
      <c r="O99">
        <f>SUMIF(historia4[[#This Row],[A]:[L]],"&gt;33",historia4[[#This Row],[A]:[L]])</f>
        <v>532.70999999999992</v>
      </c>
      <c r="P99">
        <f>SUM(historia4[[#This Row],[A]:[L]])</f>
        <v>532.70999999999992</v>
      </c>
      <c r="Q99">
        <f t="shared" si="2"/>
        <v>1</v>
      </c>
    </row>
    <row r="100" spans="1:17" x14ac:dyDescent="0.25">
      <c r="A100" s="1">
        <v>39594</v>
      </c>
      <c r="B100">
        <v>42.09</v>
      </c>
      <c r="C100">
        <v>42.77</v>
      </c>
      <c r="D100">
        <v>44.1</v>
      </c>
      <c r="E100">
        <v>45.22</v>
      </c>
      <c r="F100">
        <v>45.54</v>
      </c>
      <c r="G100">
        <v>45.86</v>
      </c>
      <c r="H100">
        <v>40.07</v>
      </c>
      <c r="I100">
        <v>40.130000000000003</v>
      </c>
      <c r="J100">
        <v>40.18</v>
      </c>
      <c r="K100">
        <v>48.22</v>
      </c>
      <c r="L100">
        <v>48.31</v>
      </c>
      <c r="M100">
        <v>48.39</v>
      </c>
      <c r="O100">
        <f>SUMIF(historia4[[#This Row],[A]:[L]],"&gt;33",historia4[[#This Row],[A]:[L]])</f>
        <v>530.88</v>
      </c>
      <c r="P100">
        <f>SUM(historia4[[#This Row],[A]:[L]])</f>
        <v>530.88</v>
      </c>
      <c r="Q100">
        <f t="shared" si="2"/>
        <v>1</v>
      </c>
    </row>
    <row r="101" spans="1:17" x14ac:dyDescent="0.25">
      <c r="A101" s="1">
        <v>39595</v>
      </c>
      <c r="B101">
        <v>42.19</v>
      </c>
      <c r="C101">
        <v>42.87</v>
      </c>
      <c r="D101">
        <v>44.21</v>
      </c>
      <c r="E101">
        <v>45.37</v>
      </c>
      <c r="F101">
        <v>45.7</v>
      </c>
      <c r="G101">
        <v>46.02</v>
      </c>
      <c r="H101">
        <v>40.270000000000003</v>
      </c>
      <c r="I101">
        <v>40.33</v>
      </c>
      <c r="J101">
        <v>40.39</v>
      </c>
      <c r="K101">
        <v>47.78</v>
      </c>
      <c r="L101">
        <v>47.86</v>
      </c>
      <c r="M101">
        <v>47.94</v>
      </c>
      <c r="O101">
        <f>SUMIF(historia4[[#This Row],[A]:[L]],"&gt;33",historia4[[#This Row],[A]:[L]])</f>
        <v>530.93000000000006</v>
      </c>
      <c r="P101">
        <f>SUM(historia4[[#This Row],[A]:[L]])</f>
        <v>530.93000000000006</v>
      </c>
      <c r="Q101">
        <f t="shared" si="2"/>
        <v>1</v>
      </c>
    </row>
    <row r="102" spans="1:17" x14ac:dyDescent="0.25">
      <c r="A102" s="1">
        <v>39596</v>
      </c>
      <c r="B102">
        <v>42.54</v>
      </c>
      <c r="C102">
        <v>43.23</v>
      </c>
      <c r="D102">
        <v>44.57</v>
      </c>
      <c r="E102">
        <v>45.88</v>
      </c>
      <c r="F102">
        <v>46.2</v>
      </c>
      <c r="G102">
        <v>46.53</v>
      </c>
      <c r="H102">
        <v>40.950000000000003</v>
      </c>
      <c r="I102">
        <v>41</v>
      </c>
      <c r="J102">
        <v>41.06</v>
      </c>
      <c r="K102">
        <v>48.07</v>
      </c>
      <c r="L102">
        <v>48.15</v>
      </c>
      <c r="M102">
        <v>48.23</v>
      </c>
      <c r="O102">
        <f>SUMIF(historia4[[#This Row],[A]:[L]],"&gt;33",historia4[[#This Row],[A]:[L]])</f>
        <v>536.41</v>
      </c>
      <c r="P102">
        <f>SUM(historia4[[#This Row],[A]:[L]])</f>
        <v>536.41</v>
      </c>
      <c r="Q102">
        <f t="shared" si="2"/>
        <v>1</v>
      </c>
    </row>
    <row r="103" spans="1:17" x14ac:dyDescent="0.25">
      <c r="A103" s="1">
        <v>39597</v>
      </c>
      <c r="B103">
        <v>42.22</v>
      </c>
      <c r="C103">
        <v>42.9</v>
      </c>
      <c r="D103">
        <v>44.24</v>
      </c>
      <c r="E103">
        <v>45.88</v>
      </c>
      <c r="F103">
        <v>46.2</v>
      </c>
      <c r="G103">
        <v>46.53</v>
      </c>
      <c r="H103">
        <v>40.69</v>
      </c>
      <c r="I103">
        <v>40.74</v>
      </c>
      <c r="J103">
        <v>40.799999999999997</v>
      </c>
      <c r="K103">
        <v>47.62</v>
      </c>
      <c r="L103">
        <v>47.7</v>
      </c>
      <c r="M103">
        <v>47.78</v>
      </c>
      <c r="O103">
        <f>SUMIF(historia4[[#This Row],[A]:[L]],"&gt;33",historia4[[#This Row],[A]:[L]])</f>
        <v>533.30000000000007</v>
      </c>
      <c r="P103">
        <f>SUM(historia4[[#This Row],[A]:[L]])</f>
        <v>533.30000000000007</v>
      </c>
      <c r="Q103">
        <f t="shared" si="2"/>
        <v>1</v>
      </c>
    </row>
    <row r="104" spans="1:17" x14ac:dyDescent="0.25">
      <c r="A104" s="1">
        <v>39598</v>
      </c>
      <c r="B104">
        <v>42.51</v>
      </c>
      <c r="C104">
        <v>43.19</v>
      </c>
      <c r="D104">
        <v>44.54</v>
      </c>
      <c r="E104">
        <v>46.08</v>
      </c>
      <c r="F104">
        <v>46.41</v>
      </c>
      <c r="G104">
        <v>46.74</v>
      </c>
      <c r="H104">
        <v>40.770000000000003</v>
      </c>
      <c r="I104">
        <v>40.83</v>
      </c>
      <c r="J104">
        <v>40.89</v>
      </c>
      <c r="K104">
        <v>48.21</v>
      </c>
      <c r="L104">
        <v>48.3</v>
      </c>
      <c r="M104">
        <v>48.38</v>
      </c>
      <c r="O104">
        <f>SUMIF(historia4[[#This Row],[A]:[L]],"&gt;33",historia4[[#This Row],[A]:[L]])</f>
        <v>536.84999999999991</v>
      </c>
      <c r="P104">
        <f>SUM(historia4[[#This Row],[A]:[L]])</f>
        <v>536.84999999999991</v>
      </c>
      <c r="Q104">
        <f t="shared" si="2"/>
        <v>1</v>
      </c>
    </row>
    <row r="105" spans="1:17" x14ac:dyDescent="0.25">
      <c r="A105" s="1">
        <v>39601</v>
      </c>
      <c r="B105">
        <v>42.32</v>
      </c>
      <c r="C105">
        <v>43</v>
      </c>
      <c r="D105">
        <v>44.35</v>
      </c>
      <c r="E105">
        <v>45.79</v>
      </c>
      <c r="F105">
        <v>46.12</v>
      </c>
      <c r="G105">
        <v>46.45</v>
      </c>
      <c r="H105">
        <v>40.65</v>
      </c>
      <c r="I105">
        <v>40.71</v>
      </c>
      <c r="J105">
        <v>40.770000000000003</v>
      </c>
      <c r="K105">
        <v>48.04</v>
      </c>
      <c r="L105">
        <v>48.12</v>
      </c>
      <c r="M105">
        <v>48.21</v>
      </c>
      <c r="O105">
        <f>SUMIF(historia4[[#This Row],[A]:[L]],"&gt;33",historia4[[#This Row],[A]:[L]])</f>
        <v>534.53</v>
      </c>
      <c r="P105">
        <f>SUM(historia4[[#This Row],[A]:[L]])</f>
        <v>534.53</v>
      </c>
      <c r="Q105">
        <f t="shared" si="2"/>
        <v>1</v>
      </c>
    </row>
    <row r="106" spans="1:17" x14ac:dyDescent="0.25">
      <c r="A106" s="1">
        <v>39602</v>
      </c>
      <c r="B106">
        <v>42.29</v>
      </c>
      <c r="C106">
        <v>42.98</v>
      </c>
      <c r="D106">
        <v>44.32</v>
      </c>
      <c r="E106">
        <v>45.64</v>
      </c>
      <c r="F106">
        <v>45.97</v>
      </c>
      <c r="G106">
        <v>46.3</v>
      </c>
      <c r="H106">
        <v>40.58</v>
      </c>
      <c r="I106">
        <v>40.64</v>
      </c>
      <c r="J106">
        <v>40.700000000000003</v>
      </c>
      <c r="K106">
        <v>47.97</v>
      </c>
      <c r="L106">
        <v>48.05</v>
      </c>
      <c r="M106">
        <v>48.14</v>
      </c>
      <c r="O106">
        <f>SUMIF(historia4[[#This Row],[A]:[L]],"&gt;33",historia4[[#This Row],[A]:[L]])</f>
        <v>533.58000000000004</v>
      </c>
      <c r="P106">
        <f>SUM(historia4[[#This Row],[A]:[L]])</f>
        <v>533.58000000000004</v>
      </c>
      <c r="Q106">
        <f t="shared" si="2"/>
        <v>1</v>
      </c>
    </row>
    <row r="107" spans="1:17" x14ac:dyDescent="0.25">
      <c r="A107" s="1">
        <v>39603</v>
      </c>
      <c r="B107">
        <v>41.73</v>
      </c>
      <c r="C107">
        <v>42.4</v>
      </c>
      <c r="D107">
        <v>43.73</v>
      </c>
      <c r="E107">
        <v>44.99</v>
      </c>
      <c r="F107">
        <v>45.31</v>
      </c>
      <c r="G107">
        <v>45.64</v>
      </c>
      <c r="H107">
        <v>40.1</v>
      </c>
      <c r="I107">
        <v>40.159999999999997</v>
      </c>
      <c r="J107">
        <v>40.21</v>
      </c>
      <c r="K107">
        <v>47.26</v>
      </c>
      <c r="L107">
        <v>47.35</v>
      </c>
      <c r="M107">
        <v>47.43</v>
      </c>
      <c r="O107">
        <f>SUMIF(historia4[[#This Row],[A]:[L]],"&gt;33",historia4[[#This Row],[A]:[L]])</f>
        <v>526.31000000000006</v>
      </c>
      <c r="P107">
        <f>SUM(historia4[[#This Row],[A]:[L]])</f>
        <v>526.31000000000006</v>
      </c>
      <c r="Q107">
        <f t="shared" si="2"/>
        <v>1</v>
      </c>
    </row>
    <row r="108" spans="1:17" x14ac:dyDescent="0.25">
      <c r="A108" s="1">
        <v>39604</v>
      </c>
      <c r="B108">
        <v>41.73</v>
      </c>
      <c r="C108">
        <v>42.41</v>
      </c>
      <c r="D108">
        <v>43.74</v>
      </c>
      <c r="E108">
        <v>45.17</v>
      </c>
      <c r="F108">
        <v>45.5</v>
      </c>
      <c r="G108">
        <v>45.83</v>
      </c>
      <c r="H108">
        <v>40.130000000000003</v>
      </c>
      <c r="I108">
        <v>40.19</v>
      </c>
      <c r="J108">
        <v>40.25</v>
      </c>
      <c r="K108">
        <v>47.56</v>
      </c>
      <c r="L108">
        <v>47.65</v>
      </c>
      <c r="M108">
        <v>47.73</v>
      </c>
      <c r="O108">
        <f>SUMIF(historia4[[#This Row],[A]:[L]],"&gt;33",historia4[[#This Row],[A]:[L]])</f>
        <v>527.89</v>
      </c>
      <c r="P108">
        <f>SUM(historia4[[#This Row],[A]:[L]])</f>
        <v>527.89</v>
      </c>
      <c r="Q108">
        <f t="shared" si="2"/>
        <v>1</v>
      </c>
    </row>
    <row r="109" spans="1:17" x14ac:dyDescent="0.25">
      <c r="A109" s="1">
        <v>39605</v>
      </c>
      <c r="B109">
        <v>41.38</v>
      </c>
      <c r="C109">
        <v>42.05</v>
      </c>
      <c r="D109">
        <v>43.37</v>
      </c>
      <c r="E109">
        <v>44.76</v>
      </c>
      <c r="F109">
        <v>45.09</v>
      </c>
      <c r="G109">
        <v>45.41</v>
      </c>
      <c r="H109">
        <v>39.630000000000003</v>
      </c>
      <c r="I109">
        <v>39.68</v>
      </c>
      <c r="J109">
        <v>39.74</v>
      </c>
      <c r="K109">
        <v>47.35</v>
      </c>
      <c r="L109">
        <v>47.44</v>
      </c>
      <c r="M109">
        <v>47.52</v>
      </c>
      <c r="O109">
        <f>SUMIF(historia4[[#This Row],[A]:[L]],"&gt;33",historia4[[#This Row],[A]:[L]])</f>
        <v>523.42000000000007</v>
      </c>
      <c r="P109">
        <f>SUM(historia4[[#This Row],[A]:[L]])</f>
        <v>523.42000000000007</v>
      </c>
      <c r="Q109">
        <f t="shared" si="2"/>
        <v>1</v>
      </c>
    </row>
    <row r="110" spans="1:17" x14ac:dyDescent="0.25">
      <c r="A110" s="1">
        <v>39608</v>
      </c>
      <c r="B110">
        <v>40.9</v>
      </c>
      <c r="C110">
        <v>41.57</v>
      </c>
      <c r="D110">
        <v>42.87</v>
      </c>
      <c r="E110">
        <v>44.21</v>
      </c>
      <c r="F110">
        <v>44.53</v>
      </c>
      <c r="G110">
        <v>44.86</v>
      </c>
      <c r="H110">
        <v>38.86</v>
      </c>
      <c r="I110">
        <v>38.92</v>
      </c>
      <c r="J110">
        <v>38.97</v>
      </c>
      <c r="K110">
        <v>47.45</v>
      </c>
      <c r="L110">
        <v>47.54</v>
      </c>
      <c r="M110">
        <v>47.63</v>
      </c>
      <c r="O110">
        <f>SUMIF(historia4[[#This Row],[A]:[L]],"&gt;33",historia4[[#This Row],[A]:[L]])</f>
        <v>518.31000000000006</v>
      </c>
      <c r="P110">
        <f>SUM(historia4[[#This Row],[A]:[L]])</f>
        <v>518.31000000000006</v>
      </c>
      <c r="Q110">
        <f t="shared" si="2"/>
        <v>1</v>
      </c>
    </row>
    <row r="111" spans="1:17" x14ac:dyDescent="0.25">
      <c r="A111" s="1">
        <v>39609</v>
      </c>
      <c r="B111">
        <v>39.950000000000003</v>
      </c>
      <c r="C111">
        <v>40.6</v>
      </c>
      <c r="D111">
        <v>41.87</v>
      </c>
      <c r="E111">
        <v>43.44</v>
      </c>
      <c r="F111">
        <v>43.76</v>
      </c>
      <c r="G111">
        <v>44.08</v>
      </c>
      <c r="H111">
        <v>38.06</v>
      </c>
      <c r="I111">
        <v>38.11</v>
      </c>
      <c r="J111">
        <v>38.17</v>
      </c>
      <c r="K111">
        <v>46.26</v>
      </c>
      <c r="L111">
        <v>46.35</v>
      </c>
      <c r="M111">
        <v>46.43</v>
      </c>
      <c r="O111">
        <f>SUMIF(historia4[[#This Row],[A]:[L]],"&gt;33",historia4[[#This Row],[A]:[L]])</f>
        <v>507.08000000000004</v>
      </c>
      <c r="P111">
        <f>SUM(historia4[[#This Row],[A]:[L]])</f>
        <v>507.08000000000004</v>
      </c>
      <c r="Q111">
        <f t="shared" si="2"/>
        <v>1</v>
      </c>
    </row>
    <row r="112" spans="1:17" x14ac:dyDescent="0.25">
      <c r="A112" s="1">
        <v>39610</v>
      </c>
      <c r="B112">
        <v>39.31</v>
      </c>
      <c r="C112">
        <v>39.950000000000003</v>
      </c>
      <c r="D112">
        <v>41.21</v>
      </c>
      <c r="E112">
        <v>42.87</v>
      </c>
      <c r="F112">
        <v>43.18</v>
      </c>
      <c r="G112">
        <v>43.49</v>
      </c>
      <c r="H112">
        <v>37.479999999999997</v>
      </c>
      <c r="I112">
        <v>37.53</v>
      </c>
      <c r="J112">
        <v>37.590000000000003</v>
      </c>
      <c r="K112">
        <v>45.51</v>
      </c>
      <c r="L112">
        <v>45.59</v>
      </c>
      <c r="M112">
        <v>45.68</v>
      </c>
      <c r="O112">
        <f>SUMIF(historia4[[#This Row],[A]:[L]],"&gt;33",historia4[[#This Row],[A]:[L]])</f>
        <v>499.39000000000004</v>
      </c>
      <c r="P112">
        <f>SUM(historia4[[#This Row],[A]:[L]])</f>
        <v>499.39000000000004</v>
      </c>
      <c r="Q112">
        <f t="shared" si="2"/>
        <v>1</v>
      </c>
    </row>
    <row r="113" spans="1:17" x14ac:dyDescent="0.25">
      <c r="A113" s="1">
        <v>39611</v>
      </c>
      <c r="B113">
        <v>39.81</v>
      </c>
      <c r="C113">
        <v>40.46</v>
      </c>
      <c r="D113">
        <v>41.73</v>
      </c>
      <c r="E113">
        <v>43.92</v>
      </c>
      <c r="F113">
        <v>44.24</v>
      </c>
      <c r="G113">
        <v>44.57</v>
      </c>
      <c r="H113">
        <v>38.35</v>
      </c>
      <c r="I113">
        <v>38.409999999999997</v>
      </c>
      <c r="J113">
        <v>38.46</v>
      </c>
      <c r="K113">
        <v>45.46</v>
      </c>
      <c r="L113">
        <v>45.54</v>
      </c>
      <c r="M113">
        <v>45.63</v>
      </c>
      <c r="O113">
        <f>SUMIF(historia4[[#This Row],[A]:[L]],"&gt;33",historia4[[#This Row],[A]:[L]])</f>
        <v>506.58</v>
      </c>
      <c r="P113">
        <f>SUM(historia4[[#This Row],[A]:[L]])</f>
        <v>506.58</v>
      </c>
      <c r="Q113">
        <f t="shared" si="2"/>
        <v>1</v>
      </c>
    </row>
    <row r="114" spans="1:17" x14ac:dyDescent="0.25">
      <c r="A114" s="1">
        <v>39612</v>
      </c>
      <c r="B114">
        <v>39.86</v>
      </c>
      <c r="C114">
        <v>40.520000000000003</v>
      </c>
      <c r="D114">
        <v>41.79</v>
      </c>
      <c r="E114">
        <v>44.25</v>
      </c>
      <c r="F114">
        <v>44.58</v>
      </c>
      <c r="G114">
        <v>44.9</v>
      </c>
      <c r="H114">
        <v>38.49</v>
      </c>
      <c r="I114">
        <v>38.549999999999997</v>
      </c>
      <c r="J114">
        <v>38.61</v>
      </c>
      <c r="K114">
        <v>45.95</v>
      </c>
      <c r="L114">
        <v>46.04</v>
      </c>
      <c r="M114">
        <v>46.13</v>
      </c>
      <c r="O114">
        <f>SUMIF(historia4[[#This Row],[A]:[L]],"&gt;33",historia4[[#This Row],[A]:[L]])</f>
        <v>509.67</v>
      </c>
      <c r="P114">
        <f>SUM(historia4[[#This Row],[A]:[L]])</f>
        <v>509.67</v>
      </c>
      <c r="Q114">
        <f t="shared" si="2"/>
        <v>1</v>
      </c>
    </row>
    <row r="115" spans="1:17" x14ac:dyDescent="0.25">
      <c r="A115" s="1">
        <v>39615</v>
      </c>
      <c r="B115">
        <v>39.79</v>
      </c>
      <c r="C115">
        <v>40.450000000000003</v>
      </c>
      <c r="D115">
        <v>41.72</v>
      </c>
      <c r="E115">
        <v>44.36</v>
      </c>
      <c r="F115">
        <v>44.69</v>
      </c>
      <c r="G115">
        <v>45.02</v>
      </c>
      <c r="H115">
        <v>38.39</v>
      </c>
      <c r="I115">
        <v>38.450000000000003</v>
      </c>
      <c r="J115">
        <v>38.51</v>
      </c>
      <c r="K115">
        <v>46.18</v>
      </c>
      <c r="L115">
        <v>46.27</v>
      </c>
      <c r="M115">
        <v>46.36</v>
      </c>
      <c r="O115">
        <f>SUMIF(historia4[[#This Row],[A]:[L]],"&gt;33",historia4[[#This Row],[A]:[L]])</f>
        <v>510.18999999999994</v>
      </c>
      <c r="P115">
        <f>SUM(historia4[[#This Row],[A]:[L]])</f>
        <v>510.18999999999994</v>
      </c>
      <c r="Q115">
        <f t="shared" si="2"/>
        <v>1</v>
      </c>
    </row>
    <row r="116" spans="1:17" x14ac:dyDescent="0.25">
      <c r="A116" s="1">
        <v>39616</v>
      </c>
      <c r="B116">
        <v>40.08</v>
      </c>
      <c r="C116">
        <v>40.74</v>
      </c>
      <c r="D116">
        <v>42.02</v>
      </c>
      <c r="E116">
        <v>44.78</v>
      </c>
      <c r="F116">
        <v>45.11</v>
      </c>
      <c r="G116">
        <v>45.45</v>
      </c>
      <c r="H116">
        <v>38.69</v>
      </c>
      <c r="I116">
        <v>38.75</v>
      </c>
      <c r="J116">
        <v>38.81</v>
      </c>
      <c r="K116">
        <v>46.47</v>
      </c>
      <c r="L116">
        <v>46.56</v>
      </c>
      <c r="M116">
        <v>46.66</v>
      </c>
      <c r="O116">
        <f>SUMIF(historia4[[#This Row],[A]:[L]],"&gt;33",historia4[[#This Row],[A]:[L]])</f>
        <v>514.12</v>
      </c>
      <c r="P116">
        <f>SUM(historia4[[#This Row],[A]:[L]])</f>
        <v>514.12</v>
      </c>
      <c r="Q116">
        <f t="shared" si="2"/>
        <v>1</v>
      </c>
    </row>
    <row r="117" spans="1:17" x14ac:dyDescent="0.25">
      <c r="A117" s="1">
        <v>39617</v>
      </c>
      <c r="B117">
        <v>39.58</v>
      </c>
      <c r="C117">
        <v>40.229999999999997</v>
      </c>
      <c r="D117">
        <v>41.5</v>
      </c>
      <c r="E117">
        <v>44.21</v>
      </c>
      <c r="F117">
        <v>44.54</v>
      </c>
      <c r="G117">
        <v>44.86</v>
      </c>
      <c r="H117">
        <v>38.1</v>
      </c>
      <c r="I117">
        <v>38.159999999999997</v>
      </c>
      <c r="J117">
        <v>38.22</v>
      </c>
      <c r="K117">
        <v>45.82</v>
      </c>
      <c r="L117">
        <v>45.91</v>
      </c>
      <c r="M117">
        <v>46</v>
      </c>
      <c r="O117">
        <f>SUMIF(historia4[[#This Row],[A]:[L]],"&gt;33",historia4[[#This Row],[A]:[L]])</f>
        <v>507.13000000000011</v>
      </c>
      <c r="P117">
        <f>SUM(historia4[[#This Row],[A]:[L]])</f>
        <v>507.13000000000011</v>
      </c>
      <c r="Q117">
        <f t="shared" si="2"/>
        <v>1</v>
      </c>
    </row>
    <row r="118" spans="1:17" x14ac:dyDescent="0.25">
      <c r="A118" s="1">
        <v>39618</v>
      </c>
      <c r="B118">
        <v>39.590000000000003</v>
      </c>
      <c r="C118">
        <v>40.25</v>
      </c>
      <c r="D118">
        <v>41.51</v>
      </c>
      <c r="E118">
        <v>43.78</v>
      </c>
      <c r="F118">
        <v>44.1</v>
      </c>
      <c r="G118">
        <v>44.43</v>
      </c>
      <c r="H118">
        <v>37.81</v>
      </c>
      <c r="I118">
        <v>37.869999999999997</v>
      </c>
      <c r="J118">
        <v>37.93</v>
      </c>
      <c r="K118">
        <v>45.8</v>
      </c>
      <c r="L118">
        <v>45.89</v>
      </c>
      <c r="M118">
        <v>45.98</v>
      </c>
      <c r="O118">
        <f>SUMIF(historia4[[#This Row],[A]:[L]],"&gt;33",historia4[[#This Row],[A]:[L]])</f>
        <v>504.94000000000005</v>
      </c>
      <c r="P118">
        <f>SUM(historia4[[#This Row],[A]:[L]])</f>
        <v>504.94000000000005</v>
      </c>
      <c r="Q118">
        <f t="shared" si="2"/>
        <v>1</v>
      </c>
    </row>
    <row r="119" spans="1:17" x14ac:dyDescent="0.25">
      <c r="A119" s="1">
        <v>39619</v>
      </c>
      <c r="B119">
        <v>39.28</v>
      </c>
      <c r="C119">
        <v>39.93</v>
      </c>
      <c r="D119">
        <v>41.19</v>
      </c>
      <c r="E119">
        <v>43.34</v>
      </c>
      <c r="F119">
        <v>43.66</v>
      </c>
      <c r="G119">
        <v>43.99</v>
      </c>
      <c r="H119">
        <v>37.64</v>
      </c>
      <c r="I119">
        <v>37.700000000000003</v>
      </c>
      <c r="J119">
        <v>37.75</v>
      </c>
      <c r="K119">
        <v>44.96</v>
      </c>
      <c r="L119">
        <v>45.05</v>
      </c>
      <c r="M119">
        <v>45.14</v>
      </c>
      <c r="O119">
        <f>SUMIF(historia4[[#This Row],[A]:[L]],"&gt;33",historia4[[#This Row],[A]:[L]])</f>
        <v>499.63</v>
      </c>
      <c r="P119">
        <f>SUM(historia4[[#This Row],[A]:[L]])</f>
        <v>499.63</v>
      </c>
      <c r="Q119">
        <f t="shared" si="2"/>
        <v>1</v>
      </c>
    </row>
    <row r="120" spans="1:17" x14ac:dyDescent="0.25">
      <c r="A120" s="1">
        <v>39622</v>
      </c>
      <c r="B120">
        <v>38.880000000000003</v>
      </c>
      <c r="C120">
        <v>39.520000000000003</v>
      </c>
      <c r="D120">
        <v>40.770000000000003</v>
      </c>
      <c r="E120">
        <v>43.09</v>
      </c>
      <c r="F120">
        <v>43.41</v>
      </c>
      <c r="G120">
        <v>43.74</v>
      </c>
      <c r="H120">
        <v>37.03</v>
      </c>
      <c r="I120">
        <v>37.090000000000003</v>
      </c>
      <c r="J120">
        <v>37.15</v>
      </c>
      <c r="K120">
        <v>45.06</v>
      </c>
      <c r="L120">
        <v>45.15</v>
      </c>
      <c r="M120">
        <v>45.25</v>
      </c>
      <c r="O120">
        <f>SUMIF(historia4[[#This Row],[A]:[L]],"&gt;33",historia4[[#This Row],[A]:[L]])</f>
        <v>496.14000000000004</v>
      </c>
      <c r="P120">
        <f>SUM(historia4[[#This Row],[A]:[L]])</f>
        <v>496.14000000000004</v>
      </c>
      <c r="Q120">
        <f t="shared" si="2"/>
        <v>1</v>
      </c>
    </row>
    <row r="121" spans="1:17" x14ac:dyDescent="0.25">
      <c r="A121" s="1">
        <v>39623</v>
      </c>
      <c r="B121">
        <v>38.51</v>
      </c>
      <c r="C121">
        <v>39.15</v>
      </c>
      <c r="D121">
        <v>40.380000000000003</v>
      </c>
      <c r="E121">
        <v>42.59</v>
      </c>
      <c r="F121">
        <v>42.91</v>
      </c>
      <c r="G121">
        <v>43.23</v>
      </c>
      <c r="H121">
        <v>36.54</v>
      </c>
      <c r="I121">
        <v>36.6</v>
      </c>
      <c r="J121">
        <v>36.65</v>
      </c>
      <c r="K121">
        <v>44.32</v>
      </c>
      <c r="L121">
        <v>44.41</v>
      </c>
      <c r="M121">
        <v>44.5</v>
      </c>
      <c r="O121">
        <f>SUMIF(historia4[[#This Row],[A]:[L]],"&gt;33",historia4[[#This Row],[A]:[L]])</f>
        <v>489.78999999999996</v>
      </c>
      <c r="P121">
        <f>SUM(historia4[[#This Row],[A]:[L]])</f>
        <v>489.78999999999996</v>
      </c>
      <c r="Q121">
        <f t="shared" si="2"/>
        <v>1</v>
      </c>
    </row>
    <row r="122" spans="1:17" x14ac:dyDescent="0.25">
      <c r="A122" s="1">
        <v>39624</v>
      </c>
      <c r="B122">
        <v>38.71</v>
      </c>
      <c r="C122">
        <v>39.35</v>
      </c>
      <c r="D122">
        <v>40.590000000000003</v>
      </c>
      <c r="E122">
        <v>42.99</v>
      </c>
      <c r="F122">
        <v>43.31</v>
      </c>
      <c r="G122">
        <v>43.64</v>
      </c>
      <c r="H122">
        <v>36.950000000000003</v>
      </c>
      <c r="I122">
        <v>37.01</v>
      </c>
      <c r="J122">
        <v>37.07</v>
      </c>
      <c r="K122">
        <v>44.59</v>
      </c>
      <c r="L122">
        <v>44.68</v>
      </c>
      <c r="M122">
        <v>44.77</v>
      </c>
      <c r="O122">
        <f>SUMIF(historia4[[#This Row],[A]:[L]],"&gt;33",historia4[[#This Row],[A]:[L]])</f>
        <v>493.66</v>
      </c>
      <c r="P122">
        <f>SUM(historia4[[#This Row],[A]:[L]])</f>
        <v>493.66</v>
      </c>
      <c r="Q122">
        <f t="shared" si="2"/>
        <v>1</v>
      </c>
    </row>
    <row r="123" spans="1:17" x14ac:dyDescent="0.25">
      <c r="A123" s="1">
        <v>39625</v>
      </c>
      <c r="B123">
        <v>38.24</v>
      </c>
      <c r="C123">
        <v>38.869999999999997</v>
      </c>
      <c r="D123">
        <v>40.1</v>
      </c>
      <c r="E123">
        <v>41.98</v>
      </c>
      <c r="F123">
        <v>42.29</v>
      </c>
      <c r="G123">
        <v>42.61</v>
      </c>
      <c r="H123">
        <v>36.07</v>
      </c>
      <c r="I123">
        <v>36.130000000000003</v>
      </c>
      <c r="J123">
        <v>36.19</v>
      </c>
      <c r="K123">
        <v>43.66</v>
      </c>
      <c r="L123">
        <v>43.75</v>
      </c>
      <c r="M123">
        <v>43.84</v>
      </c>
      <c r="O123">
        <f>SUMIF(historia4[[#This Row],[A]:[L]],"&gt;33",historia4[[#This Row],[A]:[L]])</f>
        <v>483.73</v>
      </c>
      <c r="P123">
        <f>SUM(historia4[[#This Row],[A]:[L]])</f>
        <v>483.73</v>
      </c>
      <c r="Q123">
        <f t="shared" si="2"/>
        <v>1</v>
      </c>
    </row>
    <row r="124" spans="1:17" x14ac:dyDescent="0.25">
      <c r="A124" s="1">
        <v>39626</v>
      </c>
      <c r="B124">
        <v>37.79</v>
      </c>
      <c r="C124">
        <v>38.409999999999997</v>
      </c>
      <c r="D124">
        <v>39.630000000000003</v>
      </c>
      <c r="E124">
        <v>41.51</v>
      </c>
      <c r="F124">
        <v>41.82</v>
      </c>
      <c r="G124">
        <v>42.14</v>
      </c>
      <c r="H124">
        <v>35.65</v>
      </c>
      <c r="I124">
        <v>35.71</v>
      </c>
      <c r="J124">
        <v>35.770000000000003</v>
      </c>
      <c r="K124">
        <v>43.65</v>
      </c>
      <c r="L124">
        <v>43.75</v>
      </c>
      <c r="M124">
        <v>43.84</v>
      </c>
      <c r="O124">
        <f>SUMIF(historia4[[#This Row],[A]:[L]],"&gt;33",historia4[[#This Row],[A]:[L]])</f>
        <v>479.66999999999985</v>
      </c>
      <c r="P124">
        <f>SUM(historia4[[#This Row],[A]:[L]])</f>
        <v>479.66999999999985</v>
      </c>
      <c r="Q124">
        <f t="shared" si="2"/>
        <v>1</v>
      </c>
    </row>
    <row r="125" spans="1:17" x14ac:dyDescent="0.25">
      <c r="A125" s="1">
        <v>39629</v>
      </c>
      <c r="B125">
        <v>37.4</v>
      </c>
      <c r="C125">
        <v>38.020000000000003</v>
      </c>
      <c r="D125">
        <v>39.22</v>
      </c>
      <c r="E125">
        <v>41.22</v>
      </c>
      <c r="F125">
        <v>41.53</v>
      </c>
      <c r="G125">
        <v>41.84</v>
      </c>
      <c r="H125">
        <v>35.18</v>
      </c>
      <c r="I125">
        <v>35.24</v>
      </c>
      <c r="J125">
        <v>35.29</v>
      </c>
      <c r="K125">
        <v>43.8</v>
      </c>
      <c r="L125">
        <v>43.89</v>
      </c>
      <c r="M125">
        <v>43.99</v>
      </c>
      <c r="O125">
        <f>SUMIF(historia4[[#This Row],[A]:[L]],"&gt;33",historia4[[#This Row],[A]:[L]])</f>
        <v>476.62000000000006</v>
      </c>
      <c r="P125">
        <f>SUM(historia4[[#This Row],[A]:[L]])</f>
        <v>476.62000000000006</v>
      </c>
      <c r="Q125">
        <f t="shared" si="2"/>
        <v>1</v>
      </c>
    </row>
    <row r="126" spans="1:17" x14ac:dyDescent="0.25">
      <c r="A126" s="1">
        <v>39630</v>
      </c>
      <c r="B126">
        <v>36.51</v>
      </c>
      <c r="C126">
        <v>37.11</v>
      </c>
      <c r="D126">
        <v>38.29</v>
      </c>
      <c r="E126">
        <v>39.950000000000003</v>
      </c>
      <c r="F126">
        <v>40.26</v>
      </c>
      <c r="G126">
        <v>40.56</v>
      </c>
      <c r="H126">
        <v>34.04</v>
      </c>
      <c r="I126">
        <v>34.090000000000003</v>
      </c>
      <c r="J126">
        <v>34.15</v>
      </c>
      <c r="K126">
        <v>43.17</v>
      </c>
      <c r="L126">
        <v>43.26</v>
      </c>
      <c r="M126">
        <v>43.36</v>
      </c>
      <c r="O126">
        <f>SUMIF(historia4[[#This Row],[A]:[L]],"&gt;33",historia4[[#This Row],[A]:[L]])</f>
        <v>464.75000000000006</v>
      </c>
      <c r="P126">
        <f>SUM(historia4[[#This Row],[A]:[L]])</f>
        <v>464.75000000000006</v>
      </c>
      <c r="Q126">
        <f t="shared" si="2"/>
        <v>1</v>
      </c>
    </row>
    <row r="127" spans="1:17" x14ac:dyDescent="0.25">
      <c r="A127" s="1">
        <v>39631</v>
      </c>
      <c r="B127">
        <v>36.17</v>
      </c>
      <c r="C127">
        <v>36.770000000000003</v>
      </c>
      <c r="D127">
        <v>37.94</v>
      </c>
      <c r="E127">
        <v>39.799999999999997</v>
      </c>
      <c r="F127">
        <v>40.1</v>
      </c>
      <c r="G127">
        <v>40.409999999999997</v>
      </c>
      <c r="H127">
        <v>33.57</v>
      </c>
      <c r="I127">
        <v>33.630000000000003</v>
      </c>
      <c r="J127">
        <v>33.68</v>
      </c>
      <c r="K127">
        <v>42.35</v>
      </c>
      <c r="L127">
        <v>42.44</v>
      </c>
      <c r="M127">
        <v>42.54</v>
      </c>
      <c r="O127">
        <f>SUMIF(historia4[[#This Row],[A]:[L]],"&gt;33",historia4[[#This Row],[A]:[L]])</f>
        <v>459.40000000000003</v>
      </c>
      <c r="P127">
        <f>SUM(historia4[[#This Row],[A]:[L]])</f>
        <v>459.40000000000003</v>
      </c>
      <c r="Q127">
        <f t="shared" si="2"/>
        <v>1</v>
      </c>
    </row>
    <row r="128" spans="1:17" x14ac:dyDescent="0.25">
      <c r="A128" s="1">
        <v>39632</v>
      </c>
      <c r="B128">
        <v>35.97</v>
      </c>
      <c r="C128">
        <v>36.56</v>
      </c>
      <c r="D128">
        <v>37.72</v>
      </c>
      <c r="E128">
        <v>39.86</v>
      </c>
      <c r="F128">
        <v>40.159999999999997</v>
      </c>
      <c r="G128">
        <v>40.47</v>
      </c>
      <c r="H128">
        <v>33.64</v>
      </c>
      <c r="I128">
        <v>33.69</v>
      </c>
      <c r="J128">
        <v>33.75</v>
      </c>
      <c r="K128">
        <v>42.35</v>
      </c>
      <c r="L128">
        <v>42.44</v>
      </c>
      <c r="M128">
        <v>42.54</v>
      </c>
      <c r="O128">
        <f>SUMIF(historia4[[#This Row],[A]:[L]],"&gt;33",historia4[[#This Row],[A]:[L]])</f>
        <v>459.15000000000003</v>
      </c>
      <c r="P128">
        <f>SUM(historia4[[#This Row],[A]:[L]])</f>
        <v>459.15000000000003</v>
      </c>
      <c r="Q128">
        <f t="shared" si="2"/>
        <v>1</v>
      </c>
    </row>
    <row r="129" spans="1:17" x14ac:dyDescent="0.25">
      <c r="A129" s="1">
        <v>39633</v>
      </c>
      <c r="B129">
        <v>35.31</v>
      </c>
      <c r="C129">
        <v>35.9</v>
      </c>
      <c r="D129">
        <v>37.03</v>
      </c>
      <c r="E129">
        <v>39.03</v>
      </c>
      <c r="F129">
        <v>39.33</v>
      </c>
      <c r="G129">
        <v>39.630000000000003</v>
      </c>
      <c r="H129">
        <v>32.56</v>
      </c>
      <c r="I129">
        <v>32.61</v>
      </c>
      <c r="J129">
        <v>32.659999999999997</v>
      </c>
      <c r="K129">
        <v>41.52</v>
      </c>
      <c r="L129">
        <v>41.61</v>
      </c>
      <c r="M129">
        <v>41.71</v>
      </c>
      <c r="O129">
        <f>SUMIF(historia4[[#This Row],[A]:[L]],"&gt;33",historia4[[#This Row],[A]:[L]])</f>
        <v>351.07</v>
      </c>
      <c r="P129">
        <f>SUM(historia4[[#This Row],[A]:[L]])</f>
        <v>448.90000000000003</v>
      </c>
      <c r="Q129">
        <f t="shared" si="2"/>
        <v>0</v>
      </c>
    </row>
    <row r="130" spans="1:17" x14ac:dyDescent="0.25">
      <c r="A130" s="1">
        <v>39636</v>
      </c>
      <c r="B130">
        <v>35.46</v>
      </c>
      <c r="C130">
        <v>36.06</v>
      </c>
      <c r="D130">
        <v>37.200000000000003</v>
      </c>
      <c r="E130">
        <v>39.71</v>
      </c>
      <c r="F130">
        <v>40.020000000000003</v>
      </c>
      <c r="G130">
        <v>40.32</v>
      </c>
      <c r="H130">
        <v>33.130000000000003</v>
      </c>
      <c r="I130">
        <v>33.19</v>
      </c>
      <c r="J130">
        <v>33.24</v>
      </c>
      <c r="K130">
        <v>41.87</v>
      </c>
      <c r="L130">
        <v>41.97</v>
      </c>
      <c r="M130">
        <v>42.06</v>
      </c>
      <c r="O130">
        <f>SUMIF(historia4[[#This Row],[A]:[L]],"&gt;33",historia4[[#This Row],[A]:[L]])</f>
        <v>454.23000000000008</v>
      </c>
      <c r="P130">
        <f>SUM(historia4[[#This Row],[A]:[L]])</f>
        <v>454.23000000000008</v>
      </c>
      <c r="Q130">
        <f t="shared" si="2"/>
        <v>1</v>
      </c>
    </row>
    <row r="131" spans="1:17" x14ac:dyDescent="0.25">
      <c r="A131" s="1">
        <v>39637</v>
      </c>
      <c r="B131">
        <v>35.159999999999997</v>
      </c>
      <c r="C131">
        <v>35.75</v>
      </c>
      <c r="D131">
        <v>36.880000000000003</v>
      </c>
      <c r="E131">
        <v>39.130000000000003</v>
      </c>
      <c r="F131">
        <v>39.43</v>
      </c>
      <c r="G131">
        <v>39.729999999999997</v>
      </c>
      <c r="H131">
        <v>32.729999999999997</v>
      </c>
      <c r="I131">
        <v>32.79</v>
      </c>
      <c r="J131">
        <v>32.840000000000003</v>
      </c>
      <c r="K131">
        <v>40.74</v>
      </c>
      <c r="L131">
        <v>40.840000000000003</v>
      </c>
      <c r="M131">
        <v>40.93</v>
      </c>
      <c r="O131">
        <f>SUMIF(historia4[[#This Row],[A]:[L]],"&gt;33",historia4[[#This Row],[A]:[L]])</f>
        <v>348.59</v>
      </c>
      <c r="P131">
        <f>SUM(historia4[[#This Row],[A]:[L]])</f>
        <v>446.9500000000001</v>
      </c>
      <c r="Q131">
        <f t="shared" si="2"/>
        <v>0</v>
      </c>
    </row>
    <row r="132" spans="1:17" x14ac:dyDescent="0.25">
      <c r="A132" s="1">
        <v>39638</v>
      </c>
      <c r="B132">
        <v>35.81</v>
      </c>
      <c r="C132">
        <v>36.409999999999997</v>
      </c>
      <c r="D132">
        <v>37.57</v>
      </c>
      <c r="E132">
        <v>39.979999999999997</v>
      </c>
      <c r="F132">
        <v>40.29</v>
      </c>
      <c r="G132">
        <v>40.6</v>
      </c>
      <c r="H132">
        <v>33.479999999999997</v>
      </c>
      <c r="I132">
        <v>33.54</v>
      </c>
      <c r="J132">
        <v>33.6</v>
      </c>
      <c r="K132">
        <v>40.72</v>
      </c>
      <c r="L132">
        <v>40.81</v>
      </c>
      <c r="M132">
        <v>40.909999999999997</v>
      </c>
      <c r="O132">
        <f>SUMIF(historia4[[#This Row],[A]:[L]],"&gt;33",historia4[[#This Row],[A]:[L]])</f>
        <v>453.72</v>
      </c>
      <c r="P132">
        <f>SUM(historia4[[#This Row],[A]:[L]])</f>
        <v>453.72</v>
      </c>
      <c r="Q132">
        <f t="shared" si="2"/>
        <v>1</v>
      </c>
    </row>
    <row r="133" spans="1:17" x14ac:dyDescent="0.25">
      <c r="A133" s="1">
        <v>39639</v>
      </c>
      <c r="B133">
        <v>35.1</v>
      </c>
      <c r="C133">
        <v>35.68</v>
      </c>
      <c r="D133">
        <v>36.82</v>
      </c>
      <c r="E133">
        <v>39.07</v>
      </c>
      <c r="F133">
        <v>39.369999999999997</v>
      </c>
      <c r="G133">
        <v>39.67</v>
      </c>
      <c r="H133">
        <v>32.24</v>
      </c>
      <c r="I133">
        <v>32.299999999999997</v>
      </c>
      <c r="J133">
        <v>32.35</v>
      </c>
      <c r="K133">
        <v>39.9</v>
      </c>
      <c r="L133">
        <v>39.99</v>
      </c>
      <c r="M133">
        <v>40.08</v>
      </c>
      <c r="O133">
        <f>SUMIF(historia4[[#This Row],[A]:[L]],"&gt;33",historia4[[#This Row],[A]:[L]])</f>
        <v>345.67999999999995</v>
      </c>
      <c r="P133">
        <f>SUM(historia4[[#This Row],[A]:[L]])</f>
        <v>442.57</v>
      </c>
      <c r="Q133">
        <f t="shared" si="2"/>
        <v>0</v>
      </c>
    </row>
    <row r="134" spans="1:17" x14ac:dyDescent="0.25">
      <c r="A134" s="1">
        <v>39640</v>
      </c>
      <c r="B134">
        <v>34.46</v>
      </c>
      <c r="C134">
        <v>35.03</v>
      </c>
      <c r="D134">
        <v>36.15</v>
      </c>
      <c r="E134">
        <v>38.06</v>
      </c>
      <c r="F134">
        <v>38.35</v>
      </c>
      <c r="G134">
        <v>38.65</v>
      </c>
      <c r="H134">
        <v>31.13</v>
      </c>
      <c r="I134">
        <v>31.18</v>
      </c>
      <c r="J134">
        <v>31.23</v>
      </c>
      <c r="K134">
        <v>39.51</v>
      </c>
      <c r="L134">
        <v>39.6</v>
      </c>
      <c r="M134">
        <v>39.69</v>
      </c>
      <c r="O134">
        <f>SUMIF(historia4[[#This Row],[A]:[L]],"&gt;33",historia4[[#This Row],[A]:[L]])</f>
        <v>339.50000000000006</v>
      </c>
      <c r="P134">
        <f>SUM(historia4[[#This Row],[A]:[L]])</f>
        <v>433.04</v>
      </c>
      <c r="Q134">
        <f t="shared" ref="Q134:Q197" si="3">IF(O134=P134,1,0)</f>
        <v>0</v>
      </c>
    </row>
    <row r="135" spans="1:17" x14ac:dyDescent="0.25">
      <c r="A135" s="1">
        <v>39643</v>
      </c>
      <c r="B135">
        <v>34.520000000000003</v>
      </c>
      <c r="C135">
        <v>35.1</v>
      </c>
      <c r="D135">
        <v>36.22</v>
      </c>
      <c r="E135">
        <v>38.159999999999997</v>
      </c>
      <c r="F135">
        <v>38.450000000000003</v>
      </c>
      <c r="G135">
        <v>38.75</v>
      </c>
      <c r="H135">
        <v>31.31</v>
      </c>
      <c r="I135">
        <v>31.37</v>
      </c>
      <c r="J135">
        <v>31.42</v>
      </c>
      <c r="K135">
        <v>39.549999999999997</v>
      </c>
      <c r="L135">
        <v>39.64</v>
      </c>
      <c r="M135">
        <v>39.729999999999997</v>
      </c>
      <c r="O135">
        <f>SUMIF(historia4[[#This Row],[A]:[L]],"&gt;33",historia4[[#This Row],[A]:[L]])</f>
        <v>340.12</v>
      </c>
      <c r="P135">
        <f>SUM(historia4[[#This Row],[A]:[L]])</f>
        <v>434.22</v>
      </c>
      <c r="Q135">
        <f t="shared" si="3"/>
        <v>0</v>
      </c>
    </row>
    <row r="136" spans="1:17" x14ac:dyDescent="0.25">
      <c r="A136" s="1">
        <v>39644</v>
      </c>
      <c r="B136">
        <v>33.729999999999997</v>
      </c>
      <c r="C136">
        <v>34.299999999999997</v>
      </c>
      <c r="D136">
        <v>35.39</v>
      </c>
      <c r="E136">
        <v>37.18</v>
      </c>
      <c r="F136">
        <v>37.47</v>
      </c>
      <c r="G136">
        <v>37.770000000000003</v>
      </c>
      <c r="H136">
        <v>30.58</v>
      </c>
      <c r="I136">
        <v>30.63</v>
      </c>
      <c r="J136">
        <v>30.69</v>
      </c>
      <c r="K136">
        <v>38.5</v>
      </c>
      <c r="L136">
        <v>38.590000000000003</v>
      </c>
      <c r="M136">
        <v>38.68</v>
      </c>
      <c r="O136">
        <f>SUMIF(historia4[[#This Row],[A]:[L]],"&gt;33",historia4[[#This Row],[A]:[L]])</f>
        <v>331.61</v>
      </c>
      <c r="P136">
        <f>SUM(historia4[[#This Row],[A]:[L]])</f>
        <v>423.51000000000005</v>
      </c>
      <c r="Q136">
        <f t="shared" si="3"/>
        <v>0</v>
      </c>
    </row>
    <row r="137" spans="1:17" x14ac:dyDescent="0.25">
      <c r="A137" s="1">
        <v>39645</v>
      </c>
      <c r="B137">
        <v>33.770000000000003</v>
      </c>
      <c r="C137">
        <v>34.33</v>
      </c>
      <c r="D137">
        <v>35.43</v>
      </c>
      <c r="E137">
        <v>37.32</v>
      </c>
      <c r="F137">
        <v>37.61</v>
      </c>
      <c r="G137">
        <v>37.9</v>
      </c>
      <c r="H137">
        <v>30.66</v>
      </c>
      <c r="I137">
        <v>30.71</v>
      </c>
      <c r="J137">
        <v>30.77</v>
      </c>
      <c r="K137">
        <v>38.57</v>
      </c>
      <c r="L137">
        <v>38.659999999999997</v>
      </c>
      <c r="M137">
        <v>38.75</v>
      </c>
      <c r="O137">
        <f>SUMIF(historia4[[#This Row],[A]:[L]],"&gt;33",historia4[[#This Row],[A]:[L]])</f>
        <v>332.34</v>
      </c>
      <c r="P137">
        <f>SUM(historia4[[#This Row],[A]:[L]])</f>
        <v>424.4799999999999</v>
      </c>
      <c r="Q137">
        <f t="shared" si="3"/>
        <v>0</v>
      </c>
    </row>
    <row r="138" spans="1:17" x14ac:dyDescent="0.25">
      <c r="A138" s="1">
        <v>39646</v>
      </c>
      <c r="B138">
        <v>34.82</v>
      </c>
      <c r="C138">
        <v>35.409999999999997</v>
      </c>
      <c r="D138">
        <v>36.54</v>
      </c>
      <c r="E138">
        <v>38.5</v>
      </c>
      <c r="F138">
        <v>38.799999999999997</v>
      </c>
      <c r="G138">
        <v>39.11</v>
      </c>
      <c r="H138">
        <v>31.57</v>
      </c>
      <c r="I138">
        <v>31.62</v>
      </c>
      <c r="J138">
        <v>31.68</v>
      </c>
      <c r="K138">
        <v>39.090000000000003</v>
      </c>
      <c r="L138">
        <v>39.19</v>
      </c>
      <c r="M138">
        <v>39.28</v>
      </c>
      <c r="O138">
        <f>SUMIF(historia4[[#This Row],[A]:[L]],"&gt;33",historia4[[#This Row],[A]:[L]])</f>
        <v>340.74</v>
      </c>
      <c r="P138">
        <f>SUM(historia4[[#This Row],[A]:[L]])</f>
        <v>435.61</v>
      </c>
      <c r="Q138">
        <f t="shared" si="3"/>
        <v>0</v>
      </c>
    </row>
    <row r="139" spans="1:17" x14ac:dyDescent="0.25">
      <c r="A139" s="1">
        <v>39647</v>
      </c>
      <c r="B139">
        <v>35.19</v>
      </c>
      <c r="C139">
        <v>35.78</v>
      </c>
      <c r="D139">
        <v>36.93</v>
      </c>
      <c r="E139">
        <v>39.03</v>
      </c>
      <c r="F139">
        <v>39.33</v>
      </c>
      <c r="G139">
        <v>39.64</v>
      </c>
      <c r="H139">
        <v>31.95</v>
      </c>
      <c r="I139">
        <v>32.01</v>
      </c>
      <c r="J139">
        <v>32.06</v>
      </c>
      <c r="K139">
        <v>38.630000000000003</v>
      </c>
      <c r="L139">
        <v>38.72</v>
      </c>
      <c r="M139">
        <v>38.82</v>
      </c>
      <c r="O139">
        <f>SUMIF(historia4[[#This Row],[A]:[L]],"&gt;33",historia4[[#This Row],[A]:[L]])</f>
        <v>342.07</v>
      </c>
      <c r="P139">
        <f>SUM(historia4[[#This Row],[A]:[L]])</f>
        <v>438.09</v>
      </c>
      <c r="Q139">
        <f t="shared" si="3"/>
        <v>0</v>
      </c>
    </row>
    <row r="140" spans="1:17" x14ac:dyDescent="0.25">
      <c r="A140" s="1">
        <v>39650</v>
      </c>
      <c r="B140">
        <v>35.65</v>
      </c>
      <c r="C140">
        <v>36.25</v>
      </c>
      <c r="D140">
        <v>37.409999999999997</v>
      </c>
      <c r="E140">
        <v>39.49</v>
      </c>
      <c r="F140">
        <v>39.799999999999997</v>
      </c>
      <c r="G140">
        <v>40.11</v>
      </c>
      <c r="H140">
        <v>32.340000000000003</v>
      </c>
      <c r="I140">
        <v>32.39</v>
      </c>
      <c r="J140">
        <v>32.450000000000003</v>
      </c>
      <c r="K140">
        <v>39.1</v>
      </c>
      <c r="L140">
        <v>39.200000000000003</v>
      </c>
      <c r="M140">
        <v>39.29</v>
      </c>
      <c r="O140">
        <f>SUMIF(historia4[[#This Row],[A]:[L]],"&gt;33",historia4[[#This Row],[A]:[L]])</f>
        <v>346.30000000000007</v>
      </c>
      <c r="P140">
        <f>SUM(historia4[[#This Row],[A]:[L]])</f>
        <v>443.48000000000008</v>
      </c>
      <c r="Q140">
        <f t="shared" si="3"/>
        <v>0</v>
      </c>
    </row>
    <row r="141" spans="1:17" x14ac:dyDescent="0.25">
      <c r="A141" s="1">
        <v>39651</v>
      </c>
      <c r="B141">
        <v>35.590000000000003</v>
      </c>
      <c r="C141">
        <v>36.19</v>
      </c>
      <c r="D141">
        <v>37.35</v>
      </c>
      <c r="E141">
        <v>39.08</v>
      </c>
      <c r="F141">
        <v>39.39</v>
      </c>
      <c r="G141">
        <v>39.700000000000003</v>
      </c>
      <c r="H141">
        <v>32.11</v>
      </c>
      <c r="I141">
        <v>32.159999999999997</v>
      </c>
      <c r="J141">
        <v>32.22</v>
      </c>
      <c r="K141">
        <v>39.159999999999997</v>
      </c>
      <c r="L141">
        <v>39.25</v>
      </c>
      <c r="M141">
        <v>39.35</v>
      </c>
      <c r="O141">
        <f>SUMIF(historia4[[#This Row],[A]:[L]],"&gt;33",historia4[[#This Row],[A]:[L]])</f>
        <v>345.05999999999995</v>
      </c>
      <c r="P141">
        <f>SUM(historia4[[#This Row],[A]:[L]])</f>
        <v>441.54999999999995</v>
      </c>
      <c r="Q141">
        <f t="shared" si="3"/>
        <v>0</v>
      </c>
    </row>
    <row r="142" spans="1:17" x14ac:dyDescent="0.25">
      <c r="A142" s="1">
        <v>39652</v>
      </c>
      <c r="B142">
        <v>36.94</v>
      </c>
      <c r="C142">
        <v>37.57</v>
      </c>
      <c r="D142">
        <v>38.770000000000003</v>
      </c>
      <c r="E142">
        <v>40.42</v>
      </c>
      <c r="F142">
        <v>40.74</v>
      </c>
      <c r="G142">
        <v>41.06</v>
      </c>
      <c r="H142">
        <v>33.44</v>
      </c>
      <c r="I142">
        <v>33.5</v>
      </c>
      <c r="J142">
        <v>33.56</v>
      </c>
      <c r="K142">
        <v>39.43</v>
      </c>
      <c r="L142">
        <v>39.53</v>
      </c>
      <c r="M142">
        <v>39.619999999999997</v>
      </c>
      <c r="O142">
        <f>SUMIF(historia4[[#This Row],[A]:[L]],"&gt;33",historia4[[#This Row],[A]:[L]])</f>
        <v>454.58000000000004</v>
      </c>
      <c r="P142">
        <f>SUM(historia4[[#This Row],[A]:[L]])</f>
        <v>454.58000000000004</v>
      </c>
      <c r="Q142">
        <f t="shared" si="3"/>
        <v>1</v>
      </c>
    </row>
    <row r="143" spans="1:17" x14ac:dyDescent="0.25">
      <c r="A143" s="1">
        <v>39653</v>
      </c>
      <c r="B143">
        <v>36.590000000000003</v>
      </c>
      <c r="C143">
        <v>37.21</v>
      </c>
      <c r="D143">
        <v>38.4</v>
      </c>
      <c r="E143">
        <v>39.68</v>
      </c>
      <c r="F143">
        <v>39.99</v>
      </c>
      <c r="G143">
        <v>40.31</v>
      </c>
      <c r="H143">
        <v>32.950000000000003</v>
      </c>
      <c r="I143">
        <v>33.01</v>
      </c>
      <c r="J143">
        <v>33.07</v>
      </c>
      <c r="K143">
        <v>37.880000000000003</v>
      </c>
      <c r="L143">
        <v>37.979999999999997</v>
      </c>
      <c r="M143">
        <v>38.07</v>
      </c>
      <c r="O143">
        <f>SUMIF(historia4[[#This Row],[A]:[L]],"&gt;33",historia4[[#This Row],[A]:[L]])</f>
        <v>412.19000000000005</v>
      </c>
      <c r="P143">
        <f>SUM(historia4[[#This Row],[A]:[L]])</f>
        <v>445.14000000000004</v>
      </c>
      <c r="Q143">
        <f t="shared" si="3"/>
        <v>0</v>
      </c>
    </row>
    <row r="144" spans="1:17" x14ac:dyDescent="0.25">
      <c r="A144" s="1">
        <v>39654</v>
      </c>
      <c r="B144">
        <v>36.57</v>
      </c>
      <c r="C144">
        <v>37.19</v>
      </c>
      <c r="D144">
        <v>38.380000000000003</v>
      </c>
      <c r="E144">
        <v>38.93</v>
      </c>
      <c r="F144">
        <v>39.24</v>
      </c>
      <c r="G144">
        <v>39.549999999999997</v>
      </c>
      <c r="H144">
        <v>32.29</v>
      </c>
      <c r="I144">
        <v>32.35</v>
      </c>
      <c r="J144">
        <v>32.409999999999997</v>
      </c>
      <c r="K144">
        <v>37.840000000000003</v>
      </c>
      <c r="L144">
        <v>37.94</v>
      </c>
      <c r="M144">
        <v>38.03</v>
      </c>
      <c r="O144">
        <f>SUMIF(historia4[[#This Row],[A]:[L]],"&gt;33",historia4[[#This Row],[A]:[L]])</f>
        <v>343.67000000000007</v>
      </c>
      <c r="P144">
        <f>SUM(historia4[[#This Row],[A]:[L]])</f>
        <v>440.72000000000014</v>
      </c>
      <c r="Q144">
        <f t="shared" si="3"/>
        <v>0</v>
      </c>
    </row>
    <row r="145" spans="1:17" x14ac:dyDescent="0.25">
      <c r="A145" s="1">
        <v>39657</v>
      </c>
      <c r="B145">
        <v>36.61</v>
      </c>
      <c r="C145">
        <v>37.229999999999997</v>
      </c>
      <c r="D145">
        <v>38.43</v>
      </c>
      <c r="E145">
        <v>39.01</v>
      </c>
      <c r="F145">
        <v>39.33</v>
      </c>
      <c r="G145">
        <v>39.64</v>
      </c>
      <c r="H145">
        <v>32.26</v>
      </c>
      <c r="I145">
        <v>32.32</v>
      </c>
      <c r="J145">
        <v>32.369999999999997</v>
      </c>
      <c r="K145">
        <v>37.83</v>
      </c>
      <c r="L145">
        <v>37.92</v>
      </c>
      <c r="M145">
        <v>38.020000000000003</v>
      </c>
      <c r="O145">
        <f>SUMIF(historia4[[#This Row],[A]:[L]],"&gt;33",historia4[[#This Row],[A]:[L]])</f>
        <v>344.02</v>
      </c>
      <c r="P145">
        <f>SUM(historia4[[#This Row],[A]:[L]])</f>
        <v>440.96999999999997</v>
      </c>
      <c r="Q145">
        <f t="shared" si="3"/>
        <v>0</v>
      </c>
    </row>
    <row r="146" spans="1:17" x14ac:dyDescent="0.25">
      <c r="A146" s="1">
        <v>39658</v>
      </c>
      <c r="B146">
        <v>36.94</v>
      </c>
      <c r="C146">
        <v>37.57</v>
      </c>
      <c r="D146">
        <v>38.78</v>
      </c>
      <c r="E146">
        <v>39.909999999999997</v>
      </c>
      <c r="F146">
        <v>40.229999999999997</v>
      </c>
      <c r="G146">
        <v>40.549999999999997</v>
      </c>
      <c r="H146">
        <v>32.65</v>
      </c>
      <c r="I146">
        <v>32.71</v>
      </c>
      <c r="J146">
        <v>32.770000000000003</v>
      </c>
      <c r="K146">
        <v>38.11</v>
      </c>
      <c r="L146">
        <v>38.21</v>
      </c>
      <c r="M146">
        <v>38.299999999999997</v>
      </c>
      <c r="O146">
        <f>SUMIF(historia4[[#This Row],[A]:[L]],"&gt;33",historia4[[#This Row],[A]:[L]])</f>
        <v>348.59999999999997</v>
      </c>
      <c r="P146">
        <f>SUM(historia4[[#This Row],[A]:[L]])</f>
        <v>446.7299999999999</v>
      </c>
      <c r="Q146">
        <f t="shared" si="3"/>
        <v>0</v>
      </c>
    </row>
    <row r="147" spans="1:17" x14ac:dyDescent="0.25">
      <c r="A147" s="1">
        <v>39659</v>
      </c>
      <c r="B147">
        <v>37.909999999999997</v>
      </c>
      <c r="C147">
        <v>38.549999999999997</v>
      </c>
      <c r="D147">
        <v>39.79</v>
      </c>
      <c r="E147">
        <v>40.659999999999997</v>
      </c>
      <c r="F147">
        <v>40.99</v>
      </c>
      <c r="G147">
        <v>41.31</v>
      </c>
      <c r="H147">
        <v>33.270000000000003</v>
      </c>
      <c r="I147">
        <v>33.33</v>
      </c>
      <c r="J147">
        <v>33.39</v>
      </c>
      <c r="K147">
        <v>38.950000000000003</v>
      </c>
      <c r="L147">
        <v>39.049999999999997</v>
      </c>
      <c r="M147">
        <v>39.15</v>
      </c>
      <c r="O147">
        <f>SUMIF(historia4[[#This Row],[A]:[L]],"&gt;33",historia4[[#This Row],[A]:[L]])</f>
        <v>456.34999999999997</v>
      </c>
      <c r="P147">
        <f>SUM(historia4[[#This Row],[A]:[L]])</f>
        <v>456.34999999999997</v>
      </c>
      <c r="Q147">
        <f t="shared" si="3"/>
        <v>1</v>
      </c>
    </row>
    <row r="148" spans="1:17" x14ac:dyDescent="0.25">
      <c r="A148" s="1">
        <v>39660</v>
      </c>
      <c r="B148">
        <v>38.130000000000003</v>
      </c>
      <c r="C148">
        <v>38.78</v>
      </c>
      <c r="D148">
        <v>40.03</v>
      </c>
      <c r="E148">
        <v>41.08</v>
      </c>
      <c r="F148">
        <v>41.41</v>
      </c>
      <c r="G148">
        <v>41.74</v>
      </c>
      <c r="H148">
        <v>33.340000000000003</v>
      </c>
      <c r="I148">
        <v>33.4</v>
      </c>
      <c r="J148">
        <v>33.46</v>
      </c>
      <c r="K148">
        <v>39.1</v>
      </c>
      <c r="L148">
        <v>39.21</v>
      </c>
      <c r="M148">
        <v>39.31</v>
      </c>
      <c r="O148">
        <f>SUMIF(historia4[[#This Row],[A]:[L]],"&gt;33",historia4[[#This Row],[A]:[L]])</f>
        <v>458.98999999999995</v>
      </c>
      <c r="P148">
        <f>SUM(historia4[[#This Row],[A]:[L]])</f>
        <v>458.98999999999995</v>
      </c>
      <c r="Q148">
        <f t="shared" si="3"/>
        <v>1</v>
      </c>
    </row>
    <row r="149" spans="1:17" x14ac:dyDescent="0.25">
      <c r="A149" s="1">
        <v>39661</v>
      </c>
      <c r="B149">
        <v>38.01</v>
      </c>
      <c r="C149">
        <v>38.65</v>
      </c>
      <c r="D149">
        <v>39.9</v>
      </c>
      <c r="E149">
        <v>41.08</v>
      </c>
      <c r="F149">
        <v>41.41</v>
      </c>
      <c r="G149">
        <v>41.74</v>
      </c>
      <c r="H149">
        <v>33.29</v>
      </c>
      <c r="I149">
        <v>33.35</v>
      </c>
      <c r="J149">
        <v>33.409999999999997</v>
      </c>
      <c r="K149">
        <v>38.71</v>
      </c>
      <c r="L149">
        <v>38.81</v>
      </c>
      <c r="M149">
        <v>38.909999999999997</v>
      </c>
      <c r="O149">
        <f>SUMIF(historia4[[#This Row],[A]:[L]],"&gt;33",historia4[[#This Row],[A]:[L]])</f>
        <v>457.27</v>
      </c>
      <c r="P149">
        <f>SUM(historia4[[#This Row],[A]:[L]])</f>
        <v>457.27</v>
      </c>
      <c r="Q149">
        <f t="shared" si="3"/>
        <v>1</v>
      </c>
    </row>
    <row r="150" spans="1:17" x14ac:dyDescent="0.25">
      <c r="A150" s="1">
        <v>39664</v>
      </c>
      <c r="B150">
        <v>37.85</v>
      </c>
      <c r="C150">
        <v>38.49</v>
      </c>
      <c r="D150">
        <v>39.729999999999997</v>
      </c>
      <c r="E150">
        <v>41.28</v>
      </c>
      <c r="F150">
        <v>41.61</v>
      </c>
      <c r="G150">
        <v>41.95</v>
      </c>
      <c r="H150">
        <v>33.57</v>
      </c>
      <c r="I150">
        <v>33.630000000000003</v>
      </c>
      <c r="J150">
        <v>33.69</v>
      </c>
      <c r="K150">
        <v>37.99</v>
      </c>
      <c r="L150">
        <v>38.090000000000003</v>
      </c>
      <c r="M150">
        <v>38.19</v>
      </c>
      <c r="O150">
        <f>SUMIF(historia4[[#This Row],[A]:[L]],"&gt;33",historia4[[#This Row],[A]:[L]])</f>
        <v>456.07</v>
      </c>
      <c r="P150">
        <f>SUM(historia4[[#This Row],[A]:[L]])</f>
        <v>456.07</v>
      </c>
      <c r="Q150">
        <f t="shared" si="3"/>
        <v>1</v>
      </c>
    </row>
    <row r="151" spans="1:17" x14ac:dyDescent="0.25">
      <c r="A151" s="1">
        <v>39665</v>
      </c>
      <c r="B151">
        <v>38.21</v>
      </c>
      <c r="C151">
        <v>38.869999999999997</v>
      </c>
      <c r="D151">
        <v>40.119999999999997</v>
      </c>
      <c r="E151">
        <v>41.69</v>
      </c>
      <c r="F151">
        <v>42.03</v>
      </c>
      <c r="G151">
        <v>42.37</v>
      </c>
      <c r="H151">
        <v>34.14</v>
      </c>
      <c r="I151">
        <v>34.21</v>
      </c>
      <c r="J151">
        <v>34.270000000000003</v>
      </c>
      <c r="K151">
        <v>37.619999999999997</v>
      </c>
      <c r="L151">
        <v>37.72</v>
      </c>
      <c r="M151">
        <v>37.82</v>
      </c>
      <c r="O151">
        <f>SUMIF(historia4[[#This Row],[A]:[L]],"&gt;33",historia4[[#This Row],[A]:[L]])</f>
        <v>459.07</v>
      </c>
      <c r="P151">
        <f>SUM(historia4[[#This Row],[A]:[L]])</f>
        <v>459.07</v>
      </c>
      <c r="Q151">
        <f t="shared" si="3"/>
        <v>1</v>
      </c>
    </row>
    <row r="152" spans="1:17" x14ac:dyDescent="0.25">
      <c r="A152" s="1">
        <v>39666</v>
      </c>
      <c r="B152">
        <v>38.01</v>
      </c>
      <c r="C152">
        <v>38.659999999999997</v>
      </c>
      <c r="D152">
        <v>39.909999999999997</v>
      </c>
      <c r="E152">
        <v>42.09</v>
      </c>
      <c r="F152">
        <v>42.43</v>
      </c>
      <c r="G152">
        <v>42.77</v>
      </c>
      <c r="H152">
        <v>34.22</v>
      </c>
      <c r="I152">
        <v>34.29</v>
      </c>
      <c r="J152">
        <v>34.35</v>
      </c>
      <c r="K152">
        <v>38.33</v>
      </c>
      <c r="L152">
        <v>38.44</v>
      </c>
      <c r="M152">
        <v>38.54</v>
      </c>
      <c r="O152">
        <f>SUMIF(historia4[[#This Row],[A]:[L]],"&gt;33",historia4[[#This Row],[A]:[L]])</f>
        <v>462.04000000000008</v>
      </c>
      <c r="P152">
        <f>SUM(historia4[[#This Row],[A]:[L]])</f>
        <v>462.04000000000008</v>
      </c>
      <c r="Q152">
        <f t="shared" si="3"/>
        <v>1</v>
      </c>
    </row>
    <row r="153" spans="1:17" x14ac:dyDescent="0.25">
      <c r="A153" s="1">
        <v>39667</v>
      </c>
      <c r="B153">
        <v>37.71</v>
      </c>
      <c r="C153">
        <v>38.35</v>
      </c>
      <c r="D153">
        <v>39.590000000000003</v>
      </c>
      <c r="E153">
        <v>41.87</v>
      </c>
      <c r="F153">
        <v>42.21</v>
      </c>
      <c r="G153">
        <v>42.55</v>
      </c>
      <c r="H153">
        <v>33.99</v>
      </c>
      <c r="I153">
        <v>34.06</v>
      </c>
      <c r="J153">
        <v>34.119999999999997</v>
      </c>
      <c r="K153">
        <v>38.9</v>
      </c>
      <c r="L153">
        <v>39</v>
      </c>
      <c r="M153">
        <v>39.11</v>
      </c>
      <c r="O153">
        <f>SUMIF(historia4[[#This Row],[A]:[L]],"&gt;33",historia4[[#This Row],[A]:[L]])</f>
        <v>461.46000000000004</v>
      </c>
      <c r="P153">
        <f>SUM(historia4[[#This Row],[A]:[L]])</f>
        <v>461.46000000000004</v>
      </c>
      <c r="Q153">
        <f t="shared" si="3"/>
        <v>1</v>
      </c>
    </row>
    <row r="154" spans="1:17" x14ac:dyDescent="0.25">
      <c r="A154" s="1">
        <v>39668</v>
      </c>
      <c r="B154">
        <v>37.700000000000003</v>
      </c>
      <c r="C154">
        <v>38.35</v>
      </c>
      <c r="D154">
        <v>39.58</v>
      </c>
      <c r="E154">
        <v>41.66</v>
      </c>
      <c r="F154">
        <v>42</v>
      </c>
      <c r="G154">
        <v>42.34</v>
      </c>
      <c r="H154">
        <v>33.89</v>
      </c>
      <c r="I154">
        <v>33.950000000000003</v>
      </c>
      <c r="J154">
        <v>34.020000000000003</v>
      </c>
      <c r="K154">
        <v>38.92</v>
      </c>
      <c r="L154">
        <v>39.020000000000003</v>
      </c>
      <c r="M154">
        <v>39.130000000000003</v>
      </c>
      <c r="O154">
        <f>SUMIF(historia4[[#This Row],[A]:[L]],"&gt;33",historia4[[#This Row],[A]:[L]])</f>
        <v>460.56</v>
      </c>
      <c r="P154">
        <f>SUM(historia4[[#This Row],[A]:[L]])</f>
        <v>460.56</v>
      </c>
      <c r="Q154">
        <f t="shared" si="3"/>
        <v>1</v>
      </c>
    </row>
    <row r="155" spans="1:17" x14ac:dyDescent="0.25">
      <c r="A155" s="1">
        <v>39671</v>
      </c>
      <c r="B155">
        <v>37.979999999999997</v>
      </c>
      <c r="C155">
        <v>38.630000000000003</v>
      </c>
      <c r="D155">
        <v>39.880000000000003</v>
      </c>
      <c r="E155">
        <v>42.15</v>
      </c>
      <c r="F155">
        <v>42.5</v>
      </c>
      <c r="G155">
        <v>42.84</v>
      </c>
      <c r="H155">
        <v>34.33</v>
      </c>
      <c r="I155">
        <v>34.4</v>
      </c>
      <c r="J155">
        <v>34.46</v>
      </c>
      <c r="K155">
        <v>38.729999999999997</v>
      </c>
      <c r="L155">
        <v>38.83</v>
      </c>
      <c r="M155">
        <v>38.94</v>
      </c>
      <c r="O155">
        <f>SUMIF(historia4[[#This Row],[A]:[L]],"&gt;33",historia4[[#This Row],[A]:[L]])</f>
        <v>463.66999999999996</v>
      </c>
      <c r="P155">
        <f>SUM(historia4[[#This Row],[A]:[L]])</f>
        <v>463.66999999999996</v>
      </c>
      <c r="Q155">
        <f t="shared" si="3"/>
        <v>1</v>
      </c>
    </row>
    <row r="156" spans="1:17" x14ac:dyDescent="0.25">
      <c r="A156" s="1">
        <v>39672</v>
      </c>
      <c r="B156">
        <v>38.1</v>
      </c>
      <c r="C156">
        <v>38.75</v>
      </c>
      <c r="D156">
        <v>40</v>
      </c>
      <c r="E156">
        <v>42.43</v>
      </c>
      <c r="F156">
        <v>42.78</v>
      </c>
      <c r="G156">
        <v>43.13</v>
      </c>
      <c r="H156">
        <v>34.67</v>
      </c>
      <c r="I156">
        <v>34.729999999999997</v>
      </c>
      <c r="J156">
        <v>34.799999999999997</v>
      </c>
      <c r="K156">
        <v>38.85</v>
      </c>
      <c r="L156">
        <v>38.96</v>
      </c>
      <c r="M156">
        <v>39.07</v>
      </c>
      <c r="O156">
        <f>SUMIF(historia4[[#This Row],[A]:[L]],"&gt;33",historia4[[#This Row],[A]:[L]])</f>
        <v>466.27000000000004</v>
      </c>
      <c r="P156">
        <f>SUM(historia4[[#This Row],[A]:[L]])</f>
        <v>466.27000000000004</v>
      </c>
      <c r="Q156">
        <f t="shared" si="3"/>
        <v>1</v>
      </c>
    </row>
    <row r="157" spans="1:17" x14ac:dyDescent="0.25">
      <c r="A157" s="1">
        <v>39673</v>
      </c>
      <c r="B157">
        <v>37.64</v>
      </c>
      <c r="C157">
        <v>38.29</v>
      </c>
      <c r="D157">
        <v>39.520000000000003</v>
      </c>
      <c r="E157">
        <v>41.67</v>
      </c>
      <c r="F157">
        <v>42.01</v>
      </c>
      <c r="G157">
        <v>42.36</v>
      </c>
      <c r="H157">
        <v>34.14</v>
      </c>
      <c r="I157">
        <v>34.200000000000003</v>
      </c>
      <c r="J157">
        <v>34.270000000000003</v>
      </c>
      <c r="K157">
        <v>39.04</v>
      </c>
      <c r="L157">
        <v>39.15</v>
      </c>
      <c r="M157">
        <v>39.26</v>
      </c>
      <c r="O157">
        <f>SUMIF(historia4[[#This Row],[A]:[L]],"&gt;33",historia4[[#This Row],[A]:[L]])</f>
        <v>461.54999999999995</v>
      </c>
      <c r="P157">
        <f>SUM(historia4[[#This Row],[A]:[L]])</f>
        <v>461.54999999999995</v>
      </c>
      <c r="Q157">
        <f t="shared" si="3"/>
        <v>1</v>
      </c>
    </row>
    <row r="158" spans="1:17" x14ac:dyDescent="0.25">
      <c r="A158" s="1">
        <v>39674</v>
      </c>
      <c r="B158">
        <v>37.89</v>
      </c>
      <c r="C158">
        <v>38.54</v>
      </c>
      <c r="D158">
        <v>39.78</v>
      </c>
      <c r="E158">
        <v>42.08</v>
      </c>
      <c r="F158">
        <v>42.42</v>
      </c>
      <c r="G158">
        <v>42.77</v>
      </c>
      <c r="H158">
        <v>34.43</v>
      </c>
      <c r="I158">
        <v>34.5</v>
      </c>
      <c r="J158">
        <v>34.56</v>
      </c>
      <c r="K158">
        <v>39.5</v>
      </c>
      <c r="L158">
        <v>39.61</v>
      </c>
      <c r="M158">
        <v>39.72</v>
      </c>
      <c r="O158">
        <f>SUMIF(historia4[[#This Row],[A]:[L]],"&gt;33",historia4[[#This Row],[A]:[L]])</f>
        <v>465.80000000000007</v>
      </c>
      <c r="P158">
        <f>SUM(historia4[[#This Row],[A]:[L]])</f>
        <v>465.80000000000007</v>
      </c>
      <c r="Q158">
        <f t="shared" si="3"/>
        <v>1</v>
      </c>
    </row>
    <row r="159" spans="1:17" x14ac:dyDescent="0.25">
      <c r="A159" s="1">
        <v>39678</v>
      </c>
      <c r="B159">
        <v>38.06</v>
      </c>
      <c r="C159">
        <v>38.72</v>
      </c>
      <c r="D159">
        <v>39.97</v>
      </c>
      <c r="E159">
        <v>42.67</v>
      </c>
      <c r="F159">
        <v>43.02</v>
      </c>
      <c r="G159">
        <v>43.38</v>
      </c>
      <c r="H159">
        <v>34.76</v>
      </c>
      <c r="I159">
        <v>34.83</v>
      </c>
      <c r="J159">
        <v>34.9</v>
      </c>
      <c r="K159">
        <v>40.159999999999997</v>
      </c>
      <c r="L159">
        <v>40.28</v>
      </c>
      <c r="M159">
        <v>40.39</v>
      </c>
      <c r="O159">
        <f>SUMIF(historia4[[#This Row],[A]:[L]],"&gt;33",historia4[[#This Row],[A]:[L]])</f>
        <v>471.14</v>
      </c>
      <c r="P159">
        <f>SUM(historia4[[#This Row],[A]:[L]])</f>
        <v>471.14</v>
      </c>
      <c r="Q159">
        <f t="shared" si="3"/>
        <v>1</v>
      </c>
    </row>
    <row r="160" spans="1:17" x14ac:dyDescent="0.25">
      <c r="A160" s="1">
        <v>39679</v>
      </c>
      <c r="B160">
        <v>37.049999999999997</v>
      </c>
      <c r="C160">
        <v>37.69</v>
      </c>
      <c r="D160">
        <v>38.909999999999997</v>
      </c>
      <c r="E160">
        <v>41.16</v>
      </c>
      <c r="F160">
        <v>41.5</v>
      </c>
      <c r="G160">
        <v>41.84</v>
      </c>
      <c r="H160">
        <v>33.479999999999997</v>
      </c>
      <c r="I160">
        <v>33.54</v>
      </c>
      <c r="J160">
        <v>33.61</v>
      </c>
      <c r="K160">
        <v>40.26</v>
      </c>
      <c r="L160">
        <v>40.369999999999997</v>
      </c>
      <c r="M160">
        <v>40.49</v>
      </c>
      <c r="O160">
        <f>SUMIF(historia4[[#This Row],[A]:[L]],"&gt;33",historia4[[#This Row],[A]:[L]])</f>
        <v>459.90000000000003</v>
      </c>
      <c r="P160">
        <f>SUM(historia4[[#This Row],[A]:[L]])</f>
        <v>459.90000000000003</v>
      </c>
      <c r="Q160">
        <f t="shared" si="3"/>
        <v>1</v>
      </c>
    </row>
    <row r="161" spans="1:17" x14ac:dyDescent="0.25">
      <c r="A161" s="1">
        <v>39680</v>
      </c>
      <c r="B161">
        <v>37.19</v>
      </c>
      <c r="C161">
        <v>37.83</v>
      </c>
      <c r="D161">
        <v>39.049999999999997</v>
      </c>
      <c r="E161">
        <v>40.79</v>
      </c>
      <c r="F161">
        <v>41.13</v>
      </c>
      <c r="G161">
        <v>41.47</v>
      </c>
      <c r="H161">
        <v>33.01</v>
      </c>
      <c r="I161">
        <v>33.07</v>
      </c>
      <c r="J161">
        <v>33.14</v>
      </c>
      <c r="K161">
        <v>40.76</v>
      </c>
      <c r="L161">
        <v>40.880000000000003</v>
      </c>
      <c r="M161">
        <v>41</v>
      </c>
      <c r="O161">
        <f>SUMIF(historia4[[#This Row],[A]:[L]],"&gt;33",historia4[[#This Row],[A]:[L]])</f>
        <v>459.31999999999994</v>
      </c>
      <c r="P161">
        <f>SUM(historia4[[#This Row],[A]:[L]])</f>
        <v>459.31999999999994</v>
      </c>
      <c r="Q161">
        <f t="shared" si="3"/>
        <v>1</v>
      </c>
    </row>
    <row r="162" spans="1:17" x14ac:dyDescent="0.25">
      <c r="A162" s="1">
        <v>39681</v>
      </c>
      <c r="B162">
        <v>37.06</v>
      </c>
      <c r="C162">
        <v>37.71</v>
      </c>
      <c r="D162">
        <v>38.93</v>
      </c>
      <c r="E162">
        <v>40.33</v>
      </c>
      <c r="F162">
        <v>40.659999999999997</v>
      </c>
      <c r="G162">
        <v>41</v>
      </c>
      <c r="H162">
        <v>32.57</v>
      </c>
      <c r="I162">
        <v>32.64</v>
      </c>
      <c r="J162">
        <v>32.700000000000003</v>
      </c>
      <c r="K162">
        <v>41.42</v>
      </c>
      <c r="L162">
        <v>41.55</v>
      </c>
      <c r="M162">
        <v>41.66</v>
      </c>
      <c r="O162">
        <f>SUMIF(historia4[[#This Row],[A]:[L]],"&gt;33",historia4[[#This Row],[A]:[L]])</f>
        <v>360.32000000000005</v>
      </c>
      <c r="P162">
        <f>SUM(historia4[[#This Row],[A]:[L]])</f>
        <v>458.23</v>
      </c>
      <c r="Q162">
        <f t="shared" si="3"/>
        <v>0</v>
      </c>
    </row>
    <row r="163" spans="1:17" x14ac:dyDescent="0.25">
      <c r="A163" s="1">
        <v>39682</v>
      </c>
      <c r="B163">
        <v>37.65</v>
      </c>
      <c r="C163">
        <v>38.31</v>
      </c>
      <c r="D163">
        <v>39.549999999999997</v>
      </c>
      <c r="E163">
        <v>41.32</v>
      </c>
      <c r="F163">
        <v>41.67</v>
      </c>
      <c r="G163">
        <v>42.01</v>
      </c>
      <c r="H163">
        <v>33.49</v>
      </c>
      <c r="I163">
        <v>33.56</v>
      </c>
      <c r="J163">
        <v>33.619999999999997</v>
      </c>
      <c r="K163">
        <v>41.47</v>
      </c>
      <c r="L163">
        <v>41.59</v>
      </c>
      <c r="M163">
        <v>41.71</v>
      </c>
      <c r="O163">
        <f>SUMIF(historia4[[#This Row],[A]:[L]],"&gt;33",historia4[[#This Row],[A]:[L]])</f>
        <v>465.95</v>
      </c>
      <c r="P163">
        <f>SUM(historia4[[#This Row],[A]:[L]])</f>
        <v>465.95</v>
      </c>
      <c r="Q163">
        <f t="shared" si="3"/>
        <v>1</v>
      </c>
    </row>
    <row r="164" spans="1:17" x14ac:dyDescent="0.25">
      <c r="A164" s="1">
        <v>39685</v>
      </c>
      <c r="B164">
        <v>37.69</v>
      </c>
      <c r="C164">
        <v>38.340000000000003</v>
      </c>
      <c r="D164">
        <v>39.58</v>
      </c>
      <c r="E164">
        <v>41.23</v>
      </c>
      <c r="F164">
        <v>41.58</v>
      </c>
      <c r="G164">
        <v>41.92</v>
      </c>
      <c r="H164">
        <v>33.380000000000003</v>
      </c>
      <c r="I164">
        <v>33.450000000000003</v>
      </c>
      <c r="J164">
        <v>33.520000000000003</v>
      </c>
      <c r="K164">
        <v>41.28</v>
      </c>
      <c r="L164">
        <v>41.4</v>
      </c>
      <c r="M164">
        <v>41.52</v>
      </c>
      <c r="O164">
        <f>SUMIF(historia4[[#This Row],[A]:[L]],"&gt;33",historia4[[#This Row],[A]:[L]])</f>
        <v>464.89</v>
      </c>
      <c r="P164">
        <f>SUM(historia4[[#This Row],[A]:[L]])</f>
        <v>464.89</v>
      </c>
      <c r="Q164">
        <f t="shared" si="3"/>
        <v>1</v>
      </c>
    </row>
    <row r="165" spans="1:17" x14ac:dyDescent="0.25">
      <c r="A165" s="1">
        <v>39686</v>
      </c>
      <c r="B165">
        <v>37.380000000000003</v>
      </c>
      <c r="C165">
        <v>38.03</v>
      </c>
      <c r="D165">
        <v>39.26</v>
      </c>
      <c r="E165">
        <v>41.05</v>
      </c>
      <c r="F165">
        <v>41.39</v>
      </c>
      <c r="G165">
        <v>41.74</v>
      </c>
      <c r="H165">
        <v>33.29</v>
      </c>
      <c r="I165">
        <v>33.36</v>
      </c>
      <c r="J165">
        <v>33.43</v>
      </c>
      <c r="K165">
        <v>41.25</v>
      </c>
      <c r="L165">
        <v>41.37</v>
      </c>
      <c r="M165">
        <v>41.49</v>
      </c>
      <c r="O165">
        <f>SUMIF(historia4[[#This Row],[A]:[L]],"&gt;33",historia4[[#This Row],[A]:[L]])</f>
        <v>463.04</v>
      </c>
      <c r="P165">
        <f>SUM(historia4[[#This Row],[A]:[L]])</f>
        <v>463.04</v>
      </c>
      <c r="Q165">
        <f t="shared" si="3"/>
        <v>1</v>
      </c>
    </row>
    <row r="166" spans="1:17" x14ac:dyDescent="0.25">
      <c r="A166" s="1">
        <v>39687</v>
      </c>
      <c r="B166">
        <v>37.229999999999997</v>
      </c>
      <c r="C166">
        <v>37.880000000000003</v>
      </c>
      <c r="D166">
        <v>39.11</v>
      </c>
      <c r="E166">
        <v>40.799999999999997</v>
      </c>
      <c r="F166">
        <v>41.14</v>
      </c>
      <c r="G166">
        <v>41.49</v>
      </c>
      <c r="H166">
        <v>33</v>
      </c>
      <c r="I166">
        <v>33.07</v>
      </c>
      <c r="J166">
        <v>33.130000000000003</v>
      </c>
      <c r="K166">
        <v>42.02</v>
      </c>
      <c r="L166">
        <v>42.15</v>
      </c>
      <c r="M166">
        <v>42.27</v>
      </c>
      <c r="O166">
        <f>SUMIF(historia4[[#This Row],[A]:[L]],"&gt;33",historia4[[#This Row],[A]:[L]])</f>
        <v>430.28999999999991</v>
      </c>
      <c r="P166">
        <f>SUM(historia4[[#This Row],[A]:[L]])</f>
        <v>463.28999999999991</v>
      </c>
      <c r="Q166">
        <f t="shared" si="3"/>
        <v>0</v>
      </c>
    </row>
    <row r="167" spans="1:17" x14ac:dyDescent="0.25">
      <c r="A167" s="1">
        <v>39688</v>
      </c>
      <c r="B167">
        <v>37.729999999999997</v>
      </c>
      <c r="C167">
        <v>38.39</v>
      </c>
      <c r="D167">
        <v>39.64</v>
      </c>
      <c r="E167">
        <v>41.61</v>
      </c>
      <c r="F167">
        <v>41.96</v>
      </c>
      <c r="G167">
        <v>42.31</v>
      </c>
      <c r="H167">
        <v>33.590000000000003</v>
      </c>
      <c r="I167">
        <v>33.659999999999997</v>
      </c>
      <c r="J167">
        <v>33.72</v>
      </c>
      <c r="K167">
        <v>42.43</v>
      </c>
      <c r="L167">
        <v>42.56</v>
      </c>
      <c r="M167">
        <v>42.68</v>
      </c>
      <c r="O167">
        <f>SUMIF(historia4[[#This Row],[A]:[L]],"&gt;33",historia4[[#This Row],[A]:[L]])</f>
        <v>470.28000000000003</v>
      </c>
      <c r="P167">
        <f>SUM(historia4[[#This Row],[A]:[L]])</f>
        <v>470.28000000000003</v>
      </c>
      <c r="Q167">
        <f t="shared" si="3"/>
        <v>1</v>
      </c>
    </row>
    <row r="168" spans="1:17" x14ac:dyDescent="0.25">
      <c r="A168" s="1">
        <v>39689</v>
      </c>
      <c r="B168">
        <v>37.86</v>
      </c>
      <c r="C168">
        <v>38.520000000000003</v>
      </c>
      <c r="D168">
        <v>39.78</v>
      </c>
      <c r="E168">
        <v>41.88</v>
      </c>
      <c r="F168">
        <v>42.23</v>
      </c>
      <c r="G168">
        <v>42.59</v>
      </c>
      <c r="H168">
        <v>33.869999999999997</v>
      </c>
      <c r="I168">
        <v>33.94</v>
      </c>
      <c r="J168">
        <v>34.01</v>
      </c>
      <c r="K168">
        <v>42.57</v>
      </c>
      <c r="L168">
        <v>42.69</v>
      </c>
      <c r="M168">
        <v>42.82</v>
      </c>
      <c r="O168">
        <f>SUMIF(historia4[[#This Row],[A]:[L]],"&gt;33",historia4[[#This Row],[A]:[L]])</f>
        <v>472.75999999999993</v>
      </c>
      <c r="P168">
        <f>SUM(historia4[[#This Row],[A]:[L]])</f>
        <v>472.75999999999993</v>
      </c>
      <c r="Q168">
        <f t="shared" si="3"/>
        <v>1</v>
      </c>
    </row>
    <row r="169" spans="1:17" x14ac:dyDescent="0.25">
      <c r="A169" s="1">
        <v>39692</v>
      </c>
      <c r="B169">
        <v>37.86</v>
      </c>
      <c r="C169">
        <v>38.520000000000003</v>
      </c>
      <c r="D169">
        <v>39.770000000000003</v>
      </c>
      <c r="E169">
        <v>41.38</v>
      </c>
      <c r="F169">
        <v>41.73</v>
      </c>
      <c r="G169">
        <v>42.08</v>
      </c>
      <c r="H169">
        <v>33.51</v>
      </c>
      <c r="I169">
        <v>33.58</v>
      </c>
      <c r="J169">
        <v>33.65</v>
      </c>
      <c r="K169">
        <v>42.35</v>
      </c>
      <c r="L169">
        <v>42.48</v>
      </c>
      <c r="M169">
        <v>42.61</v>
      </c>
      <c r="O169">
        <f>SUMIF(historia4[[#This Row],[A]:[L]],"&gt;33",historia4[[#This Row],[A]:[L]])</f>
        <v>469.52</v>
      </c>
      <c r="P169">
        <f>SUM(historia4[[#This Row],[A]:[L]])</f>
        <v>469.52</v>
      </c>
      <c r="Q169">
        <f t="shared" si="3"/>
        <v>1</v>
      </c>
    </row>
    <row r="170" spans="1:17" x14ac:dyDescent="0.25">
      <c r="A170" s="1">
        <v>39693</v>
      </c>
      <c r="B170">
        <v>38.700000000000003</v>
      </c>
      <c r="C170">
        <v>39.369999999999997</v>
      </c>
      <c r="D170">
        <v>40.65</v>
      </c>
      <c r="E170">
        <v>42.47</v>
      </c>
      <c r="F170">
        <v>42.83</v>
      </c>
      <c r="G170">
        <v>43.19</v>
      </c>
      <c r="H170">
        <v>34.64</v>
      </c>
      <c r="I170">
        <v>34.72</v>
      </c>
      <c r="J170">
        <v>34.79</v>
      </c>
      <c r="K170">
        <v>41.6</v>
      </c>
      <c r="L170">
        <v>41.73</v>
      </c>
      <c r="M170">
        <v>41.85</v>
      </c>
      <c r="O170">
        <f>SUMIF(historia4[[#This Row],[A]:[L]],"&gt;33",historia4[[#This Row],[A]:[L]])</f>
        <v>476.54</v>
      </c>
      <c r="P170">
        <f>SUM(historia4[[#This Row],[A]:[L]])</f>
        <v>476.54</v>
      </c>
      <c r="Q170">
        <f t="shared" si="3"/>
        <v>1</v>
      </c>
    </row>
    <row r="171" spans="1:17" x14ac:dyDescent="0.25">
      <c r="A171" s="1">
        <v>39694</v>
      </c>
      <c r="B171">
        <v>38.64</v>
      </c>
      <c r="C171">
        <v>39.32</v>
      </c>
      <c r="D171">
        <v>40.6</v>
      </c>
      <c r="E171">
        <v>42.4</v>
      </c>
      <c r="F171">
        <v>42.76</v>
      </c>
      <c r="G171">
        <v>43.12</v>
      </c>
      <c r="H171">
        <v>34.69</v>
      </c>
      <c r="I171">
        <v>34.76</v>
      </c>
      <c r="J171">
        <v>34.840000000000003</v>
      </c>
      <c r="K171">
        <v>40.840000000000003</v>
      </c>
      <c r="L171">
        <v>40.97</v>
      </c>
      <c r="M171">
        <v>41.09</v>
      </c>
      <c r="O171">
        <f>SUMIF(historia4[[#This Row],[A]:[L]],"&gt;33",historia4[[#This Row],[A]:[L]])</f>
        <v>474.03000000000009</v>
      </c>
      <c r="P171">
        <f>SUM(historia4[[#This Row],[A]:[L]])</f>
        <v>474.03000000000009</v>
      </c>
      <c r="Q171">
        <f t="shared" si="3"/>
        <v>1</v>
      </c>
    </row>
    <row r="172" spans="1:17" x14ac:dyDescent="0.25">
      <c r="A172" s="1">
        <v>39695</v>
      </c>
      <c r="B172">
        <v>38.479999999999997</v>
      </c>
      <c r="C172">
        <v>39.15</v>
      </c>
      <c r="D172">
        <v>40.43</v>
      </c>
      <c r="E172">
        <v>41.47</v>
      </c>
      <c r="F172">
        <v>41.82</v>
      </c>
      <c r="G172">
        <v>42.18</v>
      </c>
      <c r="H172">
        <v>33.93</v>
      </c>
      <c r="I172">
        <v>34</v>
      </c>
      <c r="J172">
        <v>34.07</v>
      </c>
      <c r="K172">
        <v>39.909999999999997</v>
      </c>
      <c r="L172">
        <v>40.03</v>
      </c>
      <c r="M172">
        <v>40.15</v>
      </c>
      <c r="O172">
        <f>SUMIF(historia4[[#This Row],[A]:[L]],"&gt;33",historia4[[#This Row],[A]:[L]])</f>
        <v>465.61999999999989</v>
      </c>
      <c r="P172">
        <f>SUM(historia4[[#This Row],[A]:[L]])</f>
        <v>465.61999999999989</v>
      </c>
      <c r="Q172">
        <f t="shared" si="3"/>
        <v>1</v>
      </c>
    </row>
    <row r="173" spans="1:17" x14ac:dyDescent="0.25">
      <c r="A173" s="1">
        <v>39696</v>
      </c>
      <c r="B173">
        <v>37.86</v>
      </c>
      <c r="C173">
        <v>38.53</v>
      </c>
      <c r="D173">
        <v>39.78</v>
      </c>
      <c r="E173">
        <v>40.99</v>
      </c>
      <c r="F173">
        <v>41.33</v>
      </c>
      <c r="G173">
        <v>41.69</v>
      </c>
      <c r="H173">
        <v>33.369999999999997</v>
      </c>
      <c r="I173">
        <v>33.44</v>
      </c>
      <c r="J173">
        <v>33.51</v>
      </c>
      <c r="K173">
        <v>39.659999999999997</v>
      </c>
      <c r="L173">
        <v>39.78</v>
      </c>
      <c r="M173">
        <v>39.909999999999997</v>
      </c>
      <c r="O173">
        <f>SUMIF(historia4[[#This Row],[A]:[L]],"&gt;33",historia4[[#This Row],[A]:[L]])</f>
        <v>459.84999999999991</v>
      </c>
      <c r="P173">
        <f>SUM(historia4[[#This Row],[A]:[L]])</f>
        <v>459.84999999999991</v>
      </c>
      <c r="Q173">
        <f t="shared" si="3"/>
        <v>1</v>
      </c>
    </row>
    <row r="174" spans="1:17" x14ac:dyDescent="0.25">
      <c r="A174" s="1">
        <v>39699</v>
      </c>
      <c r="B174">
        <v>38.69</v>
      </c>
      <c r="C174">
        <v>39.369999999999997</v>
      </c>
      <c r="D174">
        <v>40.659999999999997</v>
      </c>
      <c r="E174">
        <v>42.95</v>
      </c>
      <c r="F174">
        <v>43.32</v>
      </c>
      <c r="G174">
        <v>43.69</v>
      </c>
      <c r="H174">
        <v>34.92</v>
      </c>
      <c r="I174">
        <v>34.99</v>
      </c>
      <c r="J174">
        <v>35.06</v>
      </c>
      <c r="K174">
        <v>40.17</v>
      </c>
      <c r="L174">
        <v>40.29</v>
      </c>
      <c r="M174">
        <v>40.42</v>
      </c>
      <c r="O174">
        <f>SUMIF(historia4[[#This Row],[A]:[L]],"&gt;33",historia4[[#This Row],[A]:[L]])</f>
        <v>474.53000000000009</v>
      </c>
      <c r="P174">
        <f>SUM(historia4[[#This Row],[A]:[L]])</f>
        <v>474.53000000000009</v>
      </c>
      <c r="Q174">
        <f t="shared" si="3"/>
        <v>1</v>
      </c>
    </row>
    <row r="175" spans="1:17" x14ac:dyDescent="0.25">
      <c r="A175" s="1">
        <v>39700</v>
      </c>
      <c r="B175">
        <v>38.28</v>
      </c>
      <c r="C175">
        <v>38.96</v>
      </c>
      <c r="D175">
        <v>40.229999999999997</v>
      </c>
      <c r="E175">
        <v>42.81</v>
      </c>
      <c r="F175">
        <v>43.18</v>
      </c>
      <c r="G175">
        <v>43.55</v>
      </c>
      <c r="H175">
        <v>34.78</v>
      </c>
      <c r="I175">
        <v>34.86</v>
      </c>
      <c r="J175">
        <v>34.93</v>
      </c>
      <c r="K175">
        <v>37.979999999999997</v>
      </c>
      <c r="L175">
        <v>38.1</v>
      </c>
      <c r="M175">
        <v>38.22</v>
      </c>
      <c r="O175">
        <f>SUMIF(historia4[[#This Row],[A]:[L]],"&gt;33",historia4[[#This Row],[A]:[L]])</f>
        <v>465.88</v>
      </c>
      <c r="P175">
        <f>SUM(historia4[[#This Row],[A]:[L]])</f>
        <v>465.88</v>
      </c>
      <c r="Q175">
        <f t="shared" si="3"/>
        <v>1</v>
      </c>
    </row>
    <row r="176" spans="1:17" x14ac:dyDescent="0.25">
      <c r="A176" s="1">
        <v>39701</v>
      </c>
      <c r="B176">
        <v>37.51</v>
      </c>
      <c r="C176">
        <v>38.17</v>
      </c>
      <c r="D176">
        <v>39.42</v>
      </c>
      <c r="E176">
        <v>41.72</v>
      </c>
      <c r="F176">
        <v>42.08</v>
      </c>
      <c r="G176">
        <v>42.44</v>
      </c>
      <c r="H176">
        <v>33.950000000000003</v>
      </c>
      <c r="I176">
        <v>34.03</v>
      </c>
      <c r="J176">
        <v>34.1</v>
      </c>
      <c r="K176">
        <v>37.47</v>
      </c>
      <c r="L176">
        <v>37.590000000000003</v>
      </c>
      <c r="M176">
        <v>37.71</v>
      </c>
      <c r="O176">
        <f>SUMIF(historia4[[#This Row],[A]:[L]],"&gt;33",historia4[[#This Row],[A]:[L]])</f>
        <v>456.19</v>
      </c>
      <c r="P176">
        <f>SUM(historia4[[#This Row],[A]:[L]])</f>
        <v>456.19</v>
      </c>
      <c r="Q176">
        <f t="shared" si="3"/>
        <v>1</v>
      </c>
    </row>
    <row r="177" spans="1:17" x14ac:dyDescent="0.25">
      <c r="A177" s="1">
        <v>39702</v>
      </c>
      <c r="B177">
        <v>36.64</v>
      </c>
      <c r="C177">
        <v>37.29</v>
      </c>
      <c r="D177">
        <v>38.51</v>
      </c>
      <c r="E177">
        <v>39.79</v>
      </c>
      <c r="F177">
        <v>40.130000000000003</v>
      </c>
      <c r="G177">
        <v>40.479999999999997</v>
      </c>
      <c r="H177">
        <v>32.450000000000003</v>
      </c>
      <c r="I177">
        <v>32.520000000000003</v>
      </c>
      <c r="J177">
        <v>32.590000000000003</v>
      </c>
      <c r="K177">
        <v>37.32</v>
      </c>
      <c r="L177">
        <v>37.44</v>
      </c>
      <c r="M177">
        <v>37.56</v>
      </c>
      <c r="O177">
        <f>SUMIF(historia4[[#This Row],[A]:[L]],"&gt;33",historia4[[#This Row],[A]:[L]])</f>
        <v>345.15999999999997</v>
      </c>
      <c r="P177">
        <f>SUM(historia4[[#This Row],[A]:[L]])</f>
        <v>442.71999999999997</v>
      </c>
      <c r="Q177">
        <f t="shared" si="3"/>
        <v>0</v>
      </c>
    </row>
    <row r="178" spans="1:17" x14ac:dyDescent="0.25">
      <c r="A178" s="1">
        <v>39703</v>
      </c>
      <c r="B178">
        <v>36.47</v>
      </c>
      <c r="C178">
        <v>37.11</v>
      </c>
      <c r="D178">
        <v>38.33</v>
      </c>
      <c r="E178">
        <v>39.35</v>
      </c>
      <c r="F178">
        <v>39.68</v>
      </c>
      <c r="G178">
        <v>40.020000000000003</v>
      </c>
      <c r="H178">
        <v>32.119999999999997</v>
      </c>
      <c r="I178">
        <v>32.18</v>
      </c>
      <c r="J178">
        <v>32.25</v>
      </c>
      <c r="K178">
        <v>38.159999999999997</v>
      </c>
      <c r="L178">
        <v>38.28</v>
      </c>
      <c r="M178">
        <v>38.4</v>
      </c>
      <c r="O178">
        <f>SUMIF(historia4[[#This Row],[A]:[L]],"&gt;33",historia4[[#This Row],[A]:[L]])</f>
        <v>345.79999999999995</v>
      </c>
      <c r="P178">
        <f>SUM(historia4[[#This Row],[A]:[L]])</f>
        <v>442.34999999999991</v>
      </c>
      <c r="Q178">
        <f t="shared" si="3"/>
        <v>0</v>
      </c>
    </row>
    <row r="179" spans="1:17" x14ac:dyDescent="0.25">
      <c r="A179" s="1">
        <v>39706</v>
      </c>
      <c r="B179">
        <v>35.04</v>
      </c>
      <c r="C179">
        <v>35.65</v>
      </c>
      <c r="D179">
        <v>36.82</v>
      </c>
      <c r="E179">
        <v>37.409999999999997</v>
      </c>
      <c r="F179">
        <v>37.729999999999997</v>
      </c>
      <c r="G179">
        <v>38.049999999999997</v>
      </c>
      <c r="H179">
        <v>30.78</v>
      </c>
      <c r="I179">
        <v>30.85</v>
      </c>
      <c r="J179">
        <v>30.91</v>
      </c>
      <c r="K179">
        <v>36.340000000000003</v>
      </c>
      <c r="L179">
        <v>36.450000000000003</v>
      </c>
      <c r="M179">
        <v>36.57</v>
      </c>
      <c r="O179">
        <f>SUMIF(historia4[[#This Row],[A]:[L]],"&gt;33",historia4[[#This Row],[A]:[L]])</f>
        <v>330.05999999999995</v>
      </c>
      <c r="P179">
        <f>SUM(historia4[[#This Row],[A]:[L]])</f>
        <v>422.6</v>
      </c>
      <c r="Q179">
        <f t="shared" si="3"/>
        <v>0</v>
      </c>
    </row>
    <row r="180" spans="1:17" x14ac:dyDescent="0.25">
      <c r="A180" s="1">
        <v>39707</v>
      </c>
      <c r="B180">
        <v>34.020000000000003</v>
      </c>
      <c r="C180">
        <v>34.630000000000003</v>
      </c>
      <c r="D180">
        <v>35.76</v>
      </c>
      <c r="E180">
        <v>36.1</v>
      </c>
      <c r="F180">
        <v>36.409999999999997</v>
      </c>
      <c r="G180">
        <v>36.72</v>
      </c>
      <c r="H180">
        <v>29.65</v>
      </c>
      <c r="I180">
        <v>29.71</v>
      </c>
      <c r="J180">
        <v>29.77</v>
      </c>
      <c r="K180">
        <v>35.89</v>
      </c>
      <c r="L180">
        <v>36.01</v>
      </c>
      <c r="M180">
        <v>36.119999999999997</v>
      </c>
      <c r="O180">
        <f>SUMIF(historia4[[#This Row],[A]:[L]],"&gt;33",historia4[[#This Row],[A]:[L]])</f>
        <v>321.65999999999997</v>
      </c>
      <c r="P180">
        <f>SUM(historia4[[#This Row],[A]:[L]])</f>
        <v>410.78999999999996</v>
      </c>
      <c r="Q180">
        <f t="shared" si="3"/>
        <v>0</v>
      </c>
    </row>
    <row r="181" spans="1:17" x14ac:dyDescent="0.25">
      <c r="A181" s="1">
        <v>39708</v>
      </c>
      <c r="B181">
        <v>33.61</v>
      </c>
      <c r="C181">
        <v>34.200000000000003</v>
      </c>
      <c r="D181">
        <v>35.32</v>
      </c>
      <c r="E181">
        <v>34.799999999999997</v>
      </c>
      <c r="F181">
        <v>35.1</v>
      </c>
      <c r="G181">
        <v>35.4</v>
      </c>
      <c r="H181">
        <v>28.65</v>
      </c>
      <c r="I181">
        <v>28.71</v>
      </c>
      <c r="J181">
        <v>28.77</v>
      </c>
      <c r="K181">
        <v>34.81</v>
      </c>
      <c r="L181">
        <v>34.93</v>
      </c>
      <c r="M181">
        <v>35.04</v>
      </c>
      <c r="O181">
        <f>SUMIF(historia4[[#This Row],[A]:[L]],"&gt;33",historia4[[#This Row],[A]:[L]])</f>
        <v>313.21000000000004</v>
      </c>
      <c r="P181">
        <f>SUM(historia4[[#This Row],[A]:[L]])</f>
        <v>399.34000000000003</v>
      </c>
      <c r="Q181">
        <f t="shared" si="3"/>
        <v>0</v>
      </c>
    </row>
    <row r="182" spans="1:17" x14ac:dyDescent="0.25">
      <c r="A182" s="1">
        <v>39709</v>
      </c>
      <c r="B182">
        <v>33.22</v>
      </c>
      <c r="C182">
        <v>33.81</v>
      </c>
      <c r="D182">
        <v>34.92</v>
      </c>
      <c r="E182">
        <v>34.22</v>
      </c>
      <c r="F182">
        <v>34.520000000000003</v>
      </c>
      <c r="G182">
        <v>34.82</v>
      </c>
      <c r="H182">
        <v>28.02</v>
      </c>
      <c r="I182">
        <v>28.09</v>
      </c>
      <c r="J182">
        <v>28.15</v>
      </c>
      <c r="K182">
        <v>34.47</v>
      </c>
      <c r="L182">
        <v>34.58</v>
      </c>
      <c r="M182">
        <v>34.69</v>
      </c>
      <c r="O182">
        <f>SUMIF(historia4[[#This Row],[A]:[L]],"&gt;33",historia4[[#This Row],[A]:[L]])</f>
        <v>309.25</v>
      </c>
      <c r="P182">
        <f>SUM(historia4[[#This Row],[A]:[L]])</f>
        <v>393.51</v>
      </c>
      <c r="Q182">
        <f t="shared" si="3"/>
        <v>0</v>
      </c>
    </row>
    <row r="183" spans="1:17" x14ac:dyDescent="0.25">
      <c r="A183" s="1">
        <v>39710</v>
      </c>
      <c r="B183">
        <v>35.54</v>
      </c>
      <c r="C183">
        <v>36.17</v>
      </c>
      <c r="D183">
        <v>37.35</v>
      </c>
      <c r="E183">
        <v>38.119999999999997</v>
      </c>
      <c r="F183">
        <v>38.450000000000003</v>
      </c>
      <c r="G183">
        <v>38.78</v>
      </c>
      <c r="H183">
        <v>30.75</v>
      </c>
      <c r="I183">
        <v>30.82</v>
      </c>
      <c r="J183">
        <v>30.89</v>
      </c>
      <c r="K183">
        <v>37.56</v>
      </c>
      <c r="L183">
        <v>37.68</v>
      </c>
      <c r="M183">
        <v>37.799999999999997</v>
      </c>
      <c r="O183">
        <f>SUMIF(historia4[[#This Row],[A]:[L]],"&gt;33",historia4[[#This Row],[A]:[L]])</f>
        <v>337.45000000000005</v>
      </c>
      <c r="P183">
        <f>SUM(historia4[[#This Row],[A]:[L]])</f>
        <v>429.91</v>
      </c>
      <c r="Q183">
        <f t="shared" si="3"/>
        <v>0</v>
      </c>
    </row>
    <row r="184" spans="1:17" x14ac:dyDescent="0.25">
      <c r="A184" s="1">
        <v>39713</v>
      </c>
      <c r="B184">
        <v>35.01</v>
      </c>
      <c r="C184">
        <v>35.64</v>
      </c>
      <c r="D184">
        <v>36.81</v>
      </c>
      <c r="E184">
        <v>37.130000000000003</v>
      </c>
      <c r="F184">
        <v>37.46</v>
      </c>
      <c r="G184">
        <v>37.78</v>
      </c>
      <c r="H184">
        <v>29.96</v>
      </c>
      <c r="I184">
        <v>30.02</v>
      </c>
      <c r="J184">
        <v>30.09</v>
      </c>
      <c r="K184">
        <v>36.51</v>
      </c>
      <c r="L184">
        <v>36.630000000000003</v>
      </c>
      <c r="M184">
        <v>36.75</v>
      </c>
      <c r="O184">
        <f>SUMIF(historia4[[#This Row],[A]:[L]],"&gt;33",historia4[[#This Row],[A]:[L]])</f>
        <v>329.72</v>
      </c>
      <c r="P184">
        <f>SUM(historia4[[#This Row],[A]:[L]])</f>
        <v>419.78999999999996</v>
      </c>
      <c r="Q184">
        <f t="shared" si="3"/>
        <v>0</v>
      </c>
    </row>
    <row r="185" spans="1:17" x14ac:dyDescent="0.25">
      <c r="A185" s="1">
        <v>39714</v>
      </c>
      <c r="B185">
        <v>34.26</v>
      </c>
      <c r="C185">
        <v>34.869999999999997</v>
      </c>
      <c r="D185">
        <v>36.020000000000003</v>
      </c>
      <c r="E185">
        <v>36.229999999999997</v>
      </c>
      <c r="F185">
        <v>36.549999999999997</v>
      </c>
      <c r="G185">
        <v>36.869999999999997</v>
      </c>
      <c r="H185">
        <v>29.18</v>
      </c>
      <c r="I185">
        <v>29.24</v>
      </c>
      <c r="J185">
        <v>29.31</v>
      </c>
      <c r="K185">
        <v>35.86</v>
      </c>
      <c r="L185">
        <v>35.979999999999997</v>
      </c>
      <c r="M185">
        <v>36.1</v>
      </c>
      <c r="O185">
        <f>SUMIF(historia4[[#This Row],[A]:[L]],"&gt;33",historia4[[#This Row],[A]:[L]])</f>
        <v>322.74000000000007</v>
      </c>
      <c r="P185">
        <f>SUM(historia4[[#This Row],[A]:[L]])</f>
        <v>410.47000000000008</v>
      </c>
      <c r="Q185">
        <f t="shared" si="3"/>
        <v>0</v>
      </c>
    </row>
    <row r="186" spans="1:17" x14ac:dyDescent="0.25">
      <c r="A186" s="1">
        <v>39715</v>
      </c>
      <c r="B186">
        <v>34.36</v>
      </c>
      <c r="C186">
        <v>34.97</v>
      </c>
      <c r="D186">
        <v>36.119999999999997</v>
      </c>
      <c r="E186">
        <v>36.229999999999997</v>
      </c>
      <c r="F186">
        <v>36.549999999999997</v>
      </c>
      <c r="G186">
        <v>36.869999999999997</v>
      </c>
      <c r="H186">
        <v>29.16</v>
      </c>
      <c r="I186">
        <v>29.22</v>
      </c>
      <c r="J186">
        <v>29.29</v>
      </c>
      <c r="K186">
        <v>36.31</v>
      </c>
      <c r="L186">
        <v>36.43</v>
      </c>
      <c r="M186">
        <v>36.549999999999997</v>
      </c>
      <c r="O186">
        <f>SUMIF(historia4[[#This Row],[A]:[L]],"&gt;33",historia4[[#This Row],[A]:[L]])</f>
        <v>324.39</v>
      </c>
      <c r="P186">
        <f>SUM(historia4[[#This Row],[A]:[L]])</f>
        <v>412.06</v>
      </c>
      <c r="Q186">
        <f t="shared" si="3"/>
        <v>0</v>
      </c>
    </row>
    <row r="187" spans="1:17" x14ac:dyDescent="0.25">
      <c r="A187" s="1">
        <v>39716</v>
      </c>
      <c r="B187">
        <v>35.19</v>
      </c>
      <c r="C187">
        <v>35.82</v>
      </c>
      <c r="D187">
        <v>37</v>
      </c>
      <c r="E187">
        <v>37.19</v>
      </c>
      <c r="F187">
        <v>37.51</v>
      </c>
      <c r="G187">
        <v>37.840000000000003</v>
      </c>
      <c r="H187">
        <v>30.12</v>
      </c>
      <c r="I187">
        <v>30.19</v>
      </c>
      <c r="J187">
        <v>30.25</v>
      </c>
      <c r="K187">
        <v>36.96</v>
      </c>
      <c r="L187">
        <v>37.090000000000003</v>
      </c>
      <c r="M187">
        <v>37.21</v>
      </c>
      <c r="O187">
        <f>SUMIF(historia4[[#This Row],[A]:[L]],"&gt;33",historia4[[#This Row],[A]:[L]])</f>
        <v>331.81</v>
      </c>
      <c r="P187">
        <f>SUM(historia4[[#This Row],[A]:[L]])</f>
        <v>422.36999999999995</v>
      </c>
      <c r="Q187">
        <f t="shared" si="3"/>
        <v>0</v>
      </c>
    </row>
    <row r="188" spans="1:17" x14ac:dyDescent="0.25">
      <c r="A188" s="1">
        <v>39717</v>
      </c>
      <c r="B188">
        <v>35.01</v>
      </c>
      <c r="C188">
        <v>35.630000000000003</v>
      </c>
      <c r="D188">
        <v>36.81</v>
      </c>
      <c r="E188">
        <v>37</v>
      </c>
      <c r="F188">
        <v>37.33</v>
      </c>
      <c r="G188">
        <v>37.659999999999997</v>
      </c>
      <c r="H188">
        <v>29.96</v>
      </c>
      <c r="I188">
        <v>30.02</v>
      </c>
      <c r="J188">
        <v>30.09</v>
      </c>
      <c r="K188">
        <v>35.729999999999997</v>
      </c>
      <c r="L188">
        <v>35.86</v>
      </c>
      <c r="M188">
        <v>35.979999999999997</v>
      </c>
      <c r="O188">
        <f>SUMIF(historia4[[#This Row],[A]:[L]],"&gt;33",historia4[[#This Row],[A]:[L]])</f>
        <v>327.01</v>
      </c>
      <c r="P188">
        <f>SUM(historia4[[#This Row],[A]:[L]])</f>
        <v>417.08</v>
      </c>
      <c r="Q188">
        <f t="shared" si="3"/>
        <v>0</v>
      </c>
    </row>
    <row r="189" spans="1:17" x14ac:dyDescent="0.25">
      <c r="A189" s="1">
        <v>39720</v>
      </c>
      <c r="B189">
        <v>33.42</v>
      </c>
      <c r="C189">
        <v>34.01</v>
      </c>
      <c r="D189">
        <v>35.14</v>
      </c>
      <c r="E189">
        <v>35.43</v>
      </c>
      <c r="F189">
        <v>35.74</v>
      </c>
      <c r="G189">
        <v>36.06</v>
      </c>
      <c r="H189">
        <v>28.6</v>
      </c>
      <c r="I189">
        <v>28.67</v>
      </c>
      <c r="J189">
        <v>28.73</v>
      </c>
      <c r="K189">
        <v>32.94</v>
      </c>
      <c r="L189">
        <v>33.049999999999997</v>
      </c>
      <c r="M189">
        <v>33.159999999999997</v>
      </c>
      <c r="O189">
        <f>SUMIF(historia4[[#This Row],[A]:[L]],"&gt;33",historia4[[#This Row],[A]:[L]])</f>
        <v>276.01</v>
      </c>
      <c r="P189">
        <f>SUM(historia4[[#This Row],[A]:[L]])</f>
        <v>394.95000000000005</v>
      </c>
      <c r="Q189">
        <f t="shared" si="3"/>
        <v>0</v>
      </c>
    </row>
    <row r="190" spans="1:17" x14ac:dyDescent="0.25">
      <c r="A190" s="1">
        <v>39721</v>
      </c>
      <c r="B190">
        <v>33.700000000000003</v>
      </c>
      <c r="C190">
        <v>34.31</v>
      </c>
      <c r="D190">
        <v>35.44</v>
      </c>
      <c r="E190">
        <v>35.340000000000003</v>
      </c>
      <c r="F190">
        <v>35.65</v>
      </c>
      <c r="G190">
        <v>35.96</v>
      </c>
      <c r="H190">
        <v>28.51</v>
      </c>
      <c r="I190">
        <v>28.57</v>
      </c>
      <c r="J190">
        <v>28.64</v>
      </c>
      <c r="K190">
        <v>33.89</v>
      </c>
      <c r="L190">
        <v>34.01</v>
      </c>
      <c r="M190">
        <v>34.119999999999997</v>
      </c>
      <c r="O190">
        <f>SUMIF(historia4[[#This Row],[A]:[L]],"&gt;33",historia4[[#This Row],[A]:[L]])</f>
        <v>312.42</v>
      </c>
      <c r="P190">
        <f>SUM(historia4[[#This Row],[A]:[L]])</f>
        <v>398.14</v>
      </c>
      <c r="Q190">
        <f t="shared" si="3"/>
        <v>0</v>
      </c>
    </row>
    <row r="191" spans="1:17" x14ac:dyDescent="0.25">
      <c r="A191" s="1">
        <v>39722</v>
      </c>
      <c r="B191">
        <v>33.799999999999997</v>
      </c>
      <c r="C191">
        <v>34.409999999999997</v>
      </c>
      <c r="D191">
        <v>35.54</v>
      </c>
      <c r="E191">
        <v>35.42</v>
      </c>
      <c r="F191">
        <v>35.729999999999997</v>
      </c>
      <c r="G191">
        <v>36.049999999999997</v>
      </c>
      <c r="H191">
        <v>28.61</v>
      </c>
      <c r="I191">
        <v>28.67</v>
      </c>
      <c r="J191">
        <v>28.74</v>
      </c>
      <c r="K191">
        <v>33.130000000000003</v>
      </c>
      <c r="L191">
        <v>33.24</v>
      </c>
      <c r="M191">
        <v>33.35</v>
      </c>
      <c r="O191">
        <f>SUMIF(historia4[[#This Row],[A]:[L]],"&gt;33",historia4[[#This Row],[A]:[L]])</f>
        <v>310.67</v>
      </c>
      <c r="P191">
        <f>SUM(historia4[[#This Row],[A]:[L]])</f>
        <v>396.69000000000005</v>
      </c>
      <c r="Q191">
        <f t="shared" si="3"/>
        <v>0</v>
      </c>
    </row>
    <row r="192" spans="1:17" x14ac:dyDescent="0.25">
      <c r="A192" s="1">
        <v>39723</v>
      </c>
      <c r="B192">
        <v>33.28</v>
      </c>
      <c r="C192">
        <v>33.869999999999997</v>
      </c>
      <c r="D192">
        <v>34.99</v>
      </c>
      <c r="E192">
        <v>35.04</v>
      </c>
      <c r="F192">
        <v>35.35</v>
      </c>
      <c r="G192">
        <v>35.67</v>
      </c>
      <c r="H192">
        <v>28.29</v>
      </c>
      <c r="I192">
        <v>28.35</v>
      </c>
      <c r="J192">
        <v>28.41</v>
      </c>
      <c r="K192">
        <v>31.45</v>
      </c>
      <c r="L192">
        <v>31.56</v>
      </c>
      <c r="M192">
        <v>31.66</v>
      </c>
      <c r="O192">
        <f>SUMIF(historia4[[#This Row],[A]:[L]],"&gt;33",historia4[[#This Row],[A]:[L]])</f>
        <v>208.2</v>
      </c>
      <c r="P192">
        <f>SUM(historia4[[#This Row],[A]:[L]])</f>
        <v>387.92</v>
      </c>
      <c r="Q192">
        <f t="shared" si="3"/>
        <v>0</v>
      </c>
    </row>
    <row r="193" spans="1:17" x14ac:dyDescent="0.25">
      <c r="A193" s="1">
        <v>39724</v>
      </c>
      <c r="B193">
        <v>33.51</v>
      </c>
      <c r="C193">
        <v>34.11</v>
      </c>
      <c r="D193">
        <v>35.24</v>
      </c>
      <c r="E193">
        <v>35.17</v>
      </c>
      <c r="F193">
        <v>35.479999999999997</v>
      </c>
      <c r="G193">
        <v>35.799999999999997</v>
      </c>
      <c r="H193">
        <v>28.52</v>
      </c>
      <c r="I193">
        <v>28.58</v>
      </c>
      <c r="J193">
        <v>28.65</v>
      </c>
      <c r="K193">
        <v>32.380000000000003</v>
      </c>
      <c r="L193">
        <v>32.5</v>
      </c>
      <c r="M193">
        <v>32.61</v>
      </c>
      <c r="O193">
        <f>SUMIF(historia4[[#This Row],[A]:[L]],"&gt;33",historia4[[#This Row],[A]:[L]])</f>
        <v>209.31</v>
      </c>
      <c r="P193">
        <f>SUM(historia4[[#This Row],[A]:[L]])</f>
        <v>392.55</v>
      </c>
      <c r="Q193">
        <f t="shared" si="3"/>
        <v>0</v>
      </c>
    </row>
    <row r="194" spans="1:17" x14ac:dyDescent="0.25">
      <c r="A194" s="1">
        <v>39727</v>
      </c>
      <c r="B194">
        <v>31.36</v>
      </c>
      <c r="C194">
        <v>31.92</v>
      </c>
      <c r="D194">
        <v>32.979999999999997</v>
      </c>
      <c r="E194">
        <v>31.8</v>
      </c>
      <c r="F194">
        <v>32.090000000000003</v>
      </c>
      <c r="G194">
        <v>32.369999999999997</v>
      </c>
      <c r="H194">
        <v>25.9</v>
      </c>
      <c r="I194">
        <v>25.96</v>
      </c>
      <c r="J194">
        <v>26.02</v>
      </c>
      <c r="K194">
        <v>29.51</v>
      </c>
      <c r="L194">
        <v>29.61</v>
      </c>
      <c r="M194">
        <v>29.71</v>
      </c>
      <c r="O194">
        <f>SUMIF(historia4[[#This Row],[A]:[L]],"&gt;33",historia4[[#This Row],[A]:[L]])</f>
        <v>0</v>
      </c>
      <c r="P194">
        <f>SUM(historia4[[#This Row],[A]:[L]])</f>
        <v>359.23</v>
      </c>
      <c r="Q194">
        <f t="shared" si="3"/>
        <v>0</v>
      </c>
    </row>
    <row r="195" spans="1:17" x14ac:dyDescent="0.25">
      <c r="A195" s="1">
        <v>39728</v>
      </c>
      <c r="B195">
        <v>30.58</v>
      </c>
      <c r="C195">
        <v>31.13</v>
      </c>
      <c r="D195">
        <v>32.159999999999997</v>
      </c>
      <c r="E195">
        <v>31.13</v>
      </c>
      <c r="F195">
        <v>31.41</v>
      </c>
      <c r="G195">
        <v>31.69</v>
      </c>
      <c r="H195">
        <v>25.47</v>
      </c>
      <c r="I195">
        <v>25.53</v>
      </c>
      <c r="J195">
        <v>25.59</v>
      </c>
      <c r="K195">
        <v>27.71</v>
      </c>
      <c r="L195">
        <v>27.81</v>
      </c>
      <c r="M195">
        <v>27.9</v>
      </c>
      <c r="O195">
        <f>SUMIF(historia4[[#This Row],[A]:[L]],"&gt;33",historia4[[#This Row],[A]:[L]])</f>
        <v>0</v>
      </c>
      <c r="P195">
        <f>SUM(historia4[[#This Row],[A]:[L]])</f>
        <v>348.10999999999996</v>
      </c>
      <c r="Q195">
        <f t="shared" si="3"/>
        <v>0</v>
      </c>
    </row>
    <row r="196" spans="1:17" x14ac:dyDescent="0.25">
      <c r="A196" s="1">
        <v>39729</v>
      </c>
      <c r="B196">
        <v>29.42</v>
      </c>
      <c r="C196">
        <v>29.94</v>
      </c>
      <c r="D196">
        <v>30.94</v>
      </c>
      <c r="E196">
        <v>29.09</v>
      </c>
      <c r="F196">
        <v>29.35</v>
      </c>
      <c r="G196">
        <v>29.61</v>
      </c>
      <c r="H196">
        <v>23.86</v>
      </c>
      <c r="I196">
        <v>23.91</v>
      </c>
      <c r="J196">
        <v>23.97</v>
      </c>
      <c r="K196">
        <v>26.72</v>
      </c>
      <c r="L196">
        <v>26.82</v>
      </c>
      <c r="M196">
        <v>26.91</v>
      </c>
      <c r="O196">
        <f>SUMIF(historia4[[#This Row],[A]:[L]],"&gt;33",historia4[[#This Row],[A]:[L]])</f>
        <v>0</v>
      </c>
      <c r="P196">
        <f>SUM(historia4[[#This Row],[A]:[L]])</f>
        <v>330.54000000000008</v>
      </c>
      <c r="Q196">
        <f t="shared" si="3"/>
        <v>0</v>
      </c>
    </row>
    <row r="197" spans="1:17" x14ac:dyDescent="0.25">
      <c r="A197" s="1">
        <v>39730</v>
      </c>
      <c r="B197">
        <v>29.01</v>
      </c>
      <c r="C197">
        <v>29.53</v>
      </c>
      <c r="D197">
        <v>30.51</v>
      </c>
      <c r="E197">
        <v>28.03</v>
      </c>
      <c r="F197">
        <v>28.29</v>
      </c>
      <c r="G197">
        <v>28.54</v>
      </c>
      <c r="H197">
        <v>23.49</v>
      </c>
      <c r="I197">
        <v>23.54</v>
      </c>
      <c r="J197">
        <v>23.6</v>
      </c>
      <c r="K197">
        <v>25.67</v>
      </c>
      <c r="L197">
        <v>25.76</v>
      </c>
      <c r="M197">
        <v>25.86</v>
      </c>
      <c r="O197">
        <f>SUMIF(historia4[[#This Row],[A]:[L]],"&gt;33",historia4[[#This Row],[A]:[L]])</f>
        <v>0</v>
      </c>
      <c r="P197">
        <f>SUM(historia4[[#This Row],[A]:[L]])</f>
        <v>321.83</v>
      </c>
      <c r="Q197">
        <f t="shared" si="3"/>
        <v>0</v>
      </c>
    </row>
    <row r="198" spans="1:17" x14ac:dyDescent="0.25">
      <c r="A198" s="1">
        <v>39731</v>
      </c>
      <c r="B198">
        <v>26.56</v>
      </c>
      <c r="C198">
        <v>27.04</v>
      </c>
      <c r="D198">
        <v>27.94</v>
      </c>
      <c r="E198">
        <v>25.77</v>
      </c>
      <c r="F198">
        <v>26</v>
      </c>
      <c r="G198">
        <v>26.23</v>
      </c>
      <c r="H198">
        <v>21.38</v>
      </c>
      <c r="I198">
        <v>21.43</v>
      </c>
      <c r="J198">
        <v>21.48</v>
      </c>
      <c r="K198">
        <v>25.01</v>
      </c>
      <c r="L198">
        <v>25.1</v>
      </c>
      <c r="M198">
        <v>25.19</v>
      </c>
      <c r="O198">
        <f>SUMIF(historia4[[#This Row],[A]:[L]],"&gt;33",historia4[[#This Row],[A]:[L]])</f>
        <v>0</v>
      </c>
      <c r="P198">
        <f>SUM(historia4[[#This Row],[A]:[L]])</f>
        <v>299.13</v>
      </c>
      <c r="Q198">
        <f t="shared" ref="Q198:Q252" si="4">IF(O198=P198,1,0)</f>
        <v>0</v>
      </c>
    </row>
    <row r="199" spans="1:17" x14ac:dyDescent="0.25">
      <c r="A199" s="1">
        <v>39734</v>
      </c>
      <c r="B199">
        <v>27.75</v>
      </c>
      <c r="C199">
        <v>28.25</v>
      </c>
      <c r="D199">
        <v>29.19</v>
      </c>
      <c r="E199">
        <v>27.25</v>
      </c>
      <c r="F199">
        <v>27.5</v>
      </c>
      <c r="G199">
        <v>27.75</v>
      </c>
      <c r="H199">
        <v>22.31</v>
      </c>
      <c r="I199">
        <v>22.36</v>
      </c>
      <c r="J199">
        <v>22.41</v>
      </c>
      <c r="K199">
        <v>28.34</v>
      </c>
      <c r="L199">
        <v>28.44</v>
      </c>
      <c r="M199">
        <v>28.54</v>
      </c>
      <c r="O199">
        <f>SUMIF(historia4[[#This Row],[A]:[L]],"&gt;33",historia4[[#This Row],[A]:[L]])</f>
        <v>0</v>
      </c>
      <c r="P199">
        <f>SUM(historia4[[#This Row],[A]:[L]])</f>
        <v>320.09000000000003</v>
      </c>
      <c r="Q199">
        <f t="shared" si="4"/>
        <v>0</v>
      </c>
    </row>
    <row r="200" spans="1:17" x14ac:dyDescent="0.25">
      <c r="A200" s="1">
        <v>39735</v>
      </c>
      <c r="B200">
        <v>28.94</v>
      </c>
      <c r="C200">
        <v>29.46</v>
      </c>
      <c r="D200">
        <v>30.44</v>
      </c>
      <c r="E200">
        <v>28.96</v>
      </c>
      <c r="F200">
        <v>29.22</v>
      </c>
      <c r="G200">
        <v>29.48</v>
      </c>
      <c r="H200">
        <v>23.44</v>
      </c>
      <c r="I200">
        <v>23.49</v>
      </c>
      <c r="J200">
        <v>23.55</v>
      </c>
      <c r="K200">
        <v>28.9</v>
      </c>
      <c r="L200">
        <v>29</v>
      </c>
      <c r="M200">
        <v>29.11</v>
      </c>
      <c r="O200">
        <f>SUMIF(historia4[[#This Row],[A]:[L]],"&gt;33",historia4[[#This Row],[A]:[L]])</f>
        <v>0</v>
      </c>
      <c r="P200">
        <f>SUM(historia4[[#This Row],[A]:[L]])</f>
        <v>333.99</v>
      </c>
      <c r="Q200">
        <f t="shared" si="4"/>
        <v>0</v>
      </c>
    </row>
    <row r="201" spans="1:17" x14ac:dyDescent="0.25">
      <c r="A201" s="1">
        <v>39736</v>
      </c>
      <c r="B201">
        <v>27.09</v>
      </c>
      <c r="C201">
        <v>27.58</v>
      </c>
      <c r="D201">
        <v>28.5</v>
      </c>
      <c r="E201">
        <v>26.8</v>
      </c>
      <c r="F201">
        <v>27.05</v>
      </c>
      <c r="G201">
        <v>27.29</v>
      </c>
      <c r="H201">
        <v>21.96</v>
      </c>
      <c r="I201">
        <v>22.01</v>
      </c>
      <c r="J201">
        <v>22.06</v>
      </c>
      <c r="K201">
        <v>26</v>
      </c>
      <c r="L201">
        <v>26.1</v>
      </c>
      <c r="M201">
        <v>26.19</v>
      </c>
      <c r="O201">
        <f>SUMIF(historia4[[#This Row],[A]:[L]],"&gt;33",historia4[[#This Row],[A]:[L]])</f>
        <v>0</v>
      </c>
      <c r="P201">
        <f>SUM(historia4[[#This Row],[A]:[L]])</f>
        <v>308.63000000000005</v>
      </c>
      <c r="Q201">
        <f t="shared" si="4"/>
        <v>0</v>
      </c>
    </row>
    <row r="202" spans="1:17" x14ac:dyDescent="0.25">
      <c r="A202" s="1">
        <v>39737</v>
      </c>
      <c r="B202">
        <v>25.71</v>
      </c>
      <c r="C202">
        <v>26.17</v>
      </c>
      <c r="D202">
        <v>27.04</v>
      </c>
      <c r="E202">
        <v>24.73</v>
      </c>
      <c r="F202">
        <v>24.95</v>
      </c>
      <c r="G202">
        <v>25.18</v>
      </c>
      <c r="H202">
        <v>20.079999999999998</v>
      </c>
      <c r="I202">
        <v>20.13</v>
      </c>
      <c r="J202">
        <v>20.18</v>
      </c>
      <c r="K202">
        <v>24.95</v>
      </c>
      <c r="L202">
        <v>25.04</v>
      </c>
      <c r="M202">
        <v>25.13</v>
      </c>
      <c r="O202">
        <f>SUMIF(historia4[[#This Row],[A]:[L]],"&gt;33",historia4[[#This Row],[A]:[L]])</f>
        <v>0</v>
      </c>
      <c r="P202">
        <f>SUM(historia4[[#This Row],[A]:[L]])</f>
        <v>289.29000000000002</v>
      </c>
      <c r="Q202">
        <f t="shared" si="4"/>
        <v>0</v>
      </c>
    </row>
    <row r="203" spans="1:17" x14ac:dyDescent="0.25">
      <c r="A203" s="1">
        <v>39738</v>
      </c>
      <c r="B203">
        <v>24.79</v>
      </c>
      <c r="C203">
        <v>25.24</v>
      </c>
      <c r="D203">
        <v>26.08</v>
      </c>
      <c r="E203">
        <v>23.37</v>
      </c>
      <c r="F203">
        <v>23.59</v>
      </c>
      <c r="G203">
        <v>23.8</v>
      </c>
      <c r="H203">
        <v>19.09</v>
      </c>
      <c r="I203">
        <v>19.13</v>
      </c>
      <c r="J203">
        <v>19.18</v>
      </c>
      <c r="K203">
        <v>25.04</v>
      </c>
      <c r="L203">
        <v>25.14</v>
      </c>
      <c r="M203">
        <v>25.23</v>
      </c>
      <c r="O203">
        <f>SUMIF(historia4[[#This Row],[A]:[L]],"&gt;33",historia4[[#This Row],[A]:[L]])</f>
        <v>0</v>
      </c>
      <c r="P203">
        <f>SUM(historia4[[#This Row],[A]:[L]])</f>
        <v>279.68</v>
      </c>
      <c r="Q203">
        <f t="shared" si="4"/>
        <v>0</v>
      </c>
    </row>
    <row r="204" spans="1:17" x14ac:dyDescent="0.25">
      <c r="A204" s="1">
        <v>39741</v>
      </c>
      <c r="B204">
        <v>25.22</v>
      </c>
      <c r="C204">
        <v>25.68</v>
      </c>
      <c r="D204">
        <v>26.54</v>
      </c>
      <c r="E204">
        <v>23.63</v>
      </c>
      <c r="F204">
        <v>23.85</v>
      </c>
      <c r="G204">
        <v>24.07</v>
      </c>
      <c r="H204">
        <v>19.48</v>
      </c>
      <c r="I204">
        <v>19.53</v>
      </c>
      <c r="J204">
        <v>19.579999999999998</v>
      </c>
      <c r="K204">
        <v>26.41</v>
      </c>
      <c r="L204">
        <v>26.5</v>
      </c>
      <c r="M204">
        <v>26.6</v>
      </c>
      <c r="O204">
        <f>SUMIF(historia4[[#This Row],[A]:[L]],"&gt;33",historia4[[#This Row],[A]:[L]])</f>
        <v>0</v>
      </c>
      <c r="P204">
        <f>SUM(historia4[[#This Row],[A]:[L]])</f>
        <v>287.09000000000003</v>
      </c>
      <c r="Q204">
        <f t="shared" si="4"/>
        <v>0</v>
      </c>
    </row>
    <row r="205" spans="1:17" x14ac:dyDescent="0.25">
      <c r="A205" s="1">
        <v>39742</v>
      </c>
      <c r="B205">
        <v>25.38</v>
      </c>
      <c r="C205">
        <v>25.84</v>
      </c>
      <c r="D205">
        <v>26.7</v>
      </c>
      <c r="E205">
        <v>23.64</v>
      </c>
      <c r="F205">
        <v>23.85</v>
      </c>
      <c r="G205">
        <v>24.07</v>
      </c>
      <c r="H205">
        <v>19.59</v>
      </c>
      <c r="I205">
        <v>19.64</v>
      </c>
      <c r="J205">
        <v>19.690000000000001</v>
      </c>
      <c r="K205">
        <v>26.77</v>
      </c>
      <c r="L205">
        <v>26.88</v>
      </c>
      <c r="M205">
        <v>26.98</v>
      </c>
      <c r="O205">
        <f>SUMIF(historia4[[#This Row],[A]:[L]],"&gt;33",historia4[[#This Row],[A]:[L]])</f>
        <v>0</v>
      </c>
      <c r="P205">
        <f>SUM(historia4[[#This Row],[A]:[L]])</f>
        <v>289.03000000000003</v>
      </c>
      <c r="Q205">
        <f t="shared" si="4"/>
        <v>0</v>
      </c>
    </row>
    <row r="206" spans="1:17" x14ac:dyDescent="0.25">
      <c r="A206" s="1">
        <v>39743</v>
      </c>
      <c r="B206">
        <v>24.09</v>
      </c>
      <c r="C206">
        <v>24.52</v>
      </c>
      <c r="D206">
        <v>25.34</v>
      </c>
      <c r="E206">
        <v>22.69</v>
      </c>
      <c r="F206">
        <v>22.9</v>
      </c>
      <c r="G206">
        <v>23.11</v>
      </c>
      <c r="H206">
        <v>18.71</v>
      </c>
      <c r="I206">
        <v>18.75</v>
      </c>
      <c r="J206">
        <v>18.8</v>
      </c>
      <c r="K206">
        <v>25.49</v>
      </c>
      <c r="L206">
        <v>25.59</v>
      </c>
      <c r="M206">
        <v>25.68</v>
      </c>
      <c r="O206">
        <f>SUMIF(historia4[[#This Row],[A]:[L]],"&gt;33",historia4[[#This Row],[A]:[L]])</f>
        <v>0</v>
      </c>
      <c r="P206">
        <f>SUM(historia4[[#This Row],[A]:[L]])</f>
        <v>275.67</v>
      </c>
      <c r="Q206">
        <f t="shared" si="4"/>
        <v>0</v>
      </c>
    </row>
    <row r="207" spans="1:17" x14ac:dyDescent="0.25">
      <c r="A207" s="1">
        <v>39744</v>
      </c>
      <c r="B207">
        <v>23.59</v>
      </c>
      <c r="C207">
        <v>24.02</v>
      </c>
      <c r="D207">
        <v>24.82</v>
      </c>
      <c r="E207">
        <v>22.45</v>
      </c>
      <c r="F207">
        <v>22.65</v>
      </c>
      <c r="G207">
        <v>22.86</v>
      </c>
      <c r="H207">
        <v>18.34</v>
      </c>
      <c r="I207">
        <v>18.39</v>
      </c>
      <c r="J207">
        <v>18.43</v>
      </c>
      <c r="K207">
        <v>25.39</v>
      </c>
      <c r="L207">
        <v>25.48</v>
      </c>
      <c r="M207">
        <v>25.58</v>
      </c>
      <c r="O207">
        <f>SUMIF(historia4[[#This Row],[A]:[L]],"&gt;33",historia4[[#This Row],[A]:[L]])</f>
        <v>0</v>
      </c>
      <c r="P207">
        <f>SUM(historia4[[#This Row],[A]:[L]])</f>
        <v>272</v>
      </c>
      <c r="Q207">
        <f t="shared" si="4"/>
        <v>0</v>
      </c>
    </row>
    <row r="208" spans="1:17" x14ac:dyDescent="0.25">
      <c r="A208" s="1">
        <v>39745</v>
      </c>
      <c r="B208">
        <v>23.07</v>
      </c>
      <c r="C208">
        <v>23.49</v>
      </c>
      <c r="D208">
        <v>24.28</v>
      </c>
      <c r="E208">
        <v>22</v>
      </c>
      <c r="F208">
        <v>22.2</v>
      </c>
      <c r="G208">
        <v>22.41</v>
      </c>
      <c r="H208">
        <v>17.84</v>
      </c>
      <c r="I208">
        <v>17.88</v>
      </c>
      <c r="J208">
        <v>17.93</v>
      </c>
      <c r="K208">
        <v>24.91</v>
      </c>
      <c r="L208">
        <v>25.01</v>
      </c>
      <c r="M208">
        <v>25.1</v>
      </c>
      <c r="O208">
        <f>SUMIF(historia4[[#This Row],[A]:[L]],"&gt;33",historia4[[#This Row],[A]:[L]])</f>
        <v>0</v>
      </c>
      <c r="P208">
        <f>SUM(historia4[[#This Row],[A]:[L]])</f>
        <v>266.12</v>
      </c>
      <c r="Q208">
        <f t="shared" si="4"/>
        <v>0</v>
      </c>
    </row>
    <row r="209" spans="1:17" x14ac:dyDescent="0.25">
      <c r="A209" s="1">
        <v>39748</v>
      </c>
      <c r="B209">
        <v>22.24</v>
      </c>
      <c r="C209">
        <v>22.64</v>
      </c>
      <c r="D209">
        <v>23.4</v>
      </c>
      <c r="E209">
        <v>20.99</v>
      </c>
      <c r="F209">
        <v>21.18</v>
      </c>
      <c r="G209">
        <v>21.38</v>
      </c>
      <c r="H209">
        <v>17.350000000000001</v>
      </c>
      <c r="I209">
        <v>17.39</v>
      </c>
      <c r="J209">
        <v>17.43</v>
      </c>
      <c r="K209">
        <v>22.48</v>
      </c>
      <c r="L209">
        <v>22.57</v>
      </c>
      <c r="M209">
        <v>22.65</v>
      </c>
      <c r="O209">
        <f>SUMIF(historia4[[#This Row],[A]:[L]],"&gt;33",historia4[[#This Row],[A]:[L]])</f>
        <v>0</v>
      </c>
      <c r="P209">
        <f>SUM(historia4[[#This Row],[A]:[L]])</f>
        <v>251.7</v>
      </c>
      <c r="Q209">
        <f t="shared" si="4"/>
        <v>0</v>
      </c>
    </row>
    <row r="210" spans="1:17" x14ac:dyDescent="0.25">
      <c r="A210" s="1">
        <v>39749</v>
      </c>
      <c r="B210">
        <v>22.53</v>
      </c>
      <c r="C210">
        <v>22.94</v>
      </c>
      <c r="D210">
        <v>23.7</v>
      </c>
      <c r="E210">
        <v>21.52</v>
      </c>
      <c r="F210">
        <v>21.72</v>
      </c>
      <c r="G210">
        <v>21.92</v>
      </c>
      <c r="H210">
        <v>17.77</v>
      </c>
      <c r="I210">
        <v>17.82</v>
      </c>
      <c r="J210">
        <v>17.86</v>
      </c>
      <c r="K210">
        <v>22.48</v>
      </c>
      <c r="L210">
        <v>22.57</v>
      </c>
      <c r="M210">
        <v>22.65</v>
      </c>
      <c r="O210">
        <f>SUMIF(historia4[[#This Row],[A]:[L]],"&gt;33",historia4[[#This Row],[A]:[L]])</f>
        <v>0</v>
      </c>
      <c r="P210">
        <f>SUM(historia4[[#This Row],[A]:[L]])</f>
        <v>255.47999999999996</v>
      </c>
      <c r="Q210">
        <f t="shared" si="4"/>
        <v>0</v>
      </c>
    </row>
    <row r="211" spans="1:17" x14ac:dyDescent="0.25">
      <c r="A211" s="1">
        <v>39750</v>
      </c>
      <c r="B211">
        <v>23.68</v>
      </c>
      <c r="C211">
        <v>24.11</v>
      </c>
      <c r="D211">
        <v>24.91</v>
      </c>
      <c r="E211">
        <v>22.17</v>
      </c>
      <c r="F211">
        <v>22.37</v>
      </c>
      <c r="G211">
        <v>22.58</v>
      </c>
      <c r="H211">
        <v>18.13</v>
      </c>
      <c r="I211">
        <v>18.18</v>
      </c>
      <c r="J211">
        <v>18.22</v>
      </c>
      <c r="K211">
        <v>23.7</v>
      </c>
      <c r="L211">
        <v>23.79</v>
      </c>
      <c r="M211">
        <v>23.88</v>
      </c>
      <c r="O211">
        <f>SUMIF(historia4[[#This Row],[A]:[L]],"&gt;33",historia4[[#This Row],[A]:[L]])</f>
        <v>0</v>
      </c>
      <c r="P211">
        <f>SUM(historia4[[#This Row],[A]:[L]])</f>
        <v>265.71999999999997</v>
      </c>
      <c r="Q211">
        <f t="shared" si="4"/>
        <v>0</v>
      </c>
    </row>
    <row r="212" spans="1:17" x14ac:dyDescent="0.25">
      <c r="A212" s="1">
        <v>39751</v>
      </c>
      <c r="B212">
        <v>24.22</v>
      </c>
      <c r="C212">
        <v>24.66</v>
      </c>
      <c r="D212">
        <v>25.49</v>
      </c>
      <c r="E212">
        <v>23.16</v>
      </c>
      <c r="F212">
        <v>23.37</v>
      </c>
      <c r="G212">
        <v>23.59</v>
      </c>
      <c r="H212">
        <v>18.940000000000001</v>
      </c>
      <c r="I212">
        <v>18.989999999999998</v>
      </c>
      <c r="J212">
        <v>19.03</v>
      </c>
      <c r="K212">
        <v>24.66</v>
      </c>
      <c r="L212">
        <v>24.75</v>
      </c>
      <c r="M212">
        <v>24.85</v>
      </c>
      <c r="O212">
        <f>SUMIF(historia4[[#This Row],[A]:[L]],"&gt;33",historia4[[#This Row],[A]:[L]])</f>
        <v>0</v>
      </c>
      <c r="P212">
        <f>SUM(historia4[[#This Row],[A]:[L]])</f>
        <v>275.70999999999998</v>
      </c>
      <c r="Q212">
        <f t="shared" si="4"/>
        <v>0</v>
      </c>
    </row>
    <row r="213" spans="1:17" x14ac:dyDescent="0.25">
      <c r="A213" s="1">
        <v>39752</v>
      </c>
      <c r="B213">
        <v>24.82</v>
      </c>
      <c r="C213">
        <v>25.27</v>
      </c>
      <c r="D213">
        <v>26.11</v>
      </c>
      <c r="E213">
        <v>23.77</v>
      </c>
      <c r="F213">
        <v>23.99</v>
      </c>
      <c r="G213">
        <v>24.22</v>
      </c>
      <c r="H213">
        <v>19.649999999999999</v>
      </c>
      <c r="I213">
        <v>19.7</v>
      </c>
      <c r="J213">
        <v>19.75</v>
      </c>
      <c r="K213">
        <v>25.98</v>
      </c>
      <c r="L213">
        <v>26.09</v>
      </c>
      <c r="M213">
        <v>26.19</v>
      </c>
      <c r="O213">
        <f>SUMIF(historia4[[#This Row],[A]:[L]],"&gt;33",historia4[[#This Row],[A]:[L]])</f>
        <v>0</v>
      </c>
      <c r="P213">
        <f>SUM(historia4[[#This Row],[A]:[L]])</f>
        <v>285.53999999999996</v>
      </c>
      <c r="Q213">
        <f t="shared" si="4"/>
        <v>0</v>
      </c>
    </row>
    <row r="214" spans="1:17" x14ac:dyDescent="0.25">
      <c r="A214" s="1">
        <v>39755</v>
      </c>
      <c r="B214">
        <v>25.05</v>
      </c>
      <c r="C214">
        <v>25.5</v>
      </c>
      <c r="D214">
        <v>26.36</v>
      </c>
      <c r="E214">
        <v>24</v>
      </c>
      <c r="F214">
        <v>24.23</v>
      </c>
      <c r="G214">
        <v>24.45</v>
      </c>
      <c r="H214">
        <v>19.87</v>
      </c>
      <c r="I214">
        <v>19.920000000000002</v>
      </c>
      <c r="J214">
        <v>19.97</v>
      </c>
      <c r="K214">
        <v>26.01</v>
      </c>
      <c r="L214">
        <v>26.11</v>
      </c>
      <c r="M214">
        <v>26.22</v>
      </c>
      <c r="O214">
        <f>SUMIF(historia4[[#This Row],[A]:[L]],"&gt;33",historia4[[#This Row],[A]:[L]])</f>
        <v>0</v>
      </c>
      <c r="P214">
        <f>SUM(historia4[[#This Row],[A]:[L]])</f>
        <v>287.68999999999994</v>
      </c>
      <c r="Q214">
        <f t="shared" si="4"/>
        <v>0</v>
      </c>
    </row>
    <row r="215" spans="1:17" x14ac:dyDescent="0.25">
      <c r="A215" s="1">
        <v>39756</v>
      </c>
      <c r="B215">
        <v>26.31</v>
      </c>
      <c r="C215">
        <v>26.8</v>
      </c>
      <c r="D215">
        <v>27.69</v>
      </c>
      <c r="E215">
        <v>25.46</v>
      </c>
      <c r="F215">
        <v>25.69</v>
      </c>
      <c r="G215">
        <v>25.93</v>
      </c>
      <c r="H215">
        <v>21.15</v>
      </c>
      <c r="I215">
        <v>21.2</v>
      </c>
      <c r="J215">
        <v>21.26</v>
      </c>
      <c r="K215">
        <v>28.23</v>
      </c>
      <c r="L215">
        <v>28.34</v>
      </c>
      <c r="M215">
        <v>28.45</v>
      </c>
      <c r="O215">
        <f>SUMIF(historia4[[#This Row],[A]:[L]],"&gt;33",historia4[[#This Row],[A]:[L]])</f>
        <v>0</v>
      </c>
      <c r="P215">
        <f>SUM(historia4[[#This Row],[A]:[L]])</f>
        <v>306.50999999999993</v>
      </c>
      <c r="Q215">
        <f t="shared" si="4"/>
        <v>0</v>
      </c>
    </row>
    <row r="216" spans="1:17" x14ac:dyDescent="0.25">
      <c r="A216" s="1">
        <v>39757</v>
      </c>
      <c r="B216">
        <v>25.61</v>
      </c>
      <c r="C216">
        <v>26.08</v>
      </c>
      <c r="D216">
        <v>26.96</v>
      </c>
      <c r="E216">
        <v>24.19</v>
      </c>
      <c r="F216">
        <v>24.42</v>
      </c>
      <c r="G216">
        <v>24.64</v>
      </c>
      <c r="H216">
        <v>20.04</v>
      </c>
      <c r="I216">
        <v>20.09</v>
      </c>
      <c r="J216">
        <v>20.14</v>
      </c>
      <c r="K216">
        <v>26.84</v>
      </c>
      <c r="L216">
        <v>26.95</v>
      </c>
      <c r="M216">
        <v>27.06</v>
      </c>
      <c r="O216">
        <f>SUMIF(historia4[[#This Row],[A]:[L]],"&gt;33",historia4[[#This Row],[A]:[L]])</f>
        <v>0</v>
      </c>
      <c r="P216">
        <f>SUM(historia4[[#This Row],[A]:[L]])</f>
        <v>293.02000000000004</v>
      </c>
      <c r="Q216">
        <f t="shared" si="4"/>
        <v>0</v>
      </c>
    </row>
    <row r="217" spans="1:17" x14ac:dyDescent="0.25">
      <c r="A217" s="1">
        <v>39758</v>
      </c>
      <c r="B217">
        <v>24.83</v>
      </c>
      <c r="C217">
        <v>25.28</v>
      </c>
      <c r="D217">
        <v>26.13</v>
      </c>
      <c r="E217">
        <v>23.28</v>
      </c>
      <c r="F217">
        <v>23.5</v>
      </c>
      <c r="G217">
        <v>23.72</v>
      </c>
      <c r="H217">
        <v>19.440000000000001</v>
      </c>
      <c r="I217">
        <v>19.489999999999998</v>
      </c>
      <c r="J217">
        <v>19.54</v>
      </c>
      <c r="K217">
        <v>24.99</v>
      </c>
      <c r="L217">
        <v>25.09</v>
      </c>
      <c r="M217">
        <v>25.19</v>
      </c>
      <c r="O217">
        <f>SUMIF(historia4[[#This Row],[A]:[L]],"&gt;33",historia4[[#This Row],[A]:[L]])</f>
        <v>0</v>
      </c>
      <c r="P217">
        <f>SUM(historia4[[#This Row],[A]:[L]])</f>
        <v>280.48</v>
      </c>
      <c r="Q217">
        <f t="shared" si="4"/>
        <v>0</v>
      </c>
    </row>
    <row r="218" spans="1:17" x14ac:dyDescent="0.25">
      <c r="A218" s="1">
        <v>39759</v>
      </c>
      <c r="B218">
        <v>25.21</v>
      </c>
      <c r="C218">
        <v>25.68</v>
      </c>
      <c r="D218">
        <v>26.54</v>
      </c>
      <c r="E218">
        <v>23.71</v>
      </c>
      <c r="F218">
        <v>23.93</v>
      </c>
      <c r="G218">
        <v>24.15</v>
      </c>
      <c r="H218">
        <v>19.7</v>
      </c>
      <c r="I218">
        <v>19.75</v>
      </c>
      <c r="J218">
        <v>19.8</v>
      </c>
      <c r="K218">
        <v>26.01</v>
      </c>
      <c r="L218">
        <v>26.12</v>
      </c>
      <c r="M218">
        <v>26.22</v>
      </c>
      <c r="O218">
        <f>SUMIF(historia4[[#This Row],[A]:[L]],"&gt;33",historia4[[#This Row],[A]:[L]])</f>
        <v>0</v>
      </c>
      <c r="P218">
        <f>SUM(historia4[[#This Row],[A]:[L]])</f>
        <v>286.82000000000005</v>
      </c>
      <c r="Q218">
        <f t="shared" si="4"/>
        <v>0</v>
      </c>
    </row>
    <row r="219" spans="1:17" x14ac:dyDescent="0.25">
      <c r="A219" s="1">
        <v>39762</v>
      </c>
      <c r="B219">
        <v>25.28</v>
      </c>
      <c r="C219">
        <v>25.75</v>
      </c>
      <c r="D219">
        <v>26.61</v>
      </c>
      <c r="E219">
        <v>23.46</v>
      </c>
      <c r="F219">
        <v>23.68</v>
      </c>
      <c r="G219">
        <v>23.9</v>
      </c>
      <c r="H219">
        <v>19.53</v>
      </c>
      <c r="I219">
        <v>19.579999999999998</v>
      </c>
      <c r="J219">
        <v>19.63</v>
      </c>
      <c r="K219">
        <v>26.58</v>
      </c>
      <c r="L219">
        <v>26.69</v>
      </c>
      <c r="M219">
        <v>26.8</v>
      </c>
      <c r="O219">
        <f>SUMIF(historia4[[#This Row],[A]:[L]],"&gt;33",historia4[[#This Row],[A]:[L]])</f>
        <v>0</v>
      </c>
      <c r="P219">
        <f>SUM(historia4[[#This Row],[A]:[L]])</f>
        <v>287.49</v>
      </c>
      <c r="Q219">
        <f t="shared" si="4"/>
        <v>0</v>
      </c>
    </row>
    <row r="220" spans="1:17" x14ac:dyDescent="0.25">
      <c r="A220" s="1">
        <v>39764</v>
      </c>
      <c r="B220">
        <v>24.23</v>
      </c>
      <c r="C220">
        <v>24.68</v>
      </c>
      <c r="D220">
        <v>25.51</v>
      </c>
      <c r="E220">
        <v>21.59</v>
      </c>
      <c r="F220">
        <v>21.79</v>
      </c>
      <c r="G220">
        <v>22</v>
      </c>
      <c r="H220">
        <v>18.350000000000001</v>
      </c>
      <c r="I220">
        <v>18.399999999999999</v>
      </c>
      <c r="J220">
        <v>18.440000000000001</v>
      </c>
      <c r="K220">
        <v>24.26</v>
      </c>
      <c r="L220">
        <v>24.35</v>
      </c>
      <c r="M220">
        <v>24.45</v>
      </c>
      <c r="O220">
        <f>SUMIF(historia4[[#This Row],[A]:[L]],"&gt;33",historia4[[#This Row],[A]:[L]])</f>
        <v>0</v>
      </c>
      <c r="P220">
        <f>SUM(historia4[[#This Row],[A]:[L]])</f>
        <v>268.05</v>
      </c>
      <c r="Q220">
        <f t="shared" si="4"/>
        <v>0</v>
      </c>
    </row>
    <row r="221" spans="1:17" x14ac:dyDescent="0.25">
      <c r="A221" s="1">
        <v>39765</v>
      </c>
      <c r="B221">
        <v>23.23</v>
      </c>
      <c r="C221">
        <v>23.66</v>
      </c>
      <c r="D221">
        <v>24.46</v>
      </c>
      <c r="E221">
        <v>20.93</v>
      </c>
      <c r="F221">
        <v>21.13</v>
      </c>
      <c r="G221">
        <v>21.33</v>
      </c>
      <c r="H221">
        <v>17.850000000000001</v>
      </c>
      <c r="I221">
        <v>17.899999999999999</v>
      </c>
      <c r="J221">
        <v>17.95</v>
      </c>
      <c r="K221">
        <v>24.49</v>
      </c>
      <c r="L221">
        <v>24.59</v>
      </c>
      <c r="M221">
        <v>24.69</v>
      </c>
      <c r="O221">
        <f>SUMIF(historia4[[#This Row],[A]:[L]],"&gt;33",historia4[[#This Row],[A]:[L]])</f>
        <v>0</v>
      </c>
      <c r="P221">
        <f>SUM(historia4[[#This Row],[A]:[L]])</f>
        <v>262.21000000000004</v>
      </c>
      <c r="Q221">
        <f t="shared" si="4"/>
        <v>0</v>
      </c>
    </row>
    <row r="222" spans="1:17" x14ac:dyDescent="0.25">
      <c r="A222" s="1">
        <v>39766</v>
      </c>
      <c r="B222">
        <v>23.54</v>
      </c>
      <c r="C222">
        <v>23.98</v>
      </c>
      <c r="D222">
        <v>24.78</v>
      </c>
      <c r="E222">
        <v>21.25</v>
      </c>
      <c r="F222">
        <v>21.45</v>
      </c>
      <c r="G222">
        <v>21.65</v>
      </c>
      <c r="H222">
        <v>18.18</v>
      </c>
      <c r="I222">
        <v>18.22</v>
      </c>
      <c r="J222">
        <v>18.27</v>
      </c>
      <c r="K222">
        <v>24.12</v>
      </c>
      <c r="L222">
        <v>24.21</v>
      </c>
      <c r="M222">
        <v>24.31</v>
      </c>
      <c r="O222">
        <f>SUMIF(historia4[[#This Row],[A]:[L]],"&gt;33",historia4[[#This Row],[A]:[L]])</f>
        <v>0</v>
      </c>
      <c r="P222">
        <f>SUM(historia4[[#This Row],[A]:[L]])</f>
        <v>263.96000000000004</v>
      </c>
      <c r="Q222">
        <f t="shared" si="4"/>
        <v>0</v>
      </c>
    </row>
    <row r="223" spans="1:17" x14ac:dyDescent="0.25">
      <c r="A223" s="1">
        <v>39769</v>
      </c>
      <c r="B223">
        <v>22.82</v>
      </c>
      <c r="C223">
        <v>23.25</v>
      </c>
      <c r="D223">
        <v>24.03</v>
      </c>
      <c r="E223">
        <v>20.78</v>
      </c>
      <c r="F223">
        <v>20.97</v>
      </c>
      <c r="G223">
        <v>21.17</v>
      </c>
      <c r="H223">
        <v>17.510000000000002</v>
      </c>
      <c r="I223">
        <v>17.559999999999999</v>
      </c>
      <c r="J223">
        <v>17.61</v>
      </c>
      <c r="K223">
        <v>23.76</v>
      </c>
      <c r="L223">
        <v>23.86</v>
      </c>
      <c r="M223">
        <v>23.96</v>
      </c>
      <c r="O223">
        <f>SUMIF(historia4[[#This Row],[A]:[L]],"&gt;33",historia4[[#This Row],[A]:[L]])</f>
        <v>0</v>
      </c>
      <c r="P223">
        <f>SUM(historia4[[#This Row],[A]:[L]])</f>
        <v>257.27999999999997</v>
      </c>
      <c r="Q223">
        <f t="shared" si="4"/>
        <v>0</v>
      </c>
    </row>
    <row r="224" spans="1:17" x14ac:dyDescent="0.25">
      <c r="A224" s="1">
        <v>39770</v>
      </c>
      <c r="B224">
        <v>22.32</v>
      </c>
      <c r="C224">
        <v>22.73</v>
      </c>
      <c r="D224">
        <v>23.49</v>
      </c>
      <c r="E224">
        <v>20.6</v>
      </c>
      <c r="F224">
        <v>20.79</v>
      </c>
      <c r="G224">
        <v>20.99</v>
      </c>
      <c r="H224">
        <v>17.489999999999998</v>
      </c>
      <c r="I224">
        <v>17.53</v>
      </c>
      <c r="J224">
        <v>17.579999999999998</v>
      </c>
      <c r="K224">
        <v>23.86</v>
      </c>
      <c r="L224">
        <v>23.96</v>
      </c>
      <c r="M224">
        <v>24.05</v>
      </c>
      <c r="O224">
        <f>SUMIF(historia4[[#This Row],[A]:[L]],"&gt;33",historia4[[#This Row],[A]:[L]])</f>
        <v>0</v>
      </c>
      <c r="P224">
        <f>SUM(historia4[[#This Row],[A]:[L]])</f>
        <v>255.39000000000001</v>
      </c>
      <c r="Q224">
        <f t="shared" si="4"/>
        <v>0</v>
      </c>
    </row>
    <row r="225" spans="1:17" x14ac:dyDescent="0.25">
      <c r="A225" s="1">
        <v>39771</v>
      </c>
      <c r="B225">
        <v>21.88</v>
      </c>
      <c r="C225">
        <v>22.29</v>
      </c>
      <c r="D225">
        <v>23.04</v>
      </c>
      <c r="E225">
        <v>19.579999999999998</v>
      </c>
      <c r="F225">
        <v>19.77</v>
      </c>
      <c r="G225">
        <v>19.96</v>
      </c>
      <c r="H225">
        <v>16.64</v>
      </c>
      <c r="I225">
        <v>16.690000000000001</v>
      </c>
      <c r="J225">
        <v>16.73</v>
      </c>
      <c r="K225">
        <v>22.15</v>
      </c>
      <c r="L225">
        <v>22.24</v>
      </c>
      <c r="M225">
        <v>22.34</v>
      </c>
      <c r="O225">
        <f>SUMIF(historia4[[#This Row],[A]:[L]],"&gt;33",historia4[[#This Row],[A]:[L]])</f>
        <v>0</v>
      </c>
      <c r="P225">
        <f>SUM(historia4[[#This Row],[A]:[L]])</f>
        <v>243.31000000000003</v>
      </c>
      <c r="Q225">
        <f t="shared" si="4"/>
        <v>0</v>
      </c>
    </row>
    <row r="226" spans="1:17" x14ac:dyDescent="0.25">
      <c r="A226" s="1">
        <v>39772</v>
      </c>
      <c r="B226">
        <v>20.82</v>
      </c>
      <c r="C226">
        <v>21.21</v>
      </c>
      <c r="D226">
        <v>21.92</v>
      </c>
      <c r="E226">
        <v>18.760000000000002</v>
      </c>
      <c r="F226">
        <v>18.940000000000001</v>
      </c>
      <c r="G226">
        <v>19.12</v>
      </c>
      <c r="H226">
        <v>16.04</v>
      </c>
      <c r="I226">
        <v>16.079999999999998</v>
      </c>
      <c r="J226">
        <v>16.12</v>
      </c>
      <c r="K226">
        <v>20.62</v>
      </c>
      <c r="L226">
        <v>20.71</v>
      </c>
      <c r="M226">
        <v>20.8</v>
      </c>
      <c r="O226">
        <f>SUMIF(historia4[[#This Row],[A]:[L]],"&gt;33",historia4[[#This Row],[A]:[L]])</f>
        <v>0</v>
      </c>
      <c r="P226">
        <f>SUM(historia4[[#This Row],[A]:[L]])</f>
        <v>231.14000000000001</v>
      </c>
      <c r="Q226">
        <f t="shared" si="4"/>
        <v>0</v>
      </c>
    </row>
    <row r="227" spans="1:17" x14ac:dyDescent="0.25">
      <c r="A227" s="1">
        <v>39773</v>
      </c>
      <c r="B227">
        <v>21.17</v>
      </c>
      <c r="C227">
        <v>21.57</v>
      </c>
      <c r="D227">
        <v>22.29</v>
      </c>
      <c r="E227">
        <v>18.97</v>
      </c>
      <c r="F227">
        <v>19.149999999999999</v>
      </c>
      <c r="G227">
        <v>19.329999999999998</v>
      </c>
      <c r="H227">
        <v>16.309999999999999</v>
      </c>
      <c r="I227">
        <v>16.350000000000001</v>
      </c>
      <c r="J227">
        <v>16.39</v>
      </c>
      <c r="K227">
        <v>20.329999999999998</v>
      </c>
      <c r="L227">
        <v>20.41</v>
      </c>
      <c r="M227">
        <v>20.5</v>
      </c>
      <c r="O227">
        <f>SUMIF(historia4[[#This Row],[A]:[L]],"&gt;33",historia4[[#This Row],[A]:[L]])</f>
        <v>0</v>
      </c>
      <c r="P227">
        <f>SUM(historia4[[#This Row],[A]:[L]])</f>
        <v>232.76999999999995</v>
      </c>
      <c r="Q227">
        <f t="shared" si="4"/>
        <v>0</v>
      </c>
    </row>
    <row r="228" spans="1:17" x14ac:dyDescent="0.25">
      <c r="A228" s="1">
        <v>39776</v>
      </c>
      <c r="B228">
        <v>22.57</v>
      </c>
      <c r="C228">
        <v>22.99</v>
      </c>
      <c r="D228">
        <v>23.77</v>
      </c>
      <c r="E228">
        <v>21.12</v>
      </c>
      <c r="F228">
        <v>21.32</v>
      </c>
      <c r="G228">
        <v>21.53</v>
      </c>
      <c r="H228">
        <v>18.12</v>
      </c>
      <c r="I228">
        <v>18.170000000000002</v>
      </c>
      <c r="J228">
        <v>18.21</v>
      </c>
      <c r="K228">
        <v>22.54</v>
      </c>
      <c r="L228">
        <v>22.64</v>
      </c>
      <c r="M228">
        <v>22.74</v>
      </c>
      <c r="O228">
        <f>SUMIF(historia4[[#This Row],[A]:[L]],"&gt;33",historia4[[#This Row],[A]:[L]])</f>
        <v>0</v>
      </c>
      <c r="P228">
        <f>SUM(historia4[[#This Row],[A]:[L]])</f>
        <v>255.72000000000003</v>
      </c>
      <c r="Q228">
        <f t="shared" si="4"/>
        <v>0</v>
      </c>
    </row>
    <row r="229" spans="1:17" x14ac:dyDescent="0.25">
      <c r="A229" s="1">
        <v>39777</v>
      </c>
      <c r="B229">
        <v>22.78</v>
      </c>
      <c r="C229">
        <v>23.21</v>
      </c>
      <c r="D229">
        <v>23.99</v>
      </c>
      <c r="E229">
        <v>21.58</v>
      </c>
      <c r="F229">
        <v>21.79</v>
      </c>
      <c r="G229">
        <v>22</v>
      </c>
      <c r="H229">
        <v>18.2</v>
      </c>
      <c r="I229">
        <v>18.239999999999998</v>
      </c>
      <c r="J229">
        <v>18.29</v>
      </c>
      <c r="K229">
        <v>23.11</v>
      </c>
      <c r="L229">
        <v>23.21</v>
      </c>
      <c r="M229">
        <v>23.31</v>
      </c>
      <c r="O229">
        <f>SUMIF(historia4[[#This Row],[A]:[L]],"&gt;33",historia4[[#This Row],[A]:[L]])</f>
        <v>0</v>
      </c>
      <c r="P229">
        <f>SUM(historia4[[#This Row],[A]:[L]])</f>
        <v>259.70999999999998</v>
      </c>
      <c r="Q229">
        <f t="shared" si="4"/>
        <v>0</v>
      </c>
    </row>
    <row r="230" spans="1:17" x14ac:dyDescent="0.25">
      <c r="A230" s="1">
        <v>39778</v>
      </c>
      <c r="B230">
        <v>22.81</v>
      </c>
      <c r="C230">
        <v>23.23</v>
      </c>
      <c r="D230">
        <v>24.02</v>
      </c>
      <c r="E230">
        <v>21.23</v>
      </c>
      <c r="F230">
        <v>21.44</v>
      </c>
      <c r="G230">
        <v>21.64</v>
      </c>
      <c r="H230">
        <v>17.93</v>
      </c>
      <c r="I230">
        <v>17.98</v>
      </c>
      <c r="J230">
        <v>18.03</v>
      </c>
      <c r="K230">
        <v>23.49</v>
      </c>
      <c r="L230">
        <v>23.59</v>
      </c>
      <c r="M230">
        <v>23.69</v>
      </c>
      <c r="O230">
        <f>SUMIF(historia4[[#This Row],[A]:[L]],"&gt;33",historia4[[#This Row],[A]:[L]])</f>
        <v>0</v>
      </c>
      <c r="P230">
        <f>SUM(historia4[[#This Row],[A]:[L]])</f>
        <v>259.08000000000004</v>
      </c>
      <c r="Q230">
        <f t="shared" si="4"/>
        <v>0</v>
      </c>
    </row>
    <row r="231" spans="1:17" x14ac:dyDescent="0.25">
      <c r="A231" s="1">
        <v>39779</v>
      </c>
      <c r="B231">
        <v>23.21</v>
      </c>
      <c r="C231">
        <v>23.64</v>
      </c>
      <c r="D231">
        <v>24.44</v>
      </c>
      <c r="E231">
        <v>22.03</v>
      </c>
      <c r="F231">
        <v>22.24</v>
      </c>
      <c r="G231">
        <v>22.45</v>
      </c>
      <c r="H231">
        <v>18.45</v>
      </c>
      <c r="I231">
        <v>18.5</v>
      </c>
      <c r="J231">
        <v>18.55</v>
      </c>
      <c r="K231">
        <v>24.2</v>
      </c>
      <c r="L231">
        <v>24.31</v>
      </c>
      <c r="M231">
        <v>24.41</v>
      </c>
      <c r="O231">
        <f>SUMIF(historia4[[#This Row],[A]:[L]],"&gt;33",historia4[[#This Row],[A]:[L]])</f>
        <v>0</v>
      </c>
      <c r="P231">
        <f>SUM(historia4[[#This Row],[A]:[L]])</f>
        <v>266.43</v>
      </c>
      <c r="Q231">
        <f t="shared" si="4"/>
        <v>0</v>
      </c>
    </row>
    <row r="232" spans="1:17" x14ac:dyDescent="0.25">
      <c r="A232" s="1">
        <v>39780</v>
      </c>
      <c r="B232">
        <v>23.12</v>
      </c>
      <c r="C232">
        <v>23.55</v>
      </c>
      <c r="D232">
        <v>24.35</v>
      </c>
      <c r="E232">
        <v>22.2</v>
      </c>
      <c r="F232">
        <v>22.42</v>
      </c>
      <c r="G232">
        <v>22.63</v>
      </c>
      <c r="H232">
        <v>18.489999999999998</v>
      </c>
      <c r="I232">
        <v>18.54</v>
      </c>
      <c r="J232">
        <v>18.59</v>
      </c>
      <c r="K232">
        <v>24.25</v>
      </c>
      <c r="L232">
        <v>24.35</v>
      </c>
      <c r="M232">
        <v>24.45</v>
      </c>
      <c r="O232">
        <f>SUMIF(historia4[[#This Row],[A]:[L]],"&gt;33",historia4[[#This Row],[A]:[L]])</f>
        <v>0</v>
      </c>
      <c r="P232">
        <f>SUM(historia4[[#This Row],[A]:[L]])</f>
        <v>266.94</v>
      </c>
      <c r="Q232">
        <f t="shared" si="4"/>
        <v>0</v>
      </c>
    </row>
    <row r="233" spans="1:17" x14ac:dyDescent="0.25">
      <c r="A233" s="1">
        <v>39783</v>
      </c>
      <c r="B233">
        <v>22.23</v>
      </c>
      <c r="C233">
        <v>22.64</v>
      </c>
      <c r="D233">
        <v>23.41</v>
      </c>
      <c r="E233">
        <v>21.45</v>
      </c>
      <c r="F233">
        <v>21.66</v>
      </c>
      <c r="G233">
        <v>21.87</v>
      </c>
      <c r="H233">
        <v>17.91</v>
      </c>
      <c r="I233">
        <v>17.96</v>
      </c>
      <c r="J233">
        <v>18.010000000000002</v>
      </c>
      <c r="K233">
        <v>22.51</v>
      </c>
      <c r="L233">
        <v>22.61</v>
      </c>
      <c r="M233">
        <v>22.71</v>
      </c>
      <c r="O233">
        <f>SUMIF(historia4[[#This Row],[A]:[L]],"&gt;33",historia4[[#This Row],[A]:[L]])</f>
        <v>0</v>
      </c>
      <c r="P233">
        <f>SUM(historia4[[#This Row],[A]:[L]])</f>
        <v>254.97</v>
      </c>
      <c r="Q233">
        <f t="shared" si="4"/>
        <v>0</v>
      </c>
    </row>
    <row r="234" spans="1:17" x14ac:dyDescent="0.25">
      <c r="A234" s="1">
        <v>39784</v>
      </c>
      <c r="B234">
        <v>22.35</v>
      </c>
      <c r="C234">
        <v>22.77</v>
      </c>
      <c r="D234">
        <v>23.54</v>
      </c>
      <c r="E234">
        <v>21.6</v>
      </c>
      <c r="F234">
        <v>21.81</v>
      </c>
      <c r="G234">
        <v>22.02</v>
      </c>
      <c r="H234">
        <v>18.010000000000002</v>
      </c>
      <c r="I234">
        <v>18.059999999999999</v>
      </c>
      <c r="J234">
        <v>18.11</v>
      </c>
      <c r="K234">
        <v>22.84</v>
      </c>
      <c r="L234">
        <v>22.94</v>
      </c>
      <c r="M234">
        <v>23.04</v>
      </c>
      <c r="O234">
        <f>SUMIF(historia4[[#This Row],[A]:[L]],"&gt;33",historia4[[#This Row],[A]:[L]])</f>
        <v>0</v>
      </c>
      <c r="P234">
        <f>SUM(historia4[[#This Row],[A]:[L]])</f>
        <v>257.08999999999997</v>
      </c>
      <c r="Q234">
        <f t="shared" si="4"/>
        <v>0</v>
      </c>
    </row>
    <row r="235" spans="1:17" x14ac:dyDescent="0.25">
      <c r="A235" s="1">
        <v>39785</v>
      </c>
      <c r="B235">
        <v>22.27</v>
      </c>
      <c r="C235">
        <v>22.69</v>
      </c>
      <c r="D235">
        <v>23.46</v>
      </c>
      <c r="E235">
        <v>21.39</v>
      </c>
      <c r="F235">
        <v>21.6</v>
      </c>
      <c r="G235">
        <v>21.81</v>
      </c>
      <c r="H235">
        <v>17.899999999999999</v>
      </c>
      <c r="I235">
        <v>17.95</v>
      </c>
      <c r="J235">
        <v>18</v>
      </c>
      <c r="K235">
        <v>22.8</v>
      </c>
      <c r="L235">
        <v>22.9</v>
      </c>
      <c r="M235">
        <v>23</v>
      </c>
      <c r="O235">
        <f>SUMIF(historia4[[#This Row],[A]:[L]],"&gt;33",historia4[[#This Row],[A]:[L]])</f>
        <v>0</v>
      </c>
      <c r="P235">
        <f>SUM(historia4[[#This Row],[A]:[L]])</f>
        <v>255.77</v>
      </c>
      <c r="Q235">
        <f t="shared" si="4"/>
        <v>0</v>
      </c>
    </row>
    <row r="236" spans="1:17" x14ac:dyDescent="0.25">
      <c r="A236" s="1">
        <v>39786</v>
      </c>
      <c r="B236">
        <v>22.7</v>
      </c>
      <c r="C236">
        <v>23.12</v>
      </c>
      <c r="D236">
        <v>23.91</v>
      </c>
      <c r="E236">
        <v>22.19</v>
      </c>
      <c r="F236">
        <v>22.41</v>
      </c>
      <c r="G236">
        <v>22.63</v>
      </c>
      <c r="H236">
        <v>18.510000000000002</v>
      </c>
      <c r="I236">
        <v>18.559999999999999</v>
      </c>
      <c r="J236">
        <v>18.61</v>
      </c>
      <c r="K236">
        <v>22.78</v>
      </c>
      <c r="L236">
        <v>22.88</v>
      </c>
      <c r="M236">
        <v>22.98</v>
      </c>
      <c r="O236">
        <f>SUMIF(historia4[[#This Row],[A]:[L]],"&gt;33",historia4[[#This Row],[A]:[L]])</f>
        <v>0</v>
      </c>
      <c r="P236">
        <f>SUM(historia4[[#This Row],[A]:[L]])</f>
        <v>261.27999999999997</v>
      </c>
      <c r="Q236">
        <f t="shared" si="4"/>
        <v>0</v>
      </c>
    </row>
    <row r="237" spans="1:17" x14ac:dyDescent="0.25">
      <c r="A237" s="1">
        <v>39787</v>
      </c>
      <c r="B237">
        <v>22.14</v>
      </c>
      <c r="C237">
        <v>22.56</v>
      </c>
      <c r="D237">
        <v>23.32</v>
      </c>
      <c r="E237">
        <v>21.24</v>
      </c>
      <c r="F237">
        <v>21.45</v>
      </c>
      <c r="G237">
        <v>21.66</v>
      </c>
      <c r="H237">
        <v>17.86</v>
      </c>
      <c r="I237">
        <v>17.899999999999999</v>
      </c>
      <c r="J237">
        <v>17.95</v>
      </c>
      <c r="K237">
        <v>21.93</v>
      </c>
      <c r="L237">
        <v>22.03</v>
      </c>
      <c r="M237">
        <v>22.12</v>
      </c>
      <c r="O237">
        <f>SUMIF(historia4[[#This Row],[A]:[L]],"&gt;33",historia4[[#This Row],[A]:[L]])</f>
        <v>0</v>
      </c>
      <c r="P237">
        <f>SUM(historia4[[#This Row],[A]:[L]])</f>
        <v>252.16000000000003</v>
      </c>
      <c r="Q237">
        <f t="shared" si="4"/>
        <v>0</v>
      </c>
    </row>
    <row r="238" spans="1:17" x14ac:dyDescent="0.25">
      <c r="A238" s="1">
        <v>39790</v>
      </c>
      <c r="B238">
        <v>22.68</v>
      </c>
      <c r="C238">
        <v>23.1</v>
      </c>
      <c r="D238">
        <v>23.89</v>
      </c>
      <c r="E238">
        <v>21.26</v>
      </c>
      <c r="F238">
        <v>21.47</v>
      </c>
      <c r="G238">
        <v>21.68</v>
      </c>
      <c r="H238">
        <v>17.829999999999998</v>
      </c>
      <c r="I238">
        <v>17.88</v>
      </c>
      <c r="J238">
        <v>17.93</v>
      </c>
      <c r="K238">
        <v>23.05</v>
      </c>
      <c r="L238">
        <v>23.15</v>
      </c>
      <c r="M238">
        <v>23.26</v>
      </c>
      <c r="O238">
        <f>SUMIF(historia4[[#This Row],[A]:[L]],"&gt;33",historia4[[#This Row],[A]:[L]])</f>
        <v>0</v>
      </c>
      <c r="P238">
        <f>SUM(historia4[[#This Row],[A]:[L]])</f>
        <v>257.18000000000006</v>
      </c>
      <c r="Q238">
        <f t="shared" si="4"/>
        <v>0</v>
      </c>
    </row>
    <row r="239" spans="1:17" x14ac:dyDescent="0.25">
      <c r="A239" s="1">
        <v>39791</v>
      </c>
      <c r="B239">
        <v>23.17</v>
      </c>
      <c r="C239">
        <v>23.61</v>
      </c>
      <c r="D239">
        <v>24.41</v>
      </c>
      <c r="E239">
        <v>22.02</v>
      </c>
      <c r="F239">
        <v>22.23</v>
      </c>
      <c r="G239">
        <v>22.45</v>
      </c>
      <c r="H239">
        <v>18.37</v>
      </c>
      <c r="I239">
        <v>18.420000000000002</v>
      </c>
      <c r="J239">
        <v>18.47</v>
      </c>
      <c r="K239">
        <v>23.91</v>
      </c>
      <c r="L239">
        <v>24.01</v>
      </c>
      <c r="M239">
        <v>24.12</v>
      </c>
      <c r="O239">
        <f>SUMIF(historia4[[#This Row],[A]:[L]],"&gt;33",historia4[[#This Row],[A]:[L]])</f>
        <v>0</v>
      </c>
      <c r="P239">
        <f>SUM(historia4[[#This Row],[A]:[L]])</f>
        <v>265.19</v>
      </c>
      <c r="Q239">
        <f t="shared" si="4"/>
        <v>0</v>
      </c>
    </row>
    <row r="240" spans="1:17" x14ac:dyDescent="0.25">
      <c r="A240" s="1">
        <v>39792</v>
      </c>
      <c r="B240">
        <v>23.28</v>
      </c>
      <c r="C240">
        <v>23.72</v>
      </c>
      <c r="D240">
        <v>24.52</v>
      </c>
      <c r="E240">
        <v>22.36</v>
      </c>
      <c r="F240">
        <v>22.58</v>
      </c>
      <c r="G240">
        <v>22.8</v>
      </c>
      <c r="H240">
        <v>18.62</v>
      </c>
      <c r="I240">
        <v>18.670000000000002</v>
      </c>
      <c r="J240">
        <v>18.72</v>
      </c>
      <c r="K240">
        <v>24.82</v>
      </c>
      <c r="L240">
        <v>24.93</v>
      </c>
      <c r="M240">
        <v>25.04</v>
      </c>
      <c r="O240">
        <f>SUMIF(historia4[[#This Row],[A]:[L]],"&gt;33",historia4[[#This Row],[A]:[L]])</f>
        <v>0</v>
      </c>
      <c r="P240">
        <f>SUM(historia4[[#This Row],[A]:[L]])</f>
        <v>270.06</v>
      </c>
      <c r="Q240">
        <f t="shared" si="4"/>
        <v>0</v>
      </c>
    </row>
    <row r="241" spans="1:17" x14ac:dyDescent="0.25">
      <c r="A241" s="1">
        <v>39793</v>
      </c>
      <c r="B241">
        <v>23.21</v>
      </c>
      <c r="C241">
        <v>23.65</v>
      </c>
      <c r="D241">
        <v>24.46</v>
      </c>
      <c r="E241">
        <v>22.39</v>
      </c>
      <c r="F241">
        <v>22.61</v>
      </c>
      <c r="G241">
        <v>22.83</v>
      </c>
      <c r="H241">
        <v>18.690000000000001</v>
      </c>
      <c r="I241">
        <v>18.739999999999998</v>
      </c>
      <c r="J241">
        <v>18.79</v>
      </c>
      <c r="K241">
        <v>24.29</v>
      </c>
      <c r="L241">
        <v>24.4</v>
      </c>
      <c r="M241">
        <v>24.51</v>
      </c>
      <c r="O241">
        <f>SUMIF(historia4[[#This Row],[A]:[L]],"&gt;33",historia4[[#This Row],[A]:[L]])</f>
        <v>0</v>
      </c>
      <c r="P241">
        <f>SUM(historia4[[#This Row],[A]:[L]])</f>
        <v>268.57</v>
      </c>
      <c r="Q241">
        <f t="shared" si="4"/>
        <v>0</v>
      </c>
    </row>
    <row r="242" spans="1:17" x14ac:dyDescent="0.25">
      <c r="A242" s="1">
        <v>39794</v>
      </c>
      <c r="B242">
        <v>22.69</v>
      </c>
      <c r="C242">
        <v>23.12</v>
      </c>
      <c r="D242">
        <v>23.9</v>
      </c>
      <c r="E242">
        <v>21.77</v>
      </c>
      <c r="F242">
        <v>21.99</v>
      </c>
      <c r="G242">
        <v>22.2</v>
      </c>
      <c r="H242">
        <v>18.37</v>
      </c>
      <c r="I242">
        <v>18.43</v>
      </c>
      <c r="J242">
        <v>18.48</v>
      </c>
      <c r="K242">
        <v>23.71</v>
      </c>
      <c r="L242">
        <v>23.81</v>
      </c>
      <c r="M242">
        <v>23.92</v>
      </c>
      <c r="O242">
        <f>SUMIF(historia4[[#This Row],[A]:[L]],"&gt;33",historia4[[#This Row],[A]:[L]])</f>
        <v>0</v>
      </c>
      <c r="P242">
        <f>SUM(historia4[[#This Row],[A]:[L]])</f>
        <v>262.39</v>
      </c>
      <c r="Q242">
        <f t="shared" si="4"/>
        <v>0</v>
      </c>
    </row>
    <row r="243" spans="1:17" x14ac:dyDescent="0.25">
      <c r="A243" s="1">
        <v>39797</v>
      </c>
      <c r="B243">
        <v>22.95</v>
      </c>
      <c r="C243">
        <v>23.38</v>
      </c>
      <c r="D243">
        <v>24.18</v>
      </c>
      <c r="E243">
        <v>21.87</v>
      </c>
      <c r="F243">
        <v>22.09</v>
      </c>
      <c r="G243">
        <v>22.31</v>
      </c>
      <c r="H243">
        <v>18.53</v>
      </c>
      <c r="I243">
        <v>18.59</v>
      </c>
      <c r="J243">
        <v>18.64</v>
      </c>
      <c r="K243">
        <v>23.89</v>
      </c>
      <c r="L243">
        <v>23.99</v>
      </c>
      <c r="M243">
        <v>24.1</v>
      </c>
      <c r="O243">
        <f>SUMIF(historia4[[#This Row],[A]:[L]],"&gt;33",historia4[[#This Row],[A]:[L]])</f>
        <v>0</v>
      </c>
      <c r="P243">
        <f>SUM(historia4[[#This Row],[A]:[L]])</f>
        <v>264.52000000000004</v>
      </c>
      <c r="Q243">
        <f t="shared" si="4"/>
        <v>0</v>
      </c>
    </row>
    <row r="244" spans="1:17" x14ac:dyDescent="0.25">
      <c r="A244" s="1">
        <v>39798</v>
      </c>
      <c r="B244">
        <v>23.28</v>
      </c>
      <c r="C244">
        <v>23.72</v>
      </c>
      <c r="D244">
        <v>24.53</v>
      </c>
      <c r="E244">
        <v>22.27</v>
      </c>
      <c r="F244">
        <v>22.49</v>
      </c>
      <c r="G244">
        <v>22.71</v>
      </c>
      <c r="H244">
        <v>18.91</v>
      </c>
      <c r="I244">
        <v>18.96</v>
      </c>
      <c r="J244">
        <v>19.010000000000002</v>
      </c>
      <c r="K244">
        <v>24.52</v>
      </c>
      <c r="L244">
        <v>24.64</v>
      </c>
      <c r="M244">
        <v>24.75</v>
      </c>
      <c r="O244">
        <f>SUMIF(historia4[[#This Row],[A]:[L]],"&gt;33",historia4[[#This Row],[A]:[L]])</f>
        <v>0</v>
      </c>
      <c r="P244">
        <f>SUM(historia4[[#This Row],[A]:[L]])</f>
        <v>269.79000000000002</v>
      </c>
      <c r="Q244">
        <f t="shared" si="4"/>
        <v>0</v>
      </c>
    </row>
    <row r="245" spans="1:17" x14ac:dyDescent="0.25">
      <c r="A245" s="1">
        <v>39799</v>
      </c>
      <c r="B245">
        <v>23.22</v>
      </c>
      <c r="C245">
        <v>23.66</v>
      </c>
      <c r="D245">
        <v>24.47</v>
      </c>
      <c r="E245">
        <v>22.57</v>
      </c>
      <c r="F245">
        <v>22.79</v>
      </c>
      <c r="G245">
        <v>23.02</v>
      </c>
      <c r="H245">
        <v>19.059999999999999</v>
      </c>
      <c r="I245">
        <v>19.12</v>
      </c>
      <c r="J245">
        <v>19.170000000000002</v>
      </c>
      <c r="K245">
        <v>24.8</v>
      </c>
      <c r="L245">
        <v>24.91</v>
      </c>
      <c r="M245">
        <v>25.02</v>
      </c>
      <c r="O245">
        <f>SUMIF(historia4[[#This Row],[A]:[L]],"&gt;33",historia4[[#This Row],[A]:[L]])</f>
        <v>0</v>
      </c>
      <c r="P245">
        <f>SUM(historia4[[#This Row],[A]:[L]])</f>
        <v>271.81</v>
      </c>
      <c r="Q245">
        <f t="shared" si="4"/>
        <v>0</v>
      </c>
    </row>
    <row r="246" spans="1:17" x14ac:dyDescent="0.25">
      <c r="A246" s="1">
        <v>39800</v>
      </c>
      <c r="B246">
        <v>22.98</v>
      </c>
      <c r="C246">
        <v>23.42</v>
      </c>
      <c r="D246">
        <v>24.21</v>
      </c>
      <c r="E246">
        <v>22.31</v>
      </c>
      <c r="F246">
        <v>22.53</v>
      </c>
      <c r="G246">
        <v>22.76</v>
      </c>
      <c r="H246">
        <v>18.88</v>
      </c>
      <c r="I246">
        <v>18.93</v>
      </c>
      <c r="J246">
        <v>18.98</v>
      </c>
      <c r="K246">
        <v>24.36</v>
      </c>
      <c r="L246">
        <v>24.47</v>
      </c>
      <c r="M246">
        <v>24.58</v>
      </c>
      <c r="O246">
        <f>SUMIF(historia4[[#This Row],[A]:[L]],"&gt;33",historia4[[#This Row],[A]:[L]])</f>
        <v>0</v>
      </c>
      <c r="P246">
        <f>SUM(historia4[[#This Row],[A]:[L]])</f>
        <v>268.41000000000003</v>
      </c>
      <c r="Q246">
        <f t="shared" si="4"/>
        <v>0</v>
      </c>
    </row>
    <row r="247" spans="1:17" x14ac:dyDescent="0.25">
      <c r="A247" s="1">
        <v>39801</v>
      </c>
      <c r="B247">
        <v>22.83</v>
      </c>
      <c r="C247">
        <v>23.27</v>
      </c>
      <c r="D247">
        <v>24.06</v>
      </c>
      <c r="E247">
        <v>22.3</v>
      </c>
      <c r="F247">
        <v>22.52</v>
      </c>
      <c r="G247">
        <v>22.75</v>
      </c>
      <c r="H247">
        <v>18.670000000000002</v>
      </c>
      <c r="I247">
        <v>18.72</v>
      </c>
      <c r="J247">
        <v>18.77</v>
      </c>
      <c r="K247">
        <v>23.71</v>
      </c>
      <c r="L247">
        <v>23.82</v>
      </c>
      <c r="M247">
        <v>23.92</v>
      </c>
      <c r="O247">
        <f>SUMIF(historia4[[#This Row],[A]:[L]],"&gt;33",historia4[[#This Row],[A]:[L]])</f>
        <v>0</v>
      </c>
      <c r="P247">
        <f>SUM(historia4[[#This Row],[A]:[L]])</f>
        <v>265.33999999999997</v>
      </c>
      <c r="Q247">
        <f t="shared" si="4"/>
        <v>0</v>
      </c>
    </row>
    <row r="248" spans="1:17" x14ac:dyDescent="0.25">
      <c r="A248" s="1">
        <v>39804</v>
      </c>
      <c r="B248">
        <v>22.62</v>
      </c>
      <c r="C248">
        <v>23.05</v>
      </c>
      <c r="D248">
        <v>23.84</v>
      </c>
      <c r="E248">
        <v>22.3</v>
      </c>
      <c r="F248">
        <v>22.52</v>
      </c>
      <c r="G248">
        <v>22.75</v>
      </c>
      <c r="H248">
        <v>18.690000000000001</v>
      </c>
      <c r="I248">
        <v>18.739999999999998</v>
      </c>
      <c r="J248">
        <v>18.79</v>
      </c>
      <c r="K248">
        <v>23</v>
      </c>
      <c r="L248">
        <v>23.11</v>
      </c>
      <c r="M248">
        <v>23.22</v>
      </c>
      <c r="O248">
        <f>SUMIF(historia4[[#This Row],[A]:[L]],"&gt;33",historia4[[#This Row],[A]:[L]])</f>
        <v>0</v>
      </c>
      <c r="P248">
        <f>SUM(historia4[[#This Row],[A]:[L]])</f>
        <v>262.63</v>
      </c>
      <c r="Q248">
        <f t="shared" si="4"/>
        <v>0</v>
      </c>
    </row>
    <row r="249" spans="1:17" x14ac:dyDescent="0.25">
      <c r="A249" s="1">
        <v>39805</v>
      </c>
      <c r="B249">
        <v>22.7</v>
      </c>
      <c r="C249">
        <v>23.13</v>
      </c>
      <c r="D249">
        <v>23.92</v>
      </c>
      <c r="E249">
        <v>22.71</v>
      </c>
      <c r="F249">
        <v>22.94</v>
      </c>
      <c r="G249">
        <v>23.17</v>
      </c>
      <c r="H249">
        <v>18.899999999999999</v>
      </c>
      <c r="I249">
        <v>18.96</v>
      </c>
      <c r="J249">
        <v>19.010000000000002</v>
      </c>
      <c r="K249">
        <v>23.32</v>
      </c>
      <c r="L249">
        <v>23.43</v>
      </c>
      <c r="M249">
        <v>23.54</v>
      </c>
      <c r="O249">
        <f>SUMIF(historia4[[#This Row],[A]:[L]],"&gt;33",historia4[[#This Row],[A]:[L]])</f>
        <v>0</v>
      </c>
      <c r="P249">
        <f>SUM(historia4[[#This Row],[A]:[L]])</f>
        <v>265.73</v>
      </c>
      <c r="Q249">
        <f t="shared" si="4"/>
        <v>0</v>
      </c>
    </row>
    <row r="250" spans="1:17" x14ac:dyDescent="0.25">
      <c r="A250" s="1">
        <v>39811</v>
      </c>
      <c r="B250">
        <v>22.84</v>
      </c>
      <c r="C250">
        <v>23.28</v>
      </c>
      <c r="D250">
        <v>24.08</v>
      </c>
      <c r="E250">
        <v>23.14</v>
      </c>
      <c r="F250">
        <v>23.37</v>
      </c>
      <c r="G250">
        <v>23.61</v>
      </c>
      <c r="H250">
        <v>19.13</v>
      </c>
      <c r="I250">
        <v>19.190000000000001</v>
      </c>
      <c r="J250">
        <v>19.239999999999998</v>
      </c>
      <c r="K250">
        <v>23.85</v>
      </c>
      <c r="L250">
        <v>23.96</v>
      </c>
      <c r="M250">
        <v>24.08</v>
      </c>
      <c r="O250">
        <f>SUMIF(historia4[[#This Row],[A]:[L]],"&gt;33",historia4[[#This Row],[A]:[L]])</f>
        <v>0</v>
      </c>
      <c r="P250">
        <f>SUM(historia4[[#This Row],[A]:[L]])</f>
        <v>269.77</v>
      </c>
      <c r="Q250">
        <f t="shared" si="4"/>
        <v>0</v>
      </c>
    </row>
    <row r="251" spans="1:17" x14ac:dyDescent="0.25">
      <c r="A251" s="1">
        <v>39812</v>
      </c>
      <c r="B251">
        <v>22.94</v>
      </c>
      <c r="C251">
        <v>23.37</v>
      </c>
      <c r="D251">
        <v>24.18</v>
      </c>
      <c r="E251">
        <v>22.95</v>
      </c>
      <c r="F251">
        <v>23.18</v>
      </c>
      <c r="G251">
        <v>23.41</v>
      </c>
      <c r="H251">
        <v>19</v>
      </c>
      <c r="I251">
        <v>19.05</v>
      </c>
      <c r="J251">
        <v>19.11</v>
      </c>
      <c r="K251">
        <v>24.12</v>
      </c>
      <c r="L251">
        <v>24.23</v>
      </c>
      <c r="M251">
        <v>24.35</v>
      </c>
      <c r="O251">
        <f>SUMIF(historia4[[#This Row],[A]:[L]],"&gt;33",historia4[[#This Row],[A]:[L]])</f>
        <v>0</v>
      </c>
      <c r="P251">
        <f>SUM(historia4[[#This Row],[A]:[L]])</f>
        <v>269.89</v>
      </c>
      <c r="Q251">
        <f t="shared" si="4"/>
        <v>0</v>
      </c>
    </row>
    <row r="252" spans="1:17" x14ac:dyDescent="0.25">
      <c r="A252" s="1">
        <v>39813</v>
      </c>
      <c r="B252">
        <v>23.08</v>
      </c>
      <c r="C252">
        <v>23.52</v>
      </c>
      <c r="D252">
        <v>24.33</v>
      </c>
      <c r="E252">
        <v>23.23</v>
      </c>
      <c r="F252">
        <v>23.46</v>
      </c>
      <c r="G252">
        <v>23.7</v>
      </c>
      <c r="H252">
        <v>19.190000000000001</v>
      </c>
      <c r="I252">
        <v>19.239999999999998</v>
      </c>
      <c r="J252">
        <v>19.3</v>
      </c>
      <c r="K252">
        <v>24.66</v>
      </c>
      <c r="L252">
        <v>24.77</v>
      </c>
      <c r="M252">
        <v>24.89</v>
      </c>
      <c r="O252">
        <f>SUMIF(historia4[[#This Row],[A]:[L]],"&gt;33",historia4[[#This Row],[A]:[L]])</f>
        <v>0</v>
      </c>
      <c r="P252">
        <f>SUM(historia4[[#This Row],[A]:[L]])</f>
        <v>273.37</v>
      </c>
      <c r="Q252">
        <f t="shared" si="4"/>
        <v>0</v>
      </c>
    </row>
  </sheetData>
  <conditionalFormatting sqref="R1 Q1:Q1048576">
    <cfRule type="cellIs" dxfId="2" priority="1" operator="equal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950B7-3699-449A-B676-FFF1DA77EC2C}">
  <dimension ref="A1:AI3013"/>
  <sheetViews>
    <sheetView topLeftCell="R1" zoomScale="70" zoomScaleNormal="70" workbookViewId="0">
      <selection activeCell="AI1" sqref="AH1:AI2"/>
    </sheetView>
  </sheetViews>
  <sheetFormatPr defaultRowHeight="15" x14ac:dyDescent="0.25"/>
  <cols>
    <col min="1" max="9" width="11.140625" bestFit="1" customWidth="1"/>
    <col min="10" max="13" width="12.140625" bestFit="1" customWidth="1"/>
    <col min="15" max="15" width="14.42578125" bestFit="1" customWidth="1"/>
    <col min="16" max="16" width="16.140625" bestFit="1" customWidth="1"/>
    <col min="17" max="17" width="14.28515625" bestFit="1" customWidth="1"/>
    <col min="18" max="18" width="16" bestFit="1" customWidth="1"/>
    <col min="32" max="32" width="18" bestFit="1" customWidth="1"/>
    <col min="34" max="34" width="21.85546875" bestFit="1" customWidth="1"/>
    <col min="35" max="35" width="28.140625" bestFit="1" customWidth="1"/>
  </cols>
  <sheetData>
    <row r="1" spans="1:3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O1" t="s">
        <v>18</v>
      </c>
      <c r="AF1" t="s">
        <v>19</v>
      </c>
      <c r="AH1" s="3" t="s">
        <v>20</v>
      </c>
      <c r="AI1" s="3" t="s">
        <v>21</v>
      </c>
    </row>
    <row r="2" spans="1:35" x14ac:dyDescent="0.25">
      <c r="A2" s="1">
        <v>39449</v>
      </c>
      <c r="B2">
        <v>50.9</v>
      </c>
      <c r="C2">
        <v>51.62</v>
      </c>
      <c r="D2">
        <v>53.12</v>
      </c>
      <c r="E2">
        <v>58.66</v>
      </c>
      <c r="F2">
        <v>58.96</v>
      </c>
      <c r="G2">
        <v>59.26</v>
      </c>
      <c r="H2">
        <v>48.15</v>
      </c>
      <c r="I2">
        <v>48.17</v>
      </c>
      <c r="J2">
        <v>48.19</v>
      </c>
      <c r="K2">
        <v>50.23</v>
      </c>
      <c r="L2">
        <v>50.23</v>
      </c>
      <c r="M2">
        <v>50.23</v>
      </c>
      <c r="P2" cm="1">
        <f t="array" ref="P2:AA252">_xlfn._xlws.SORT(historia5[[A]:[L]])</f>
        <v>20.82</v>
      </c>
      <c r="Q2">
        <v>21.21</v>
      </c>
      <c r="R2">
        <v>21.92</v>
      </c>
      <c r="S2">
        <v>18.760000000000002</v>
      </c>
      <c r="T2">
        <v>18.940000000000001</v>
      </c>
      <c r="U2">
        <v>19.12</v>
      </c>
      <c r="V2">
        <v>16.04</v>
      </c>
      <c r="W2">
        <v>16.079999999999998</v>
      </c>
      <c r="X2">
        <v>16.12</v>
      </c>
      <c r="Y2">
        <v>20.62</v>
      </c>
      <c r="Z2">
        <v>20.71</v>
      </c>
      <c r="AA2">
        <v>20.8</v>
      </c>
      <c r="AC2" cm="1">
        <f t="array" ref="AC2:AC252">P2:P252</f>
        <v>20.82</v>
      </c>
      <c r="AE2" cm="1">
        <f t="array" ref="AE2:AE3013">_xlfn._xlws.SORT(AC2:AC3013)</f>
        <v>16.04</v>
      </c>
      <c r="AF2">
        <v>1</v>
      </c>
      <c r="AH2" s="3">
        <f>MAX(AF2:AF3013)</f>
        <v>8</v>
      </c>
      <c r="AI2" s="3">
        <v>42.98</v>
      </c>
    </row>
    <row r="3" spans="1:35" x14ac:dyDescent="0.25">
      <c r="A3" s="1">
        <v>39450</v>
      </c>
      <c r="B3">
        <v>50.42</v>
      </c>
      <c r="C3">
        <v>51.13</v>
      </c>
      <c r="D3">
        <v>52.62</v>
      </c>
      <c r="E3">
        <v>57.92</v>
      </c>
      <c r="F3">
        <v>58.22</v>
      </c>
      <c r="G3">
        <v>58.51</v>
      </c>
      <c r="H3">
        <v>48.04</v>
      </c>
      <c r="I3">
        <v>48.06</v>
      </c>
      <c r="J3">
        <v>48.08</v>
      </c>
      <c r="K3">
        <v>50.07</v>
      </c>
      <c r="L3">
        <v>50.07</v>
      </c>
      <c r="M3">
        <v>50.07</v>
      </c>
      <c r="P3">
        <v>21.17</v>
      </c>
      <c r="Q3">
        <v>21.57</v>
      </c>
      <c r="R3">
        <v>22.29</v>
      </c>
      <c r="S3">
        <v>18.97</v>
      </c>
      <c r="T3">
        <v>19.149999999999999</v>
      </c>
      <c r="U3">
        <v>19.329999999999998</v>
      </c>
      <c r="V3">
        <v>16.309999999999999</v>
      </c>
      <c r="W3">
        <v>16.350000000000001</v>
      </c>
      <c r="X3">
        <v>16.39</v>
      </c>
      <c r="Y3">
        <v>20.329999999999998</v>
      </c>
      <c r="Z3">
        <v>20.41</v>
      </c>
      <c r="AA3">
        <v>20.5</v>
      </c>
      <c r="AC3">
        <v>21.17</v>
      </c>
      <c r="AE3">
        <v>16.079999999999998</v>
      </c>
      <c r="AF3">
        <f>IF(AE3=AE2,AF2+1,1)</f>
        <v>1</v>
      </c>
    </row>
    <row r="4" spans="1:35" x14ac:dyDescent="0.25">
      <c r="A4" s="1">
        <v>39451</v>
      </c>
      <c r="B4">
        <v>49.68</v>
      </c>
      <c r="C4">
        <v>50.39</v>
      </c>
      <c r="D4">
        <v>51.85</v>
      </c>
      <c r="E4">
        <v>56.86</v>
      </c>
      <c r="F4">
        <v>57.15</v>
      </c>
      <c r="G4">
        <v>57.44</v>
      </c>
      <c r="H4">
        <v>47.14</v>
      </c>
      <c r="I4">
        <v>47.16</v>
      </c>
      <c r="J4">
        <v>47.17</v>
      </c>
      <c r="K4">
        <v>49.27</v>
      </c>
      <c r="L4">
        <v>49.28</v>
      </c>
      <c r="M4">
        <v>49.28</v>
      </c>
      <c r="P4">
        <v>21.88</v>
      </c>
      <c r="Q4">
        <v>22.29</v>
      </c>
      <c r="R4">
        <v>23.04</v>
      </c>
      <c r="S4">
        <v>19.579999999999998</v>
      </c>
      <c r="T4">
        <v>19.77</v>
      </c>
      <c r="U4">
        <v>19.96</v>
      </c>
      <c r="V4">
        <v>16.64</v>
      </c>
      <c r="W4">
        <v>16.690000000000001</v>
      </c>
      <c r="X4">
        <v>16.73</v>
      </c>
      <c r="Y4">
        <v>22.15</v>
      </c>
      <c r="Z4">
        <v>22.24</v>
      </c>
      <c r="AA4">
        <v>22.34</v>
      </c>
      <c r="AC4">
        <v>21.88</v>
      </c>
      <c r="AE4">
        <v>16.12</v>
      </c>
      <c r="AF4">
        <f t="shared" ref="AF4:AF67" si="0">IF(AE4=AE3,AF3+1,1)</f>
        <v>1</v>
      </c>
    </row>
    <row r="5" spans="1:35" x14ac:dyDescent="0.25">
      <c r="A5" s="1">
        <v>39454</v>
      </c>
      <c r="B5">
        <v>48.97</v>
      </c>
      <c r="C5">
        <v>49.66</v>
      </c>
      <c r="D5">
        <v>51.11</v>
      </c>
      <c r="E5">
        <v>56.19</v>
      </c>
      <c r="F5">
        <v>56.48</v>
      </c>
      <c r="G5">
        <v>56.77</v>
      </c>
      <c r="H5">
        <v>46.52</v>
      </c>
      <c r="I5">
        <v>46.54</v>
      </c>
      <c r="J5">
        <v>46.56</v>
      </c>
      <c r="K5">
        <v>48.25</v>
      </c>
      <c r="L5">
        <v>48.26</v>
      </c>
      <c r="M5">
        <v>48.26</v>
      </c>
      <c r="P5">
        <v>22.14</v>
      </c>
      <c r="Q5">
        <v>22.56</v>
      </c>
      <c r="R5">
        <v>23.32</v>
      </c>
      <c r="S5">
        <v>21.24</v>
      </c>
      <c r="T5">
        <v>21.45</v>
      </c>
      <c r="U5">
        <v>21.66</v>
      </c>
      <c r="V5">
        <v>17.86</v>
      </c>
      <c r="W5">
        <v>17.899999999999999</v>
      </c>
      <c r="X5">
        <v>17.95</v>
      </c>
      <c r="Y5">
        <v>21.93</v>
      </c>
      <c r="Z5">
        <v>22.03</v>
      </c>
      <c r="AA5">
        <v>22.12</v>
      </c>
      <c r="AC5">
        <v>22.14</v>
      </c>
      <c r="AE5">
        <v>16.309999999999999</v>
      </c>
      <c r="AF5">
        <f t="shared" si="0"/>
        <v>1</v>
      </c>
    </row>
    <row r="6" spans="1:35" x14ac:dyDescent="0.25">
      <c r="A6" s="1">
        <v>39455</v>
      </c>
      <c r="B6">
        <v>49.17</v>
      </c>
      <c r="C6">
        <v>49.87</v>
      </c>
      <c r="D6">
        <v>51.32</v>
      </c>
      <c r="E6">
        <v>56.65</v>
      </c>
      <c r="F6">
        <v>56.94</v>
      </c>
      <c r="G6">
        <v>57.24</v>
      </c>
      <c r="H6">
        <v>46.76</v>
      </c>
      <c r="I6">
        <v>46.78</v>
      </c>
      <c r="J6">
        <v>46.8</v>
      </c>
      <c r="K6">
        <v>48.69</v>
      </c>
      <c r="L6">
        <v>48.69</v>
      </c>
      <c r="M6">
        <v>48.69</v>
      </c>
      <c r="P6">
        <v>22.23</v>
      </c>
      <c r="Q6">
        <v>22.64</v>
      </c>
      <c r="R6">
        <v>23.41</v>
      </c>
      <c r="S6">
        <v>21.45</v>
      </c>
      <c r="T6">
        <v>21.66</v>
      </c>
      <c r="U6">
        <v>21.87</v>
      </c>
      <c r="V6">
        <v>17.91</v>
      </c>
      <c r="W6">
        <v>17.96</v>
      </c>
      <c r="X6">
        <v>18.010000000000002</v>
      </c>
      <c r="Y6">
        <v>22.51</v>
      </c>
      <c r="Z6">
        <v>22.61</v>
      </c>
      <c r="AA6">
        <v>22.71</v>
      </c>
      <c r="AC6">
        <v>22.23</v>
      </c>
      <c r="AE6">
        <v>16.350000000000001</v>
      </c>
      <c r="AF6">
        <f t="shared" si="0"/>
        <v>1</v>
      </c>
    </row>
    <row r="7" spans="1:35" x14ac:dyDescent="0.25">
      <c r="A7" s="1">
        <v>39456</v>
      </c>
      <c r="B7">
        <v>48.08</v>
      </c>
      <c r="C7">
        <v>48.76</v>
      </c>
      <c r="D7">
        <v>50.19</v>
      </c>
      <c r="E7">
        <v>55.41</v>
      </c>
      <c r="F7">
        <v>55.7</v>
      </c>
      <c r="G7">
        <v>55.99</v>
      </c>
      <c r="H7">
        <v>45.34</v>
      </c>
      <c r="I7">
        <v>45.36</v>
      </c>
      <c r="J7">
        <v>45.38</v>
      </c>
      <c r="K7">
        <v>47.85</v>
      </c>
      <c r="L7">
        <v>47.85</v>
      </c>
      <c r="M7">
        <v>47.86</v>
      </c>
      <c r="P7">
        <v>22.24</v>
      </c>
      <c r="Q7">
        <v>22.64</v>
      </c>
      <c r="R7">
        <v>23.4</v>
      </c>
      <c r="S7">
        <v>20.99</v>
      </c>
      <c r="T7">
        <v>21.18</v>
      </c>
      <c r="U7">
        <v>21.38</v>
      </c>
      <c r="V7">
        <v>17.350000000000001</v>
      </c>
      <c r="W7">
        <v>17.39</v>
      </c>
      <c r="X7">
        <v>17.43</v>
      </c>
      <c r="Y7">
        <v>22.48</v>
      </c>
      <c r="Z7">
        <v>22.57</v>
      </c>
      <c r="AA7">
        <v>22.65</v>
      </c>
      <c r="AC7">
        <v>22.24</v>
      </c>
      <c r="AE7">
        <v>16.39</v>
      </c>
      <c r="AF7">
        <f t="shared" si="0"/>
        <v>1</v>
      </c>
    </row>
    <row r="8" spans="1:35" x14ac:dyDescent="0.25">
      <c r="A8" s="1">
        <v>39457</v>
      </c>
      <c r="B8">
        <v>46.78</v>
      </c>
      <c r="C8">
        <v>47.44</v>
      </c>
      <c r="D8">
        <v>48.83</v>
      </c>
      <c r="E8">
        <v>54.31</v>
      </c>
      <c r="F8">
        <v>54.59</v>
      </c>
      <c r="G8">
        <v>54.88</v>
      </c>
      <c r="H8">
        <v>44.44</v>
      </c>
      <c r="I8">
        <v>44.46</v>
      </c>
      <c r="J8">
        <v>44.48</v>
      </c>
      <c r="K8">
        <v>46.23</v>
      </c>
      <c r="L8">
        <v>46.23</v>
      </c>
      <c r="M8">
        <v>46.24</v>
      </c>
      <c r="P8">
        <v>22.27</v>
      </c>
      <c r="Q8">
        <v>22.69</v>
      </c>
      <c r="R8">
        <v>23.46</v>
      </c>
      <c r="S8">
        <v>21.39</v>
      </c>
      <c r="T8">
        <v>21.6</v>
      </c>
      <c r="U8">
        <v>21.81</v>
      </c>
      <c r="V8">
        <v>17.899999999999999</v>
      </c>
      <c r="W8">
        <v>17.95</v>
      </c>
      <c r="X8">
        <v>18</v>
      </c>
      <c r="Y8">
        <v>22.8</v>
      </c>
      <c r="Z8">
        <v>22.9</v>
      </c>
      <c r="AA8">
        <v>23</v>
      </c>
      <c r="AC8">
        <v>22.27</v>
      </c>
      <c r="AE8">
        <v>16.64</v>
      </c>
      <c r="AF8">
        <f t="shared" si="0"/>
        <v>1</v>
      </c>
    </row>
    <row r="9" spans="1:35" x14ac:dyDescent="0.25">
      <c r="A9" s="1">
        <v>39458</v>
      </c>
      <c r="B9">
        <v>46.19</v>
      </c>
      <c r="C9">
        <v>46.85</v>
      </c>
      <c r="D9">
        <v>48.22</v>
      </c>
      <c r="E9">
        <v>53.47</v>
      </c>
      <c r="F9">
        <v>53.75</v>
      </c>
      <c r="G9">
        <v>54.03</v>
      </c>
      <c r="H9">
        <v>43.93</v>
      </c>
      <c r="I9">
        <v>43.95</v>
      </c>
      <c r="J9">
        <v>43.97</v>
      </c>
      <c r="K9">
        <v>45.58</v>
      </c>
      <c r="L9">
        <v>45.58</v>
      </c>
      <c r="M9">
        <v>45.59</v>
      </c>
      <c r="P9">
        <v>22.32</v>
      </c>
      <c r="Q9">
        <v>22.73</v>
      </c>
      <c r="R9">
        <v>23.49</v>
      </c>
      <c r="S9">
        <v>20.6</v>
      </c>
      <c r="T9">
        <v>20.79</v>
      </c>
      <c r="U9">
        <v>20.99</v>
      </c>
      <c r="V9">
        <v>17.489999999999998</v>
      </c>
      <c r="W9">
        <v>17.53</v>
      </c>
      <c r="X9">
        <v>17.579999999999998</v>
      </c>
      <c r="Y9">
        <v>23.86</v>
      </c>
      <c r="Z9">
        <v>23.96</v>
      </c>
      <c r="AA9">
        <v>24.05</v>
      </c>
      <c r="AC9">
        <v>22.32</v>
      </c>
      <c r="AE9">
        <v>16.690000000000001</v>
      </c>
      <c r="AF9">
        <f t="shared" si="0"/>
        <v>1</v>
      </c>
    </row>
    <row r="10" spans="1:35" x14ac:dyDescent="0.25">
      <c r="A10" s="1">
        <v>39461</v>
      </c>
      <c r="B10">
        <v>45.92</v>
      </c>
      <c r="C10">
        <v>46.58</v>
      </c>
      <c r="D10">
        <v>47.94</v>
      </c>
      <c r="E10">
        <v>53.25</v>
      </c>
      <c r="F10">
        <v>53.53</v>
      </c>
      <c r="G10">
        <v>53.81</v>
      </c>
      <c r="H10">
        <v>44.11</v>
      </c>
      <c r="I10">
        <v>44.14</v>
      </c>
      <c r="J10">
        <v>44.16</v>
      </c>
      <c r="K10">
        <v>45.87</v>
      </c>
      <c r="L10">
        <v>45.88</v>
      </c>
      <c r="M10">
        <v>45.89</v>
      </c>
      <c r="P10">
        <v>22.35</v>
      </c>
      <c r="Q10">
        <v>22.77</v>
      </c>
      <c r="R10">
        <v>23.54</v>
      </c>
      <c r="S10">
        <v>21.6</v>
      </c>
      <c r="T10">
        <v>21.81</v>
      </c>
      <c r="U10">
        <v>22.02</v>
      </c>
      <c r="V10">
        <v>18.010000000000002</v>
      </c>
      <c r="W10">
        <v>18.059999999999999</v>
      </c>
      <c r="X10">
        <v>18.11</v>
      </c>
      <c r="Y10">
        <v>22.84</v>
      </c>
      <c r="Z10">
        <v>22.94</v>
      </c>
      <c r="AA10">
        <v>23.04</v>
      </c>
      <c r="AC10">
        <v>22.35</v>
      </c>
      <c r="AE10">
        <v>16.73</v>
      </c>
      <c r="AF10">
        <f t="shared" si="0"/>
        <v>1</v>
      </c>
    </row>
    <row r="11" spans="1:35" x14ac:dyDescent="0.25">
      <c r="A11" s="1">
        <v>39462</v>
      </c>
      <c r="B11">
        <v>44.59</v>
      </c>
      <c r="C11">
        <v>45.23</v>
      </c>
      <c r="D11">
        <v>46.55</v>
      </c>
      <c r="E11">
        <v>51.61</v>
      </c>
      <c r="F11">
        <v>51.88</v>
      </c>
      <c r="G11">
        <v>52.15</v>
      </c>
      <c r="H11">
        <v>42.81</v>
      </c>
      <c r="I11">
        <v>42.83</v>
      </c>
      <c r="J11">
        <v>42.85</v>
      </c>
      <c r="K11">
        <v>44.67</v>
      </c>
      <c r="L11">
        <v>44.68</v>
      </c>
      <c r="M11">
        <v>44.68</v>
      </c>
      <c r="P11">
        <v>22.53</v>
      </c>
      <c r="Q11">
        <v>22.94</v>
      </c>
      <c r="R11">
        <v>23.7</v>
      </c>
      <c r="S11">
        <v>21.52</v>
      </c>
      <c r="T11">
        <v>21.72</v>
      </c>
      <c r="U11">
        <v>21.92</v>
      </c>
      <c r="V11">
        <v>17.77</v>
      </c>
      <c r="W11">
        <v>17.82</v>
      </c>
      <c r="X11">
        <v>17.86</v>
      </c>
      <c r="Y11">
        <v>22.48</v>
      </c>
      <c r="Z11">
        <v>22.57</v>
      </c>
      <c r="AA11">
        <v>22.65</v>
      </c>
      <c r="AC11">
        <v>22.53</v>
      </c>
      <c r="AE11">
        <v>17.350000000000001</v>
      </c>
      <c r="AF11">
        <f t="shared" si="0"/>
        <v>1</v>
      </c>
    </row>
    <row r="12" spans="1:35" x14ac:dyDescent="0.25">
      <c r="A12" s="1">
        <v>39463</v>
      </c>
      <c r="B12">
        <v>42.88</v>
      </c>
      <c r="C12">
        <v>43.5</v>
      </c>
      <c r="D12">
        <v>44.77</v>
      </c>
      <c r="E12">
        <v>49.94</v>
      </c>
      <c r="F12">
        <v>50.2</v>
      </c>
      <c r="G12">
        <v>50.47</v>
      </c>
      <c r="H12">
        <v>41.38</v>
      </c>
      <c r="I12">
        <v>41.4</v>
      </c>
      <c r="J12">
        <v>41.42</v>
      </c>
      <c r="K12">
        <v>43.37</v>
      </c>
      <c r="L12">
        <v>43.37</v>
      </c>
      <c r="M12">
        <v>43.38</v>
      </c>
      <c r="P12">
        <v>22.57</v>
      </c>
      <c r="Q12">
        <v>22.99</v>
      </c>
      <c r="R12">
        <v>23.77</v>
      </c>
      <c r="S12">
        <v>21.12</v>
      </c>
      <c r="T12">
        <v>21.32</v>
      </c>
      <c r="U12">
        <v>21.53</v>
      </c>
      <c r="V12">
        <v>18.12</v>
      </c>
      <c r="W12">
        <v>18.170000000000002</v>
      </c>
      <c r="X12">
        <v>18.21</v>
      </c>
      <c r="Y12">
        <v>22.54</v>
      </c>
      <c r="Z12">
        <v>22.64</v>
      </c>
      <c r="AA12">
        <v>22.74</v>
      </c>
      <c r="AC12">
        <v>22.57</v>
      </c>
      <c r="AE12">
        <v>17.39</v>
      </c>
      <c r="AF12">
        <f t="shared" si="0"/>
        <v>1</v>
      </c>
    </row>
    <row r="13" spans="1:35" x14ac:dyDescent="0.25">
      <c r="A13" s="1">
        <v>39464</v>
      </c>
      <c r="B13">
        <v>43.16</v>
      </c>
      <c r="C13">
        <v>43.78</v>
      </c>
      <c r="D13">
        <v>45.06</v>
      </c>
      <c r="E13">
        <v>49.84</v>
      </c>
      <c r="F13">
        <v>50.1</v>
      </c>
      <c r="G13">
        <v>50.37</v>
      </c>
      <c r="H13">
        <v>41.66</v>
      </c>
      <c r="I13">
        <v>41.69</v>
      </c>
      <c r="J13">
        <v>41.71</v>
      </c>
      <c r="K13">
        <v>43.31</v>
      </c>
      <c r="L13">
        <v>43.32</v>
      </c>
      <c r="M13">
        <v>43.32</v>
      </c>
      <c r="P13">
        <v>22.62</v>
      </c>
      <c r="Q13">
        <v>23.05</v>
      </c>
      <c r="R13">
        <v>23.84</v>
      </c>
      <c r="S13">
        <v>22.3</v>
      </c>
      <c r="T13">
        <v>22.52</v>
      </c>
      <c r="U13">
        <v>22.75</v>
      </c>
      <c r="V13">
        <v>18.690000000000001</v>
      </c>
      <c r="W13">
        <v>18.739999999999998</v>
      </c>
      <c r="X13">
        <v>18.79</v>
      </c>
      <c r="Y13">
        <v>23</v>
      </c>
      <c r="Z13">
        <v>23.11</v>
      </c>
      <c r="AA13">
        <v>23.22</v>
      </c>
      <c r="AC13">
        <v>22.62</v>
      </c>
      <c r="AE13">
        <v>17.43</v>
      </c>
      <c r="AF13">
        <f t="shared" si="0"/>
        <v>1</v>
      </c>
    </row>
    <row r="14" spans="1:35" x14ac:dyDescent="0.25">
      <c r="A14" s="1">
        <v>39465</v>
      </c>
      <c r="B14">
        <v>43.58</v>
      </c>
      <c r="C14">
        <v>44.2</v>
      </c>
      <c r="D14">
        <v>45.5</v>
      </c>
      <c r="E14">
        <v>49.99</v>
      </c>
      <c r="F14">
        <v>50.26</v>
      </c>
      <c r="G14">
        <v>50.52</v>
      </c>
      <c r="H14">
        <v>41.64</v>
      </c>
      <c r="I14">
        <v>41.66</v>
      </c>
      <c r="J14">
        <v>41.68</v>
      </c>
      <c r="K14">
        <v>43.2</v>
      </c>
      <c r="L14">
        <v>43.21</v>
      </c>
      <c r="M14">
        <v>43.21</v>
      </c>
      <c r="P14">
        <v>22.68</v>
      </c>
      <c r="Q14">
        <v>23.1</v>
      </c>
      <c r="R14">
        <v>23.89</v>
      </c>
      <c r="S14">
        <v>21.26</v>
      </c>
      <c r="T14">
        <v>21.47</v>
      </c>
      <c r="U14">
        <v>21.68</v>
      </c>
      <c r="V14">
        <v>17.829999999999998</v>
      </c>
      <c r="W14">
        <v>17.88</v>
      </c>
      <c r="X14">
        <v>17.93</v>
      </c>
      <c r="Y14">
        <v>23.05</v>
      </c>
      <c r="Z14">
        <v>23.15</v>
      </c>
      <c r="AA14">
        <v>23.26</v>
      </c>
      <c r="AC14">
        <v>22.68</v>
      </c>
      <c r="AE14">
        <v>17.489999999999998</v>
      </c>
      <c r="AF14">
        <f t="shared" si="0"/>
        <v>1</v>
      </c>
    </row>
    <row r="15" spans="1:35" x14ac:dyDescent="0.25">
      <c r="A15" s="1">
        <v>39468</v>
      </c>
      <c r="B15">
        <v>41.1</v>
      </c>
      <c r="C15">
        <v>41.69</v>
      </c>
      <c r="D15">
        <v>42.91</v>
      </c>
      <c r="E15">
        <v>47.03</v>
      </c>
      <c r="F15">
        <v>47.29</v>
      </c>
      <c r="G15">
        <v>47.54</v>
      </c>
      <c r="H15">
        <v>39.94</v>
      </c>
      <c r="I15">
        <v>39.97</v>
      </c>
      <c r="J15">
        <v>39.99</v>
      </c>
      <c r="K15">
        <v>40.54</v>
      </c>
      <c r="L15">
        <v>40.54</v>
      </c>
      <c r="M15">
        <v>40.549999999999997</v>
      </c>
      <c r="P15">
        <v>22.69</v>
      </c>
      <c r="Q15">
        <v>23.12</v>
      </c>
      <c r="R15">
        <v>23.9</v>
      </c>
      <c r="S15">
        <v>21.77</v>
      </c>
      <c r="T15">
        <v>21.99</v>
      </c>
      <c r="U15">
        <v>22.2</v>
      </c>
      <c r="V15">
        <v>18.37</v>
      </c>
      <c r="W15">
        <v>18.43</v>
      </c>
      <c r="X15">
        <v>18.48</v>
      </c>
      <c r="Y15">
        <v>23.71</v>
      </c>
      <c r="Z15">
        <v>23.81</v>
      </c>
      <c r="AA15">
        <v>23.92</v>
      </c>
      <c r="AC15">
        <v>22.69</v>
      </c>
      <c r="AE15">
        <v>17.510000000000002</v>
      </c>
      <c r="AF15">
        <f t="shared" si="0"/>
        <v>1</v>
      </c>
    </row>
    <row r="16" spans="1:35" x14ac:dyDescent="0.25">
      <c r="A16" s="1">
        <v>39469</v>
      </c>
      <c r="B16">
        <v>41.76</v>
      </c>
      <c r="C16">
        <v>42.36</v>
      </c>
      <c r="D16">
        <v>43.61</v>
      </c>
      <c r="E16">
        <v>47.17</v>
      </c>
      <c r="F16">
        <v>47.43</v>
      </c>
      <c r="G16">
        <v>47.68</v>
      </c>
      <c r="H16">
        <v>41.17</v>
      </c>
      <c r="I16">
        <v>41.19</v>
      </c>
      <c r="J16">
        <v>41.22</v>
      </c>
      <c r="K16">
        <v>41.3</v>
      </c>
      <c r="L16">
        <v>41.31</v>
      </c>
      <c r="M16">
        <v>41.31</v>
      </c>
      <c r="P16">
        <v>22.7</v>
      </c>
      <c r="Q16">
        <v>23.12</v>
      </c>
      <c r="R16">
        <v>23.91</v>
      </c>
      <c r="S16">
        <v>22.19</v>
      </c>
      <c r="T16">
        <v>22.41</v>
      </c>
      <c r="U16">
        <v>22.63</v>
      </c>
      <c r="V16">
        <v>18.510000000000002</v>
      </c>
      <c r="W16">
        <v>18.559999999999999</v>
      </c>
      <c r="X16">
        <v>18.61</v>
      </c>
      <c r="Y16">
        <v>22.78</v>
      </c>
      <c r="Z16">
        <v>22.88</v>
      </c>
      <c r="AA16">
        <v>22.98</v>
      </c>
      <c r="AC16">
        <v>22.7</v>
      </c>
      <c r="AE16">
        <v>17.53</v>
      </c>
      <c r="AF16">
        <f t="shared" si="0"/>
        <v>1</v>
      </c>
    </row>
    <row r="17" spans="1:32" x14ac:dyDescent="0.25">
      <c r="A17" s="1">
        <v>39470</v>
      </c>
      <c r="B17">
        <v>41.25</v>
      </c>
      <c r="C17">
        <v>41.84</v>
      </c>
      <c r="D17">
        <v>43.07</v>
      </c>
      <c r="E17">
        <v>45.83</v>
      </c>
      <c r="F17">
        <v>46.08</v>
      </c>
      <c r="G17">
        <v>46.32</v>
      </c>
      <c r="H17">
        <v>40.200000000000003</v>
      </c>
      <c r="I17">
        <v>40.22</v>
      </c>
      <c r="J17">
        <v>40.24</v>
      </c>
      <c r="K17">
        <v>40.35</v>
      </c>
      <c r="L17">
        <v>40.36</v>
      </c>
      <c r="M17">
        <v>40.36</v>
      </c>
      <c r="P17">
        <v>22.7</v>
      </c>
      <c r="Q17">
        <v>23.13</v>
      </c>
      <c r="R17">
        <v>23.92</v>
      </c>
      <c r="S17">
        <v>22.71</v>
      </c>
      <c r="T17">
        <v>22.94</v>
      </c>
      <c r="U17">
        <v>23.17</v>
      </c>
      <c r="V17">
        <v>18.899999999999999</v>
      </c>
      <c r="W17">
        <v>18.96</v>
      </c>
      <c r="X17">
        <v>19.010000000000002</v>
      </c>
      <c r="Y17">
        <v>23.32</v>
      </c>
      <c r="Z17">
        <v>23.43</v>
      </c>
      <c r="AA17">
        <v>23.54</v>
      </c>
      <c r="AC17">
        <v>22.7</v>
      </c>
      <c r="AE17">
        <v>17.559999999999999</v>
      </c>
      <c r="AF17">
        <f t="shared" si="0"/>
        <v>1</v>
      </c>
    </row>
    <row r="18" spans="1:32" x14ac:dyDescent="0.25">
      <c r="A18" s="1">
        <v>39471</v>
      </c>
      <c r="B18">
        <v>43.34</v>
      </c>
      <c r="C18">
        <v>43.96</v>
      </c>
      <c r="D18">
        <v>45.25</v>
      </c>
      <c r="E18">
        <v>48.3</v>
      </c>
      <c r="F18">
        <v>48.56</v>
      </c>
      <c r="G18">
        <v>48.82</v>
      </c>
      <c r="H18">
        <v>42.27</v>
      </c>
      <c r="I18">
        <v>42.3</v>
      </c>
      <c r="J18">
        <v>42.32</v>
      </c>
      <c r="K18">
        <v>42.16</v>
      </c>
      <c r="L18">
        <v>42.16</v>
      </c>
      <c r="M18">
        <v>42.17</v>
      </c>
      <c r="P18">
        <v>22.78</v>
      </c>
      <c r="Q18">
        <v>23.21</v>
      </c>
      <c r="R18">
        <v>23.99</v>
      </c>
      <c r="S18">
        <v>21.58</v>
      </c>
      <c r="T18">
        <v>21.79</v>
      </c>
      <c r="U18">
        <v>22</v>
      </c>
      <c r="V18">
        <v>18.2</v>
      </c>
      <c r="W18">
        <v>18.239999999999998</v>
      </c>
      <c r="X18">
        <v>18.29</v>
      </c>
      <c r="Y18">
        <v>23.11</v>
      </c>
      <c r="Z18">
        <v>23.21</v>
      </c>
      <c r="AA18">
        <v>23.31</v>
      </c>
      <c r="AC18">
        <v>22.78</v>
      </c>
      <c r="AE18">
        <v>17.579999999999998</v>
      </c>
      <c r="AF18">
        <f t="shared" si="0"/>
        <v>1</v>
      </c>
    </row>
    <row r="19" spans="1:32" x14ac:dyDescent="0.25">
      <c r="A19" s="1">
        <v>39472</v>
      </c>
      <c r="B19">
        <v>43.55</v>
      </c>
      <c r="C19">
        <v>44.18</v>
      </c>
      <c r="D19">
        <v>45.48</v>
      </c>
      <c r="E19">
        <v>48.55</v>
      </c>
      <c r="F19">
        <v>48.81</v>
      </c>
      <c r="G19">
        <v>49.07</v>
      </c>
      <c r="H19">
        <v>42.38</v>
      </c>
      <c r="I19">
        <v>42.4</v>
      </c>
      <c r="J19">
        <v>42.42</v>
      </c>
      <c r="K19">
        <v>43.26</v>
      </c>
      <c r="L19">
        <v>43.26</v>
      </c>
      <c r="M19">
        <v>43.27</v>
      </c>
      <c r="P19">
        <v>22.81</v>
      </c>
      <c r="Q19">
        <v>23.23</v>
      </c>
      <c r="R19">
        <v>24.02</v>
      </c>
      <c r="S19">
        <v>21.23</v>
      </c>
      <c r="T19">
        <v>21.44</v>
      </c>
      <c r="U19">
        <v>21.64</v>
      </c>
      <c r="V19">
        <v>17.93</v>
      </c>
      <c r="W19">
        <v>17.98</v>
      </c>
      <c r="X19">
        <v>18.03</v>
      </c>
      <c r="Y19">
        <v>23.49</v>
      </c>
      <c r="Z19">
        <v>23.59</v>
      </c>
      <c r="AA19">
        <v>23.69</v>
      </c>
      <c r="AC19">
        <v>22.81</v>
      </c>
      <c r="AE19">
        <v>17.61</v>
      </c>
      <c r="AF19">
        <f t="shared" si="0"/>
        <v>1</v>
      </c>
    </row>
    <row r="20" spans="1:32" x14ac:dyDescent="0.25">
      <c r="A20" s="1">
        <v>39475</v>
      </c>
      <c r="B20">
        <v>42.51</v>
      </c>
      <c r="C20">
        <v>43.12</v>
      </c>
      <c r="D20">
        <v>44.39</v>
      </c>
      <c r="E20">
        <v>47.03</v>
      </c>
      <c r="F20">
        <v>47.29</v>
      </c>
      <c r="G20">
        <v>47.54</v>
      </c>
      <c r="H20">
        <v>41.19</v>
      </c>
      <c r="I20">
        <v>41.21</v>
      </c>
      <c r="J20">
        <v>41.23</v>
      </c>
      <c r="K20">
        <v>42.75</v>
      </c>
      <c r="L20">
        <v>42.76</v>
      </c>
      <c r="M20">
        <v>42.77</v>
      </c>
      <c r="P20">
        <v>22.82</v>
      </c>
      <c r="Q20">
        <v>23.25</v>
      </c>
      <c r="R20">
        <v>24.03</v>
      </c>
      <c r="S20">
        <v>20.78</v>
      </c>
      <c r="T20">
        <v>20.97</v>
      </c>
      <c r="U20">
        <v>21.17</v>
      </c>
      <c r="V20">
        <v>17.510000000000002</v>
      </c>
      <c r="W20">
        <v>17.559999999999999</v>
      </c>
      <c r="X20">
        <v>17.61</v>
      </c>
      <c r="Y20">
        <v>23.76</v>
      </c>
      <c r="Z20">
        <v>23.86</v>
      </c>
      <c r="AA20">
        <v>23.96</v>
      </c>
      <c r="AC20">
        <v>22.82</v>
      </c>
      <c r="AE20">
        <v>17.77</v>
      </c>
      <c r="AF20">
        <f t="shared" si="0"/>
        <v>1</v>
      </c>
    </row>
    <row r="21" spans="1:32" x14ac:dyDescent="0.25">
      <c r="A21" s="1">
        <v>39476</v>
      </c>
      <c r="B21">
        <v>43.83</v>
      </c>
      <c r="C21">
        <v>44.46</v>
      </c>
      <c r="D21">
        <v>45.77</v>
      </c>
      <c r="E21">
        <v>48.04</v>
      </c>
      <c r="F21">
        <v>48.3</v>
      </c>
      <c r="G21">
        <v>48.56</v>
      </c>
      <c r="H21">
        <v>42.22</v>
      </c>
      <c r="I21">
        <v>42.25</v>
      </c>
      <c r="J21">
        <v>42.27</v>
      </c>
      <c r="K21">
        <v>43.88</v>
      </c>
      <c r="L21">
        <v>43.89</v>
      </c>
      <c r="M21">
        <v>43.9</v>
      </c>
      <c r="P21">
        <v>22.83</v>
      </c>
      <c r="Q21">
        <v>23.27</v>
      </c>
      <c r="R21">
        <v>24.06</v>
      </c>
      <c r="S21">
        <v>22.3</v>
      </c>
      <c r="T21">
        <v>22.52</v>
      </c>
      <c r="U21">
        <v>22.75</v>
      </c>
      <c r="V21">
        <v>18.670000000000002</v>
      </c>
      <c r="W21">
        <v>18.72</v>
      </c>
      <c r="X21">
        <v>18.77</v>
      </c>
      <c r="Y21">
        <v>23.71</v>
      </c>
      <c r="Z21">
        <v>23.82</v>
      </c>
      <c r="AA21">
        <v>23.92</v>
      </c>
      <c r="AC21">
        <v>22.83</v>
      </c>
      <c r="AE21">
        <v>17.82</v>
      </c>
      <c r="AF21">
        <f t="shared" si="0"/>
        <v>1</v>
      </c>
    </row>
    <row r="22" spans="1:32" x14ac:dyDescent="0.25">
      <c r="A22" s="1">
        <v>39477</v>
      </c>
      <c r="B22">
        <v>43.65</v>
      </c>
      <c r="C22">
        <v>44.28</v>
      </c>
      <c r="D22">
        <v>45.59</v>
      </c>
      <c r="E22">
        <v>47.85</v>
      </c>
      <c r="F22">
        <v>48.11</v>
      </c>
      <c r="G22">
        <v>48.37</v>
      </c>
      <c r="H22">
        <v>42.07</v>
      </c>
      <c r="I22">
        <v>42.1</v>
      </c>
      <c r="J22">
        <v>42.12</v>
      </c>
      <c r="K22">
        <v>43.39</v>
      </c>
      <c r="L22">
        <v>43.4</v>
      </c>
      <c r="M22">
        <v>43.41</v>
      </c>
      <c r="P22">
        <v>22.84</v>
      </c>
      <c r="Q22">
        <v>23.28</v>
      </c>
      <c r="R22">
        <v>24.08</v>
      </c>
      <c r="S22">
        <v>23.14</v>
      </c>
      <c r="T22">
        <v>23.37</v>
      </c>
      <c r="U22">
        <v>23.61</v>
      </c>
      <c r="V22">
        <v>19.13</v>
      </c>
      <c r="W22">
        <v>19.190000000000001</v>
      </c>
      <c r="X22">
        <v>19.239999999999998</v>
      </c>
      <c r="Y22">
        <v>23.85</v>
      </c>
      <c r="Z22">
        <v>23.96</v>
      </c>
      <c r="AA22">
        <v>24.08</v>
      </c>
      <c r="AC22">
        <v>22.84</v>
      </c>
      <c r="AE22">
        <v>17.829999999999998</v>
      </c>
      <c r="AF22">
        <f t="shared" si="0"/>
        <v>1</v>
      </c>
    </row>
    <row r="23" spans="1:32" x14ac:dyDescent="0.25">
      <c r="A23" s="1">
        <v>39478</v>
      </c>
      <c r="B23">
        <v>43.03</v>
      </c>
      <c r="C23">
        <v>43.65</v>
      </c>
      <c r="D23">
        <v>44.94</v>
      </c>
      <c r="E23">
        <v>47.2</v>
      </c>
      <c r="F23">
        <v>47.46</v>
      </c>
      <c r="G23">
        <v>47.72</v>
      </c>
      <c r="H23">
        <v>41.88</v>
      </c>
      <c r="I23">
        <v>41.91</v>
      </c>
      <c r="J23">
        <v>41.93</v>
      </c>
      <c r="K23">
        <v>43.21</v>
      </c>
      <c r="L23">
        <v>43.22</v>
      </c>
      <c r="M23">
        <v>43.23</v>
      </c>
      <c r="P23">
        <v>22.94</v>
      </c>
      <c r="Q23">
        <v>23.37</v>
      </c>
      <c r="R23">
        <v>24.18</v>
      </c>
      <c r="S23">
        <v>22.95</v>
      </c>
      <c r="T23">
        <v>23.18</v>
      </c>
      <c r="U23">
        <v>23.41</v>
      </c>
      <c r="V23">
        <v>19</v>
      </c>
      <c r="W23">
        <v>19.05</v>
      </c>
      <c r="X23">
        <v>19.11</v>
      </c>
      <c r="Y23">
        <v>24.12</v>
      </c>
      <c r="Z23">
        <v>24.23</v>
      </c>
      <c r="AA23">
        <v>24.35</v>
      </c>
      <c r="AC23">
        <v>22.94</v>
      </c>
      <c r="AE23">
        <v>17.84</v>
      </c>
      <c r="AF23">
        <f t="shared" si="0"/>
        <v>1</v>
      </c>
    </row>
    <row r="24" spans="1:32" x14ac:dyDescent="0.25">
      <c r="A24" s="1">
        <v>39479</v>
      </c>
      <c r="B24">
        <v>44.01</v>
      </c>
      <c r="C24">
        <v>44.65</v>
      </c>
      <c r="D24">
        <v>45.97</v>
      </c>
      <c r="E24">
        <v>48.27</v>
      </c>
      <c r="F24">
        <v>48.54</v>
      </c>
      <c r="G24">
        <v>48.81</v>
      </c>
      <c r="H24">
        <v>42.49</v>
      </c>
      <c r="I24">
        <v>42.52</v>
      </c>
      <c r="J24">
        <v>42.54</v>
      </c>
      <c r="K24">
        <v>43.85</v>
      </c>
      <c r="L24">
        <v>43.86</v>
      </c>
      <c r="M24">
        <v>43.87</v>
      </c>
      <c r="P24">
        <v>22.95</v>
      </c>
      <c r="Q24">
        <v>23.38</v>
      </c>
      <c r="R24">
        <v>24.18</v>
      </c>
      <c r="S24">
        <v>21.87</v>
      </c>
      <c r="T24">
        <v>22.09</v>
      </c>
      <c r="U24">
        <v>22.31</v>
      </c>
      <c r="V24">
        <v>18.53</v>
      </c>
      <c r="W24">
        <v>18.59</v>
      </c>
      <c r="X24">
        <v>18.64</v>
      </c>
      <c r="Y24">
        <v>23.89</v>
      </c>
      <c r="Z24">
        <v>23.99</v>
      </c>
      <c r="AA24">
        <v>24.1</v>
      </c>
      <c r="AC24">
        <v>22.95</v>
      </c>
      <c r="AE24">
        <v>17.850000000000001</v>
      </c>
      <c r="AF24">
        <f t="shared" si="0"/>
        <v>1</v>
      </c>
    </row>
    <row r="25" spans="1:32" x14ac:dyDescent="0.25">
      <c r="A25" s="1">
        <v>39482</v>
      </c>
      <c r="B25">
        <v>44.4</v>
      </c>
      <c r="C25">
        <v>45.05</v>
      </c>
      <c r="D25">
        <v>46.38</v>
      </c>
      <c r="E25">
        <v>48.75</v>
      </c>
      <c r="F25">
        <v>49.02</v>
      </c>
      <c r="G25">
        <v>49.29</v>
      </c>
      <c r="H25">
        <v>42.52</v>
      </c>
      <c r="I25">
        <v>42.55</v>
      </c>
      <c r="J25">
        <v>42.58</v>
      </c>
      <c r="K25">
        <v>44.19</v>
      </c>
      <c r="L25">
        <v>44.21</v>
      </c>
      <c r="M25">
        <v>44.22</v>
      </c>
      <c r="P25">
        <v>22.98</v>
      </c>
      <c r="Q25">
        <v>23.42</v>
      </c>
      <c r="R25">
        <v>24.21</v>
      </c>
      <c r="S25">
        <v>22.31</v>
      </c>
      <c r="T25">
        <v>22.53</v>
      </c>
      <c r="U25">
        <v>22.76</v>
      </c>
      <c r="V25">
        <v>18.88</v>
      </c>
      <c r="W25">
        <v>18.93</v>
      </c>
      <c r="X25">
        <v>18.98</v>
      </c>
      <c r="Y25">
        <v>24.36</v>
      </c>
      <c r="Z25">
        <v>24.47</v>
      </c>
      <c r="AA25">
        <v>24.58</v>
      </c>
      <c r="AC25">
        <v>22.98</v>
      </c>
      <c r="AE25">
        <v>17.86</v>
      </c>
      <c r="AF25">
        <f t="shared" si="0"/>
        <v>1</v>
      </c>
    </row>
    <row r="26" spans="1:32" x14ac:dyDescent="0.25">
      <c r="A26" s="1">
        <v>39483</v>
      </c>
      <c r="B26">
        <v>43.18</v>
      </c>
      <c r="C26">
        <v>43.81</v>
      </c>
      <c r="D26">
        <v>45.1</v>
      </c>
      <c r="E26">
        <v>47.53</v>
      </c>
      <c r="F26">
        <v>47.79</v>
      </c>
      <c r="G26">
        <v>48.06</v>
      </c>
      <c r="H26">
        <v>41.3</v>
      </c>
      <c r="I26">
        <v>41.33</v>
      </c>
      <c r="J26">
        <v>41.35</v>
      </c>
      <c r="K26">
        <v>43.02</v>
      </c>
      <c r="L26">
        <v>43.03</v>
      </c>
      <c r="M26">
        <v>43.05</v>
      </c>
      <c r="P26">
        <v>23.07</v>
      </c>
      <c r="Q26">
        <v>23.49</v>
      </c>
      <c r="R26">
        <v>24.28</v>
      </c>
      <c r="S26">
        <v>22</v>
      </c>
      <c r="T26">
        <v>22.2</v>
      </c>
      <c r="U26">
        <v>22.41</v>
      </c>
      <c r="V26">
        <v>17.84</v>
      </c>
      <c r="W26">
        <v>17.88</v>
      </c>
      <c r="X26">
        <v>17.93</v>
      </c>
      <c r="Y26">
        <v>24.91</v>
      </c>
      <c r="Z26">
        <v>25.01</v>
      </c>
      <c r="AA26">
        <v>25.1</v>
      </c>
      <c r="AC26">
        <v>23.07</v>
      </c>
      <c r="AE26">
        <v>17.86</v>
      </c>
      <c r="AF26">
        <f t="shared" si="0"/>
        <v>2</v>
      </c>
    </row>
    <row r="27" spans="1:32" x14ac:dyDescent="0.25">
      <c r="A27" s="1">
        <v>39484</v>
      </c>
      <c r="B27">
        <v>43.2</v>
      </c>
      <c r="C27">
        <v>43.83</v>
      </c>
      <c r="D27">
        <v>45.12</v>
      </c>
      <c r="E27">
        <v>47.57</v>
      </c>
      <c r="F27">
        <v>47.84</v>
      </c>
      <c r="G27">
        <v>48.1</v>
      </c>
      <c r="H27">
        <v>41.47</v>
      </c>
      <c r="I27">
        <v>41.49</v>
      </c>
      <c r="J27">
        <v>41.52</v>
      </c>
      <c r="K27">
        <v>43.05</v>
      </c>
      <c r="L27">
        <v>43.07</v>
      </c>
      <c r="M27">
        <v>43.08</v>
      </c>
      <c r="P27">
        <v>23.08</v>
      </c>
      <c r="Q27">
        <v>23.52</v>
      </c>
      <c r="R27">
        <v>24.33</v>
      </c>
      <c r="S27">
        <v>23.23</v>
      </c>
      <c r="T27">
        <v>23.46</v>
      </c>
      <c r="U27">
        <v>23.7</v>
      </c>
      <c r="V27">
        <v>19.190000000000001</v>
      </c>
      <c r="W27">
        <v>19.239999999999998</v>
      </c>
      <c r="X27">
        <v>19.3</v>
      </c>
      <c r="Y27">
        <v>24.66</v>
      </c>
      <c r="Z27">
        <v>24.77</v>
      </c>
      <c r="AA27">
        <v>24.89</v>
      </c>
      <c r="AC27">
        <v>23.08</v>
      </c>
      <c r="AE27">
        <v>17.88</v>
      </c>
      <c r="AF27">
        <f t="shared" si="0"/>
        <v>1</v>
      </c>
    </row>
    <row r="28" spans="1:32" x14ac:dyDescent="0.25">
      <c r="A28" s="1">
        <v>39485</v>
      </c>
      <c r="B28">
        <v>42.52</v>
      </c>
      <c r="C28">
        <v>43.14</v>
      </c>
      <c r="D28">
        <v>44.42</v>
      </c>
      <c r="E28">
        <v>46.34</v>
      </c>
      <c r="F28">
        <v>46.59</v>
      </c>
      <c r="G28">
        <v>46.85</v>
      </c>
      <c r="H28">
        <v>40.75</v>
      </c>
      <c r="I28">
        <v>40.78</v>
      </c>
      <c r="J28">
        <v>40.799999999999997</v>
      </c>
      <c r="K28">
        <v>42.15</v>
      </c>
      <c r="L28">
        <v>42.16</v>
      </c>
      <c r="M28">
        <v>42.18</v>
      </c>
      <c r="P28">
        <v>23.12</v>
      </c>
      <c r="Q28">
        <v>23.55</v>
      </c>
      <c r="R28">
        <v>24.35</v>
      </c>
      <c r="S28">
        <v>22.2</v>
      </c>
      <c r="T28">
        <v>22.42</v>
      </c>
      <c r="U28">
        <v>22.63</v>
      </c>
      <c r="V28">
        <v>18.489999999999998</v>
      </c>
      <c r="W28">
        <v>18.54</v>
      </c>
      <c r="X28">
        <v>18.59</v>
      </c>
      <c r="Y28">
        <v>24.25</v>
      </c>
      <c r="Z28">
        <v>24.35</v>
      </c>
      <c r="AA28">
        <v>24.45</v>
      </c>
      <c r="AC28">
        <v>23.12</v>
      </c>
      <c r="AE28">
        <v>17.88</v>
      </c>
      <c r="AF28">
        <f t="shared" si="0"/>
        <v>2</v>
      </c>
    </row>
    <row r="29" spans="1:32" x14ac:dyDescent="0.25">
      <c r="A29" s="1">
        <v>39486</v>
      </c>
      <c r="B29">
        <v>42.68</v>
      </c>
      <c r="C29">
        <v>43.3</v>
      </c>
      <c r="D29">
        <v>44.59</v>
      </c>
      <c r="E29">
        <v>46.39</v>
      </c>
      <c r="F29">
        <v>46.65</v>
      </c>
      <c r="G29">
        <v>46.91</v>
      </c>
      <c r="H29">
        <v>41.23</v>
      </c>
      <c r="I29">
        <v>41.26</v>
      </c>
      <c r="J29">
        <v>41.29</v>
      </c>
      <c r="K29">
        <v>42.51</v>
      </c>
      <c r="L29">
        <v>42.52</v>
      </c>
      <c r="M29">
        <v>42.53</v>
      </c>
      <c r="P29">
        <v>23.17</v>
      </c>
      <c r="Q29">
        <v>23.61</v>
      </c>
      <c r="R29">
        <v>24.41</v>
      </c>
      <c r="S29">
        <v>22.02</v>
      </c>
      <c r="T29">
        <v>22.23</v>
      </c>
      <c r="U29">
        <v>22.45</v>
      </c>
      <c r="V29">
        <v>18.37</v>
      </c>
      <c r="W29">
        <v>18.420000000000002</v>
      </c>
      <c r="X29">
        <v>18.47</v>
      </c>
      <c r="Y29">
        <v>23.91</v>
      </c>
      <c r="Z29">
        <v>24.01</v>
      </c>
      <c r="AA29">
        <v>24.12</v>
      </c>
      <c r="AC29">
        <v>23.17</v>
      </c>
      <c r="AE29">
        <v>17.899999999999999</v>
      </c>
      <c r="AF29">
        <f t="shared" si="0"/>
        <v>1</v>
      </c>
    </row>
    <row r="30" spans="1:32" x14ac:dyDescent="0.25">
      <c r="A30" s="1">
        <v>39489</v>
      </c>
      <c r="B30">
        <v>42.79</v>
      </c>
      <c r="C30">
        <v>43.42</v>
      </c>
      <c r="D30">
        <v>44.71</v>
      </c>
      <c r="E30">
        <v>46.06</v>
      </c>
      <c r="F30">
        <v>46.32</v>
      </c>
      <c r="G30">
        <v>46.58</v>
      </c>
      <c r="H30">
        <v>41.18</v>
      </c>
      <c r="I30">
        <v>41.2</v>
      </c>
      <c r="J30">
        <v>41.23</v>
      </c>
      <c r="K30">
        <v>42.75</v>
      </c>
      <c r="L30">
        <v>42.76</v>
      </c>
      <c r="M30">
        <v>42.78</v>
      </c>
      <c r="P30">
        <v>23.21</v>
      </c>
      <c r="Q30">
        <v>23.64</v>
      </c>
      <c r="R30">
        <v>24.44</v>
      </c>
      <c r="S30">
        <v>22.03</v>
      </c>
      <c r="T30">
        <v>22.24</v>
      </c>
      <c r="U30">
        <v>22.45</v>
      </c>
      <c r="V30">
        <v>18.45</v>
      </c>
      <c r="W30">
        <v>18.5</v>
      </c>
      <c r="X30">
        <v>18.55</v>
      </c>
      <c r="Y30">
        <v>24.2</v>
      </c>
      <c r="Z30">
        <v>24.31</v>
      </c>
      <c r="AA30">
        <v>24.41</v>
      </c>
      <c r="AC30">
        <v>23.21</v>
      </c>
      <c r="AE30">
        <v>17.899999999999999</v>
      </c>
      <c r="AF30">
        <f t="shared" si="0"/>
        <v>2</v>
      </c>
    </row>
    <row r="31" spans="1:32" x14ac:dyDescent="0.25">
      <c r="A31" s="1">
        <v>39490</v>
      </c>
      <c r="B31">
        <v>44.11</v>
      </c>
      <c r="C31">
        <v>44.76</v>
      </c>
      <c r="D31">
        <v>46.09</v>
      </c>
      <c r="E31">
        <v>47.61</v>
      </c>
      <c r="F31">
        <v>47.87</v>
      </c>
      <c r="G31">
        <v>48.14</v>
      </c>
      <c r="H31">
        <v>42.26</v>
      </c>
      <c r="I31">
        <v>42.29</v>
      </c>
      <c r="J31">
        <v>42.32</v>
      </c>
      <c r="K31">
        <v>44.33</v>
      </c>
      <c r="L31">
        <v>44.34</v>
      </c>
      <c r="M31">
        <v>44.35</v>
      </c>
      <c r="P31">
        <v>23.21</v>
      </c>
      <c r="Q31">
        <v>23.65</v>
      </c>
      <c r="R31">
        <v>24.46</v>
      </c>
      <c r="S31">
        <v>22.39</v>
      </c>
      <c r="T31">
        <v>22.61</v>
      </c>
      <c r="U31">
        <v>22.83</v>
      </c>
      <c r="V31">
        <v>18.690000000000001</v>
      </c>
      <c r="W31">
        <v>18.739999999999998</v>
      </c>
      <c r="X31">
        <v>18.79</v>
      </c>
      <c r="Y31">
        <v>24.29</v>
      </c>
      <c r="Z31">
        <v>24.4</v>
      </c>
      <c r="AA31">
        <v>24.51</v>
      </c>
      <c r="AC31">
        <v>23.21</v>
      </c>
      <c r="AE31">
        <v>17.899999999999999</v>
      </c>
      <c r="AF31">
        <f t="shared" si="0"/>
        <v>3</v>
      </c>
    </row>
    <row r="32" spans="1:32" x14ac:dyDescent="0.25">
      <c r="A32" s="1">
        <v>39491</v>
      </c>
      <c r="B32">
        <v>44.67</v>
      </c>
      <c r="C32">
        <v>45.33</v>
      </c>
      <c r="D32">
        <v>46.68</v>
      </c>
      <c r="E32">
        <v>48.56</v>
      </c>
      <c r="F32">
        <v>48.84</v>
      </c>
      <c r="G32">
        <v>49.11</v>
      </c>
      <c r="H32">
        <v>42.56</v>
      </c>
      <c r="I32">
        <v>42.59</v>
      </c>
      <c r="J32">
        <v>42.62</v>
      </c>
      <c r="K32">
        <v>44.82</v>
      </c>
      <c r="L32">
        <v>44.83</v>
      </c>
      <c r="M32">
        <v>44.85</v>
      </c>
      <c r="P32">
        <v>23.22</v>
      </c>
      <c r="Q32">
        <v>23.66</v>
      </c>
      <c r="R32">
        <v>24.47</v>
      </c>
      <c r="S32">
        <v>22.57</v>
      </c>
      <c r="T32">
        <v>22.79</v>
      </c>
      <c r="U32">
        <v>23.02</v>
      </c>
      <c r="V32">
        <v>19.059999999999999</v>
      </c>
      <c r="W32">
        <v>19.12</v>
      </c>
      <c r="X32">
        <v>19.170000000000002</v>
      </c>
      <c r="Y32">
        <v>24.8</v>
      </c>
      <c r="Z32">
        <v>24.91</v>
      </c>
      <c r="AA32">
        <v>25.02</v>
      </c>
      <c r="AC32">
        <v>23.22</v>
      </c>
      <c r="AE32">
        <v>17.91</v>
      </c>
      <c r="AF32">
        <f t="shared" si="0"/>
        <v>1</v>
      </c>
    </row>
    <row r="33" spans="1:32" x14ac:dyDescent="0.25">
      <c r="A33" s="1">
        <v>39492</v>
      </c>
      <c r="B33">
        <v>45.01</v>
      </c>
      <c r="C33">
        <v>45.68</v>
      </c>
      <c r="D33">
        <v>47.03</v>
      </c>
      <c r="E33">
        <v>49.05</v>
      </c>
      <c r="F33">
        <v>49.33</v>
      </c>
      <c r="G33">
        <v>49.61</v>
      </c>
      <c r="H33">
        <v>42.84</v>
      </c>
      <c r="I33">
        <v>42.87</v>
      </c>
      <c r="J33">
        <v>42.9</v>
      </c>
      <c r="K33">
        <v>45.1</v>
      </c>
      <c r="L33">
        <v>45.11</v>
      </c>
      <c r="M33">
        <v>45.13</v>
      </c>
      <c r="P33">
        <v>23.23</v>
      </c>
      <c r="Q33">
        <v>23.66</v>
      </c>
      <c r="R33">
        <v>24.46</v>
      </c>
      <c r="S33">
        <v>20.93</v>
      </c>
      <c r="T33">
        <v>21.13</v>
      </c>
      <c r="U33">
        <v>21.33</v>
      </c>
      <c r="V33">
        <v>17.850000000000001</v>
      </c>
      <c r="W33">
        <v>17.899999999999999</v>
      </c>
      <c r="X33">
        <v>17.95</v>
      </c>
      <c r="Y33">
        <v>24.49</v>
      </c>
      <c r="Z33">
        <v>24.59</v>
      </c>
      <c r="AA33">
        <v>24.69</v>
      </c>
      <c r="AC33">
        <v>23.23</v>
      </c>
      <c r="AE33">
        <v>17.93</v>
      </c>
      <c r="AF33">
        <f t="shared" si="0"/>
        <v>1</v>
      </c>
    </row>
    <row r="34" spans="1:32" x14ac:dyDescent="0.25">
      <c r="A34" s="1">
        <v>39493</v>
      </c>
      <c r="B34">
        <v>44.4</v>
      </c>
      <c r="C34">
        <v>45.05</v>
      </c>
      <c r="D34">
        <v>46.39</v>
      </c>
      <c r="E34">
        <v>48.22</v>
      </c>
      <c r="F34">
        <v>48.49</v>
      </c>
      <c r="G34">
        <v>48.77</v>
      </c>
      <c r="H34">
        <v>42.04</v>
      </c>
      <c r="I34">
        <v>42.07</v>
      </c>
      <c r="J34">
        <v>42.1</v>
      </c>
      <c r="K34">
        <v>44.49</v>
      </c>
      <c r="L34">
        <v>44.5</v>
      </c>
      <c r="M34">
        <v>44.52</v>
      </c>
      <c r="P34">
        <v>23.28</v>
      </c>
      <c r="Q34">
        <v>23.72</v>
      </c>
      <c r="R34">
        <v>24.52</v>
      </c>
      <c r="S34">
        <v>22.36</v>
      </c>
      <c r="T34">
        <v>22.58</v>
      </c>
      <c r="U34">
        <v>22.8</v>
      </c>
      <c r="V34">
        <v>18.62</v>
      </c>
      <c r="W34">
        <v>18.670000000000002</v>
      </c>
      <c r="X34">
        <v>18.72</v>
      </c>
      <c r="Y34">
        <v>24.82</v>
      </c>
      <c r="Z34">
        <v>24.93</v>
      </c>
      <c r="AA34">
        <v>25.04</v>
      </c>
      <c r="AC34">
        <v>23.28</v>
      </c>
      <c r="AE34">
        <v>17.93</v>
      </c>
      <c r="AF34">
        <f t="shared" si="0"/>
        <v>2</v>
      </c>
    </row>
    <row r="35" spans="1:32" x14ac:dyDescent="0.25">
      <c r="A35" s="1">
        <v>39496</v>
      </c>
      <c r="B35">
        <v>45.37</v>
      </c>
      <c r="C35">
        <v>46.04</v>
      </c>
      <c r="D35">
        <v>47.41</v>
      </c>
      <c r="E35">
        <v>49.07</v>
      </c>
      <c r="F35">
        <v>49.35</v>
      </c>
      <c r="G35">
        <v>49.64</v>
      </c>
      <c r="H35">
        <v>42.95</v>
      </c>
      <c r="I35">
        <v>42.98</v>
      </c>
      <c r="J35">
        <v>43.01</v>
      </c>
      <c r="K35">
        <v>45.07</v>
      </c>
      <c r="L35">
        <v>45.09</v>
      </c>
      <c r="M35">
        <v>45.1</v>
      </c>
      <c r="P35">
        <v>23.28</v>
      </c>
      <c r="Q35">
        <v>23.72</v>
      </c>
      <c r="R35">
        <v>24.53</v>
      </c>
      <c r="S35">
        <v>22.27</v>
      </c>
      <c r="T35">
        <v>22.49</v>
      </c>
      <c r="U35">
        <v>22.71</v>
      </c>
      <c r="V35">
        <v>18.91</v>
      </c>
      <c r="W35">
        <v>18.96</v>
      </c>
      <c r="X35">
        <v>19.010000000000002</v>
      </c>
      <c r="Y35">
        <v>24.52</v>
      </c>
      <c r="Z35">
        <v>24.64</v>
      </c>
      <c r="AA35">
        <v>24.75</v>
      </c>
      <c r="AC35">
        <v>23.28</v>
      </c>
      <c r="AE35">
        <v>17.93</v>
      </c>
      <c r="AF35">
        <f t="shared" si="0"/>
        <v>3</v>
      </c>
    </row>
    <row r="36" spans="1:32" x14ac:dyDescent="0.25">
      <c r="A36" s="1">
        <v>39497</v>
      </c>
      <c r="B36">
        <v>45.37</v>
      </c>
      <c r="C36">
        <v>46.04</v>
      </c>
      <c r="D36">
        <v>47.41</v>
      </c>
      <c r="E36">
        <v>49.28</v>
      </c>
      <c r="F36">
        <v>49.56</v>
      </c>
      <c r="G36">
        <v>49.85</v>
      </c>
      <c r="H36">
        <v>43.06</v>
      </c>
      <c r="I36">
        <v>43.09</v>
      </c>
      <c r="J36">
        <v>43.12</v>
      </c>
      <c r="K36">
        <v>45.18</v>
      </c>
      <c r="L36">
        <v>45.19</v>
      </c>
      <c r="M36">
        <v>45.21</v>
      </c>
      <c r="P36">
        <v>23.54</v>
      </c>
      <c r="Q36">
        <v>23.98</v>
      </c>
      <c r="R36">
        <v>24.78</v>
      </c>
      <c r="S36">
        <v>21.25</v>
      </c>
      <c r="T36">
        <v>21.45</v>
      </c>
      <c r="U36">
        <v>21.65</v>
      </c>
      <c r="V36">
        <v>18.18</v>
      </c>
      <c r="W36">
        <v>18.22</v>
      </c>
      <c r="X36">
        <v>18.27</v>
      </c>
      <c r="Y36">
        <v>24.12</v>
      </c>
      <c r="Z36">
        <v>24.21</v>
      </c>
      <c r="AA36">
        <v>24.31</v>
      </c>
      <c r="AC36">
        <v>23.54</v>
      </c>
      <c r="AE36">
        <v>17.95</v>
      </c>
      <c r="AF36">
        <f t="shared" si="0"/>
        <v>1</v>
      </c>
    </row>
    <row r="37" spans="1:32" x14ac:dyDescent="0.25">
      <c r="A37" s="1">
        <v>39498</v>
      </c>
      <c r="B37">
        <v>45.07</v>
      </c>
      <c r="C37">
        <v>45.73</v>
      </c>
      <c r="D37">
        <v>47.09</v>
      </c>
      <c r="E37">
        <v>48.96</v>
      </c>
      <c r="F37">
        <v>49.24</v>
      </c>
      <c r="G37">
        <v>49.52</v>
      </c>
      <c r="H37">
        <v>42.83</v>
      </c>
      <c r="I37">
        <v>42.86</v>
      </c>
      <c r="J37">
        <v>42.89</v>
      </c>
      <c r="K37">
        <v>44.7</v>
      </c>
      <c r="L37">
        <v>44.72</v>
      </c>
      <c r="M37">
        <v>44.73</v>
      </c>
      <c r="P37">
        <v>23.59</v>
      </c>
      <c r="Q37">
        <v>24.02</v>
      </c>
      <c r="R37">
        <v>24.82</v>
      </c>
      <c r="S37">
        <v>22.45</v>
      </c>
      <c r="T37">
        <v>22.65</v>
      </c>
      <c r="U37">
        <v>22.86</v>
      </c>
      <c r="V37">
        <v>18.34</v>
      </c>
      <c r="W37">
        <v>18.39</v>
      </c>
      <c r="X37">
        <v>18.43</v>
      </c>
      <c r="Y37">
        <v>25.39</v>
      </c>
      <c r="Z37">
        <v>25.48</v>
      </c>
      <c r="AA37">
        <v>25.58</v>
      </c>
      <c r="AC37">
        <v>23.59</v>
      </c>
      <c r="AE37">
        <v>17.95</v>
      </c>
      <c r="AF37">
        <f t="shared" si="0"/>
        <v>2</v>
      </c>
    </row>
    <row r="38" spans="1:32" x14ac:dyDescent="0.25">
      <c r="A38" s="1">
        <v>39499</v>
      </c>
      <c r="B38">
        <v>45.11</v>
      </c>
      <c r="C38">
        <v>45.78</v>
      </c>
      <c r="D38">
        <v>47.15</v>
      </c>
      <c r="E38">
        <v>49.28</v>
      </c>
      <c r="F38">
        <v>49.57</v>
      </c>
      <c r="G38">
        <v>49.85</v>
      </c>
      <c r="H38">
        <v>42.91</v>
      </c>
      <c r="I38">
        <v>42.95</v>
      </c>
      <c r="J38">
        <v>42.98</v>
      </c>
      <c r="K38">
        <v>44.91</v>
      </c>
      <c r="L38">
        <v>44.93</v>
      </c>
      <c r="M38">
        <v>44.95</v>
      </c>
      <c r="P38">
        <v>23.68</v>
      </c>
      <c r="Q38">
        <v>24.11</v>
      </c>
      <c r="R38">
        <v>24.91</v>
      </c>
      <c r="S38">
        <v>22.17</v>
      </c>
      <c r="T38">
        <v>22.37</v>
      </c>
      <c r="U38">
        <v>22.58</v>
      </c>
      <c r="V38">
        <v>18.13</v>
      </c>
      <c r="W38">
        <v>18.18</v>
      </c>
      <c r="X38">
        <v>18.22</v>
      </c>
      <c r="Y38">
        <v>23.7</v>
      </c>
      <c r="Z38">
        <v>23.79</v>
      </c>
      <c r="AA38">
        <v>23.88</v>
      </c>
      <c r="AC38">
        <v>23.68</v>
      </c>
      <c r="AE38">
        <v>17.95</v>
      </c>
      <c r="AF38">
        <f t="shared" si="0"/>
        <v>3</v>
      </c>
    </row>
    <row r="39" spans="1:32" x14ac:dyDescent="0.25">
      <c r="A39" s="1">
        <v>39500</v>
      </c>
      <c r="B39">
        <v>44.58</v>
      </c>
      <c r="C39">
        <v>45.24</v>
      </c>
      <c r="D39">
        <v>46.59</v>
      </c>
      <c r="E39">
        <v>48.83</v>
      </c>
      <c r="F39">
        <v>49.12</v>
      </c>
      <c r="G39">
        <v>49.4</v>
      </c>
      <c r="H39">
        <v>42.52</v>
      </c>
      <c r="I39">
        <v>42.56</v>
      </c>
      <c r="J39">
        <v>42.59</v>
      </c>
      <c r="K39">
        <v>44.56</v>
      </c>
      <c r="L39">
        <v>44.58</v>
      </c>
      <c r="M39">
        <v>44.6</v>
      </c>
      <c r="P39">
        <v>24.09</v>
      </c>
      <c r="Q39">
        <v>24.52</v>
      </c>
      <c r="R39">
        <v>25.34</v>
      </c>
      <c r="S39">
        <v>22.69</v>
      </c>
      <c r="T39">
        <v>22.9</v>
      </c>
      <c r="U39">
        <v>23.11</v>
      </c>
      <c r="V39">
        <v>18.71</v>
      </c>
      <c r="W39">
        <v>18.75</v>
      </c>
      <c r="X39">
        <v>18.8</v>
      </c>
      <c r="Y39">
        <v>25.49</v>
      </c>
      <c r="Z39">
        <v>25.59</v>
      </c>
      <c r="AA39">
        <v>25.68</v>
      </c>
      <c r="AC39">
        <v>24.09</v>
      </c>
      <c r="AE39">
        <v>17.96</v>
      </c>
      <c r="AF39">
        <f t="shared" si="0"/>
        <v>1</v>
      </c>
    </row>
    <row r="40" spans="1:32" x14ac:dyDescent="0.25">
      <c r="A40" s="1">
        <v>39503</v>
      </c>
      <c r="B40">
        <v>44.63</v>
      </c>
      <c r="C40">
        <v>45.3</v>
      </c>
      <c r="D40">
        <v>46.65</v>
      </c>
      <c r="E40">
        <v>48.95</v>
      </c>
      <c r="F40">
        <v>49.24</v>
      </c>
      <c r="G40">
        <v>49.52</v>
      </c>
      <c r="H40">
        <v>42.63</v>
      </c>
      <c r="I40">
        <v>42.66</v>
      </c>
      <c r="J40">
        <v>42.69</v>
      </c>
      <c r="K40">
        <v>45.2</v>
      </c>
      <c r="L40">
        <v>45.23</v>
      </c>
      <c r="M40">
        <v>45.25</v>
      </c>
      <c r="P40">
        <v>24.22</v>
      </c>
      <c r="Q40">
        <v>24.66</v>
      </c>
      <c r="R40">
        <v>25.49</v>
      </c>
      <c r="S40">
        <v>23.16</v>
      </c>
      <c r="T40">
        <v>23.37</v>
      </c>
      <c r="U40">
        <v>23.59</v>
      </c>
      <c r="V40">
        <v>18.940000000000001</v>
      </c>
      <c r="W40">
        <v>18.989999999999998</v>
      </c>
      <c r="X40">
        <v>19.03</v>
      </c>
      <c r="Y40">
        <v>24.66</v>
      </c>
      <c r="Z40">
        <v>24.75</v>
      </c>
      <c r="AA40">
        <v>24.85</v>
      </c>
      <c r="AC40">
        <v>24.22</v>
      </c>
      <c r="AE40">
        <v>17.98</v>
      </c>
      <c r="AF40">
        <f t="shared" si="0"/>
        <v>1</v>
      </c>
    </row>
    <row r="41" spans="1:32" x14ac:dyDescent="0.25">
      <c r="A41" s="1">
        <v>39504</v>
      </c>
      <c r="B41">
        <v>44.36</v>
      </c>
      <c r="C41">
        <v>45.02</v>
      </c>
      <c r="D41">
        <v>46.36</v>
      </c>
      <c r="E41">
        <v>49.17</v>
      </c>
      <c r="F41">
        <v>49.46</v>
      </c>
      <c r="G41">
        <v>49.75</v>
      </c>
      <c r="H41">
        <v>42.7</v>
      </c>
      <c r="I41">
        <v>42.73</v>
      </c>
      <c r="J41">
        <v>42.77</v>
      </c>
      <c r="K41">
        <v>45.07</v>
      </c>
      <c r="L41">
        <v>45.09</v>
      </c>
      <c r="M41">
        <v>45.11</v>
      </c>
      <c r="P41">
        <v>24.23</v>
      </c>
      <c r="Q41">
        <v>24.68</v>
      </c>
      <c r="R41">
        <v>25.51</v>
      </c>
      <c r="S41">
        <v>21.59</v>
      </c>
      <c r="T41">
        <v>21.79</v>
      </c>
      <c r="U41">
        <v>22</v>
      </c>
      <c r="V41">
        <v>18.350000000000001</v>
      </c>
      <c r="W41">
        <v>18.399999999999999</v>
      </c>
      <c r="X41">
        <v>18.440000000000001</v>
      </c>
      <c r="Y41">
        <v>24.26</v>
      </c>
      <c r="Z41">
        <v>24.35</v>
      </c>
      <c r="AA41">
        <v>24.45</v>
      </c>
      <c r="AC41">
        <v>24.23</v>
      </c>
      <c r="AE41">
        <v>18</v>
      </c>
      <c r="AF41">
        <f t="shared" si="0"/>
        <v>1</v>
      </c>
    </row>
    <row r="42" spans="1:32" x14ac:dyDescent="0.25">
      <c r="A42" s="1">
        <v>39505</v>
      </c>
      <c r="B42">
        <v>44.44</v>
      </c>
      <c r="C42">
        <v>45.1</v>
      </c>
      <c r="D42">
        <v>46.44</v>
      </c>
      <c r="E42">
        <v>49.26</v>
      </c>
      <c r="F42">
        <v>49.55</v>
      </c>
      <c r="G42">
        <v>49.84</v>
      </c>
      <c r="H42">
        <v>42.86</v>
      </c>
      <c r="I42">
        <v>42.9</v>
      </c>
      <c r="J42">
        <v>42.93</v>
      </c>
      <c r="K42">
        <v>45.13</v>
      </c>
      <c r="L42">
        <v>45.15</v>
      </c>
      <c r="M42">
        <v>45.18</v>
      </c>
      <c r="P42">
        <v>24.79</v>
      </c>
      <c r="Q42">
        <v>25.24</v>
      </c>
      <c r="R42">
        <v>26.08</v>
      </c>
      <c r="S42">
        <v>23.37</v>
      </c>
      <c r="T42">
        <v>23.59</v>
      </c>
      <c r="U42">
        <v>23.8</v>
      </c>
      <c r="V42">
        <v>19.09</v>
      </c>
      <c r="W42">
        <v>19.13</v>
      </c>
      <c r="X42">
        <v>19.18</v>
      </c>
      <c r="Y42">
        <v>25.04</v>
      </c>
      <c r="Z42">
        <v>25.14</v>
      </c>
      <c r="AA42">
        <v>25.23</v>
      </c>
      <c r="AC42">
        <v>24.79</v>
      </c>
      <c r="AE42">
        <v>18.010000000000002</v>
      </c>
      <c r="AF42">
        <f t="shared" si="0"/>
        <v>1</v>
      </c>
    </row>
    <row r="43" spans="1:32" x14ac:dyDescent="0.25">
      <c r="A43" s="1">
        <v>39506</v>
      </c>
      <c r="B43">
        <v>44.03</v>
      </c>
      <c r="C43">
        <v>44.68</v>
      </c>
      <c r="D43">
        <v>46.02</v>
      </c>
      <c r="E43">
        <v>48.39</v>
      </c>
      <c r="F43">
        <v>48.67</v>
      </c>
      <c r="G43">
        <v>48.96</v>
      </c>
      <c r="H43">
        <v>42.08</v>
      </c>
      <c r="I43">
        <v>42.11</v>
      </c>
      <c r="J43">
        <v>42.15</v>
      </c>
      <c r="K43">
        <v>44.73</v>
      </c>
      <c r="L43">
        <v>44.75</v>
      </c>
      <c r="M43">
        <v>44.77</v>
      </c>
      <c r="P43">
        <v>24.82</v>
      </c>
      <c r="Q43">
        <v>25.27</v>
      </c>
      <c r="R43">
        <v>26.11</v>
      </c>
      <c r="S43">
        <v>23.77</v>
      </c>
      <c r="T43">
        <v>23.99</v>
      </c>
      <c r="U43">
        <v>24.22</v>
      </c>
      <c r="V43">
        <v>19.649999999999999</v>
      </c>
      <c r="W43">
        <v>19.7</v>
      </c>
      <c r="X43">
        <v>19.75</v>
      </c>
      <c r="Y43">
        <v>25.98</v>
      </c>
      <c r="Z43">
        <v>26.09</v>
      </c>
      <c r="AA43">
        <v>26.19</v>
      </c>
      <c r="AC43">
        <v>24.82</v>
      </c>
      <c r="AE43">
        <v>18.010000000000002</v>
      </c>
      <c r="AF43">
        <f t="shared" si="0"/>
        <v>2</v>
      </c>
    </row>
    <row r="44" spans="1:32" x14ac:dyDescent="0.25">
      <c r="A44" s="1">
        <v>39507</v>
      </c>
      <c r="B44">
        <v>43.32</v>
      </c>
      <c r="C44">
        <v>43.97</v>
      </c>
      <c r="D44">
        <v>45.28</v>
      </c>
      <c r="E44">
        <v>47.45</v>
      </c>
      <c r="F44">
        <v>47.73</v>
      </c>
      <c r="G44">
        <v>48.01</v>
      </c>
      <c r="H44">
        <v>41.25</v>
      </c>
      <c r="I44">
        <v>41.28</v>
      </c>
      <c r="J44">
        <v>41.31</v>
      </c>
      <c r="K44">
        <v>43.75</v>
      </c>
      <c r="L44">
        <v>43.77</v>
      </c>
      <c r="M44">
        <v>43.79</v>
      </c>
      <c r="P44">
        <v>24.83</v>
      </c>
      <c r="Q44">
        <v>25.28</v>
      </c>
      <c r="R44">
        <v>26.13</v>
      </c>
      <c r="S44">
        <v>23.28</v>
      </c>
      <c r="T44">
        <v>23.5</v>
      </c>
      <c r="U44">
        <v>23.72</v>
      </c>
      <c r="V44">
        <v>19.440000000000001</v>
      </c>
      <c r="W44">
        <v>19.489999999999998</v>
      </c>
      <c r="X44">
        <v>19.54</v>
      </c>
      <c r="Y44">
        <v>24.99</v>
      </c>
      <c r="Z44">
        <v>25.09</v>
      </c>
      <c r="AA44">
        <v>25.19</v>
      </c>
      <c r="AC44">
        <v>24.83</v>
      </c>
      <c r="AE44">
        <v>18.03</v>
      </c>
      <c r="AF44">
        <f t="shared" si="0"/>
        <v>1</v>
      </c>
    </row>
    <row r="45" spans="1:32" x14ac:dyDescent="0.25">
      <c r="A45" s="1">
        <v>39510</v>
      </c>
      <c r="B45">
        <v>42.22</v>
      </c>
      <c r="C45">
        <v>42.86</v>
      </c>
      <c r="D45">
        <v>44.14</v>
      </c>
      <c r="E45">
        <v>45.87</v>
      </c>
      <c r="F45">
        <v>46.14</v>
      </c>
      <c r="G45">
        <v>46.42</v>
      </c>
      <c r="H45">
        <v>40.28</v>
      </c>
      <c r="I45">
        <v>40.31</v>
      </c>
      <c r="J45">
        <v>40.340000000000003</v>
      </c>
      <c r="K45">
        <v>43.32</v>
      </c>
      <c r="L45">
        <v>43.34</v>
      </c>
      <c r="M45">
        <v>43.37</v>
      </c>
      <c r="P45">
        <v>25.05</v>
      </c>
      <c r="Q45">
        <v>25.5</v>
      </c>
      <c r="R45">
        <v>26.36</v>
      </c>
      <c r="S45">
        <v>24</v>
      </c>
      <c r="T45">
        <v>24.23</v>
      </c>
      <c r="U45">
        <v>24.45</v>
      </c>
      <c r="V45">
        <v>19.87</v>
      </c>
      <c r="W45">
        <v>19.920000000000002</v>
      </c>
      <c r="X45">
        <v>19.97</v>
      </c>
      <c r="Y45">
        <v>26.01</v>
      </c>
      <c r="Z45">
        <v>26.11</v>
      </c>
      <c r="AA45">
        <v>26.22</v>
      </c>
      <c r="AC45">
        <v>25.05</v>
      </c>
      <c r="AE45">
        <v>18.059999999999999</v>
      </c>
      <c r="AF45">
        <f t="shared" si="0"/>
        <v>1</v>
      </c>
    </row>
    <row r="46" spans="1:32" x14ac:dyDescent="0.25">
      <c r="A46" s="1">
        <v>39511</v>
      </c>
      <c r="B46">
        <v>41.3</v>
      </c>
      <c r="C46">
        <v>41.92</v>
      </c>
      <c r="D46">
        <v>43.17</v>
      </c>
      <c r="E46">
        <v>44.9</v>
      </c>
      <c r="F46">
        <v>45.17</v>
      </c>
      <c r="G46">
        <v>45.43</v>
      </c>
      <c r="H46">
        <v>39.340000000000003</v>
      </c>
      <c r="I46">
        <v>39.369999999999997</v>
      </c>
      <c r="J46">
        <v>39.4</v>
      </c>
      <c r="K46">
        <v>42.92</v>
      </c>
      <c r="L46">
        <v>42.94</v>
      </c>
      <c r="M46">
        <v>42.97</v>
      </c>
      <c r="P46">
        <v>25.21</v>
      </c>
      <c r="Q46">
        <v>25.68</v>
      </c>
      <c r="R46">
        <v>26.54</v>
      </c>
      <c r="S46">
        <v>23.71</v>
      </c>
      <c r="T46">
        <v>23.93</v>
      </c>
      <c r="U46">
        <v>24.15</v>
      </c>
      <c r="V46">
        <v>19.7</v>
      </c>
      <c r="W46">
        <v>19.75</v>
      </c>
      <c r="X46">
        <v>19.8</v>
      </c>
      <c r="Y46">
        <v>26.01</v>
      </c>
      <c r="Z46">
        <v>26.12</v>
      </c>
      <c r="AA46">
        <v>26.22</v>
      </c>
      <c r="AC46">
        <v>25.21</v>
      </c>
      <c r="AE46">
        <v>18.11</v>
      </c>
      <c r="AF46">
        <f t="shared" si="0"/>
        <v>1</v>
      </c>
    </row>
    <row r="47" spans="1:32" x14ac:dyDescent="0.25">
      <c r="A47" s="1">
        <v>39512</v>
      </c>
      <c r="B47">
        <v>42.07</v>
      </c>
      <c r="C47">
        <v>42.7</v>
      </c>
      <c r="D47">
        <v>43.98</v>
      </c>
      <c r="E47">
        <v>45.77</v>
      </c>
      <c r="F47">
        <v>46.04</v>
      </c>
      <c r="G47">
        <v>46.32</v>
      </c>
      <c r="H47">
        <v>40.340000000000003</v>
      </c>
      <c r="I47">
        <v>40.369999999999997</v>
      </c>
      <c r="J47">
        <v>40.409999999999997</v>
      </c>
      <c r="K47">
        <v>43.89</v>
      </c>
      <c r="L47">
        <v>43.92</v>
      </c>
      <c r="M47">
        <v>43.94</v>
      </c>
      <c r="P47">
        <v>25.22</v>
      </c>
      <c r="Q47">
        <v>25.68</v>
      </c>
      <c r="R47">
        <v>26.54</v>
      </c>
      <c r="S47">
        <v>23.63</v>
      </c>
      <c r="T47">
        <v>23.85</v>
      </c>
      <c r="U47">
        <v>24.07</v>
      </c>
      <c r="V47">
        <v>19.48</v>
      </c>
      <c r="W47">
        <v>19.53</v>
      </c>
      <c r="X47">
        <v>19.579999999999998</v>
      </c>
      <c r="Y47">
        <v>26.41</v>
      </c>
      <c r="Z47">
        <v>26.5</v>
      </c>
      <c r="AA47">
        <v>26.6</v>
      </c>
      <c r="AC47">
        <v>25.22</v>
      </c>
      <c r="AE47">
        <v>18.12</v>
      </c>
      <c r="AF47">
        <f t="shared" si="0"/>
        <v>1</v>
      </c>
    </row>
    <row r="48" spans="1:32" x14ac:dyDescent="0.25">
      <c r="A48" s="1">
        <v>39513</v>
      </c>
      <c r="B48">
        <v>41.48</v>
      </c>
      <c r="C48">
        <v>42.1</v>
      </c>
      <c r="D48">
        <v>43.37</v>
      </c>
      <c r="E48">
        <v>45.06</v>
      </c>
      <c r="F48">
        <v>45.33</v>
      </c>
      <c r="G48">
        <v>45.6</v>
      </c>
      <c r="H48">
        <v>39.65</v>
      </c>
      <c r="I48">
        <v>39.68</v>
      </c>
      <c r="J48">
        <v>39.71</v>
      </c>
      <c r="K48">
        <v>43.62</v>
      </c>
      <c r="L48">
        <v>43.65</v>
      </c>
      <c r="M48">
        <v>43.67</v>
      </c>
      <c r="P48">
        <v>25.28</v>
      </c>
      <c r="Q48">
        <v>25.75</v>
      </c>
      <c r="R48">
        <v>26.61</v>
      </c>
      <c r="S48">
        <v>23.46</v>
      </c>
      <c r="T48">
        <v>23.68</v>
      </c>
      <c r="U48">
        <v>23.9</v>
      </c>
      <c r="V48">
        <v>19.53</v>
      </c>
      <c r="W48">
        <v>19.579999999999998</v>
      </c>
      <c r="X48">
        <v>19.63</v>
      </c>
      <c r="Y48">
        <v>26.58</v>
      </c>
      <c r="Z48">
        <v>26.69</v>
      </c>
      <c r="AA48">
        <v>26.8</v>
      </c>
      <c r="AC48">
        <v>25.28</v>
      </c>
      <c r="AE48">
        <v>18.13</v>
      </c>
      <c r="AF48">
        <f t="shared" si="0"/>
        <v>1</v>
      </c>
    </row>
    <row r="49" spans="1:32" x14ac:dyDescent="0.25">
      <c r="A49" s="1">
        <v>39514</v>
      </c>
      <c r="B49">
        <v>40.880000000000003</v>
      </c>
      <c r="C49">
        <v>41.49</v>
      </c>
      <c r="D49">
        <v>42.73</v>
      </c>
      <c r="E49">
        <v>44.22</v>
      </c>
      <c r="F49">
        <v>44.48</v>
      </c>
      <c r="G49">
        <v>44.75</v>
      </c>
      <c r="H49">
        <v>39.19</v>
      </c>
      <c r="I49">
        <v>39.22</v>
      </c>
      <c r="J49">
        <v>39.25</v>
      </c>
      <c r="K49">
        <v>42.79</v>
      </c>
      <c r="L49">
        <v>42.82</v>
      </c>
      <c r="M49">
        <v>42.84</v>
      </c>
      <c r="P49">
        <v>25.38</v>
      </c>
      <c r="Q49">
        <v>25.84</v>
      </c>
      <c r="R49">
        <v>26.7</v>
      </c>
      <c r="S49">
        <v>23.64</v>
      </c>
      <c r="T49">
        <v>23.85</v>
      </c>
      <c r="U49">
        <v>24.07</v>
      </c>
      <c r="V49">
        <v>19.59</v>
      </c>
      <c r="W49">
        <v>19.64</v>
      </c>
      <c r="X49">
        <v>19.690000000000001</v>
      </c>
      <c r="Y49">
        <v>26.77</v>
      </c>
      <c r="Z49">
        <v>26.88</v>
      </c>
      <c r="AA49">
        <v>26.98</v>
      </c>
      <c r="AC49">
        <v>25.38</v>
      </c>
      <c r="AE49">
        <v>18.170000000000002</v>
      </c>
      <c r="AF49">
        <f t="shared" si="0"/>
        <v>1</v>
      </c>
    </row>
    <row r="50" spans="1:32" x14ac:dyDescent="0.25">
      <c r="A50" s="1">
        <v>39517</v>
      </c>
      <c r="B50">
        <v>41.14</v>
      </c>
      <c r="C50">
        <v>41.76</v>
      </c>
      <c r="D50">
        <v>43.01</v>
      </c>
      <c r="E50">
        <v>43.98</v>
      </c>
      <c r="F50">
        <v>44.25</v>
      </c>
      <c r="G50">
        <v>44.51</v>
      </c>
      <c r="H50">
        <v>39.299999999999997</v>
      </c>
      <c r="I50">
        <v>39.33</v>
      </c>
      <c r="J50">
        <v>39.369999999999997</v>
      </c>
      <c r="K50">
        <v>41.98</v>
      </c>
      <c r="L50">
        <v>42.01</v>
      </c>
      <c r="M50">
        <v>42.03</v>
      </c>
      <c r="P50">
        <v>25.61</v>
      </c>
      <c r="Q50">
        <v>26.08</v>
      </c>
      <c r="R50">
        <v>26.96</v>
      </c>
      <c r="S50">
        <v>24.19</v>
      </c>
      <c r="T50">
        <v>24.42</v>
      </c>
      <c r="U50">
        <v>24.64</v>
      </c>
      <c r="V50">
        <v>20.04</v>
      </c>
      <c r="W50">
        <v>20.09</v>
      </c>
      <c r="X50">
        <v>20.14</v>
      </c>
      <c r="Y50">
        <v>26.84</v>
      </c>
      <c r="Z50">
        <v>26.95</v>
      </c>
      <c r="AA50">
        <v>27.06</v>
      </c>
      <c r="AC50">
        <v>25.61</v>
      </c>
      <c r="AE50">
        <v>18.18</v>
      </c>
      <c r="AF50">
        <f t="shared" si="0"/>
        <v>1</v>
      </c>
    </row>
    <row r="51" spans="1:32" x14ac:dyDescent="0.25">
      <c r="A51" s="1">
        <v>39518</v>
      </c>
      <c r="B51">
        <v>41.97</v>
      </c>
      <c r="C51">
        <v>42.6</v>
      </c>
      <c r="D51">
        <v>43.88</v>
      </c>
      <c r="E51">
        <v>45.05</v>
      </c>
      <c r="F51">
        <v>45.32</v>
      </c>
      <c r="G51">
        <v>45.59</v>
      </c>
      <c r="H51">
        <v>40.04</v>
      </c>
      <c r="I51">
        <v>40.07</v>
      </c>
      <c r="J51">
        <v>40.1</v>
      </c>
      <c r="K51">
        <v>42.72</v>
      </c>
      <c r="L51">
        <v>42.75</v>
      </c>
      <c r="M51">
        <v>42.78</v>
      </c>
      <c r="P51">
        <v>25.71</v>
      </c>
      <c r="Q51">
        <v>26.17</v>
      </c>
      <c r="R51">
        <v>27.04</v>
      </c>
      <c r="S51">
        <v>24.73</v>
      </c>
      <c r="T51">
        <v>24.95</v>
      </c>
      <c r="U51">
        <v>25.18</v>
      </c>
      <c r="V51">
        <v>20.079999999999998</v>
      </c>
      <c r="W51">
        <v>20.13</v>
      </c>
      <c r="X51">
        <v>20.18</v>
      </c>
      <c r="Y51">
        <v>24.95</v>
      </c>
      <c r="Z51">
        <v>25.04</v>
      </c>
      <c r="AA51">
        <v>25.13</v>
      </c>
      <c r="AC51">
        <v>25.71</v>
      </c>
      <c r="AE51">
        <v>18.18</v>
      </c>
      <c r="AF51">
        <f t="shared" si="0"/>
        <v>2</v>
      </c>
    </row>
    <row r="52" spans="1:32" x14ac:dyDescent="0.25">
      <c r="A52" s="1">
        <v>39519</v>
      </c>
      <c r="B52">
        <v>42.52</v>
      </c>
      <c r="C52">
        <v>43.16</v>
      </c>
      <c r="D52">
        <v>44.46</v>
      </c>
      <c r="E52">
        <v>45.73</v>
      </c>
      <c r="F52">
        <v>46</v>
      </c>
      <c r="G52">
        <v>46.28</v>
      </c>
      <c r="H52">
        <v>40.22</v>
      </c>
      <c r="I52">
        <v>40.26</v>
      </c>
      <c r="J52">
        <v>40.29</v>
      </c>
      <c r="K52">
        <v>42.93</v>
      </c>
      <c r="L52">
        <v>42.95</v>
      </c>
      <c r="M52">
        <v>42.98</v>
      </c>
      <c r="P52">
        <v>26.31</v>
      </c>
      <c r="Q52">
        <v>26.8</v>
      </c>
      <c r="R52">
        <v>27.69</v>
      </c>
      <c r="S52">
        <v>25.46</v>
      </c>
      <c r="T52">
        <v>25.69</v>
      </c>
      <c r="U52">
        <v>25.93</v>
      </c>
      <c r="V52">
        <v>21.15</v>
      </c>
      <c r="W52">
        <v>21.2</v>
      </c>
      <c r="X52">
        <v>21.26</v>
      </c>
      <c r="Y52">
        <v>28.23</v>
      </c>
      <c r="Z52">
        <v>28.34</v>
      </c>
      <c r="AA52">
        <v>28.45</v>
      </c>
      <c r="AC52">
        <v>26.31</v>
      </c>
      <c r="AE52">
        <v>18.2</v>
      </c>
      <c r="AF52">
        <f t="shared" si="0"/>
        <v>1</v>
      </c>
    </row>
    <row r="53" spans="1:32" x14ac:dyDescent="0.25">
      <c r="A53" s="1">
        <v>39520</v>
      </c>
      <c r="B53">
        <v>41.29</v>
      </c>
      <c r="C53">
        <v>41.91</v>
      </c>
      <c r="D53">
        <v>43.17</v>
      </c>
      <c r="E53">
        <v>44.34</v>
      </c>
      <c r="F53">
        <v>44.61</v>
      </c>
      <c r="G53">
        <v>44.88</v>
      </c>
      <c r="H53">
        <v>39.270000000000003</v>
      </c>
      <c r="I53">
        <v>39.299999999999997</v>
      </c>
      <c r="J53">
        <v>39.340000000000003</v>
      </c>
      <c r="K53">
        <v>42.58</v>
      </c>
      <c r="L53">
        <v>42.61</v>
      </c>
      <c r="M53">
        <v>42.63</v>
      </c>
      <c r="P53">
        <v>26.56</v>
      </c>
      <c r="Q53">
        <v>27.04</v>
      </c>
      <c r="R53">
        <v>27.94</v>
      </c>
      <c r="S53">
        <v>25.77</v>
      </c>
      <c r="T53">
        <v>26</v>
      </c>
      <c r="U53">
        <v>26.23</v>
      </c>
      <c r="V53">
        <v>21.38</v>
      </c>
      <c r="W53">
        <v>21.43</v>
      </c>
      <c r="X53">
        <v>21.48</v>
      </c>
      <c r="Y53">
        <v>25.01</v>
      </c>
      <c r="Z53">
        <v>25.1</v>
      </c>
      <c r="AA53">
        <v>25.19</v>
      </c>
      <c r="AC53">
        <v>26.56</v>
      </c>
      <c r="AE53">
        <v>18.21</v>
      </c>
      <c r="AF53">
        <f t="shared" si="0"/>
        <v>1</v>
      </c>
    </row>
    <row r="54" spans="1:32" x14ac:dyDescent="0.25">
      <c r="A54" s="1">
        <v>39521</v>
      </c>
      <c r="B54">
        <v>40.97</v>
      </c>
      <c r="C54">
        <v>41.59</v>
      </c>
      <c r="D54">
        <v>42.84</v>
      </c>
      <c r="E54">
        <v>44.12</v>
      </c>
      <c r="F54">
        <v>44.38</v>
      </c>
      <c r="G54">
        <v>44.65</v>
      </c>
      <c r="H54">
        <v>39.15</v>
      </c>
      <c r="I54">
        <v>39.19</v>
      </c>
      <c r="J54">
        <v>39.22</v>
      </c>
      <c r="K54">
        <v>42.15</v>
      </c>
      <c r="L54">
        <v>42.18</v>
      </c>
      <c r="M54">
        <v>42.21</v>
      </c>
      <c r="P54">
        <v>27.09</v>
      </c>
      <c r="Q54">
        <v>27.58</v>
      </c>
      <c r="R54">
        <v>28.5</v>
      </c>
      <c r="S54">
        <v>26.8</v>
      </c>
      <c r="T54">
        <v>27.05</v>
      </c>
      <c r="U54">
        <v>27.29</v>
      </c>
      <c r="V54">
        <v>21.96</v>
      </c>
      <c r="W54">
        <v>22.01</v>
      </c>
      <c r="X54">
        <v>22.06</v>
      </c>
      <c r="Y54">
        <v>26</v>
      </c>
      <c r="Z54">
        <v>26.1</v>
      </c>
      <c r="AA54">
        <v>26.19</v>
      </c>
      <c r="AC54">
        <v>27.09</v>
      </c>
      <c r="AE54">
        <v>18.22</v>
      </c>
      <c r="AF54">
        <f t="shared" si="0"/>
        <v>1</v>
      </c>
    </row>
    <row r="55" spans="1:32" x14ac:dyDescent="0.25">
      <c r="A55" s="1">
        <v>39524</v>
      </c>
      <c r="B55">
        <v>39.299999999999997</v>
      </c>
      <c r="C55">
        <v>39.89</v>
      </c>
      <c r="D55">
        <v>41.1</v>
      </c>
      <c r="E55">
        <v>41.65</v>
      </c>
      <c r="F55">
        <v>41.91</v>
      </c>
      <c r="G55">
        <v>42.16</v>
      </c>
      <c r="H55">
        <v>37.58</v>
      </c>
      <c r="I55">
        <v>37.619999999999997</v>
      </c>
      <c r="J55">
        <v>37.65</v>
      </c>
      <c r="K55">
        <v>40.35</v>
      </c>
      <c r="L55">
        <v>40.380000000000003</v>
      </c>
      <c r="M55">
        <v>40.409999999999997</v>
      </c>
      <c r="P55">
        <v>27.75</v>
      </c>
      <c r="Q55">
        <v>28.25</v>
      </c>
      <c r="R55">
        <v>29.19</v>
      </c>
      <c r="S55">
        <v>27.25</v>
      </c>
      <c r="T55">
        <v>27.5</v>
      </c>
      <c r="U55">
        <v>27.75</v>
      </c>
      <c r="V55">
        <v>22.31</v>
      </c>
      <c r="W55">
        <v>22.36</v>
      </c>
      <c r="X55">
        <v>22.41</v>
      </c>
      <c r="Y55">
        <v>28.34</v>
      </c>
      <c r="Z55">
        <v>28.44</v>
      </c>
      <c r="AA55">
        <v>28.54</v>
      </c>
      <c r="AC55">
        <v>27.75</v>
      </c>
      <c r="AE55">
        <v>18.22</v>
      </c>
      <c r="AF55">
        <f t="shared" si="0"/>
        <v>2</v>
      </c>
    </row>
    <row r="56" spans="1:32" x14ac:dyDescent="0.25">
      <c r="A56" s="1">
        <v>39525</v>
      </c>
      <c r="B56">
        <v>40.57</v>
      </c>
      <c r="C56">
        <v>41.18</v>
      </c>
      <c r="D56">
        <v>42.43</v>
      </c>
      <c r="E56">
        <v>42.77</v>
      </c>
      <c r="F56">
        <v>43.03</v>
      </c>
      <c r="G56">
        <v>43.29</v>
      </c>
      <c r="H56">
        <v>38.6</v>
      </c>
      <c r="I56">
        <v>38.630000000000003</v>
      </c>
      <c r="J56">
        <v>38.67</v>
      </c>
      <c r="K56">
        <v>41.03</v>
      </c>
      <c r="L56">
        <v>41.06</v>
      </c>
      <c r="M56">
        <v>41.09</v>
      </c>
      <c r="P56">
        <v>28.94</v>
      </c>
      <c r="Q56">
        <v>29.46</v>
      </c>
      <c r="R56">
        <v>30.44</v>
      </c>
      <c r="S56">
        <v>28.96</v>
      </c>
      <c r="T56">
        <v>29.22</v>
      </c>
      <c r="U56">
        <v>29.48</v>
      </c>
      <c r="V56">
        <v>23.44</v>
      </c>
      <c r="W56">
        <v>23.49</v>
      </c>
      <c r="X56">
        <v>23.55</v>
      </c>
      <c r="Y56">
        <v>28.9</v>
      </c>
      <c r="Z56">
        <v>29</v>
      </c>
      <c r="AA56">
        <v>29.11</v>
      </c>
      <c r="AC56">
        <v>28.94</v>
      </c>
      <c r="AE56">
        <v>18.239999999999998</v>
      </c>
      <c r="AF56">
        <f t="shared" si="0"/>
        <v>1</v>
      </c>
    </row>
    <row r="57" spans="1:32" x14ac:dyDescent="0.25">
      <c r="A57" s="1">
        <v>39526</v>
      </c>
      <c r="B57">
        <v>40.700000000000003</v>
      </c>
      <c r="C57">
        <v>41.32</v>
      </c>
      <c r="D57">
        <v>42.57</v>
      </c>
      <c r="E57">
        <v>42.88</v>
      </c>
      <c r="F57">
        <v>43.14</v>
      </c>
      <c r="G57">
        <v>43.41</v>
      </c>
      <c r="H57">
        <v>38.71</v>
      </c>
      <c r="I57">
        <v>38.75</v>
      </c>
      <c r="J57">
        <v>38.79</v>
      </c>
      <c r="K57">
        <v>40.29</v>
      </c>
      <c r="L57">
        <v>40.32</v>
      </c>
      <c r="M57">
        <v>40.35</v>
      </c>
      <c r="P57">
        <v>29.01</v>
      </c>
      <c r="Q57">
        <v>29.53</v>
      </c>
      <c r="R57">
        <v>30.51</v>
      </c>
      <c r="S57">
        <v>28.03</v>
      </c>
      <c r="T57">
        <v>28.29</v>
      </c>
      <c r="U57">
        <v>28.54</v>
      </c>
      <c r="V57">
        <v>23.49</v>
      </c>
      <c r="W57">
        <v>23.54</v>
      </c>
      <c r="X57">
        <v>23.6</v>
      </c>
      <c r="Y57">
        <v>25.67</v>
      </c>
      <c r="Z57">
        <v>25.76</v>
      </c>
      <c r="AA57">
        <v>25.86</v>
      </c>
      <c r="AC57">
        <v>29.01</v>
      </c>
      <c r="AE57">
        <v>18.27</v>
      </c>
      <c r="AF57">
        <f t="shared" si="0"/>
        <v>1</v>
      </c>
    </row>
    <row r="58" spans="1:32" x14ac:dyDescent="0.25">
      <c r="A58" s="1">
        <v>39527</v>
      </c>
      <c r="B58">
        <v>40.07</v>
      </c>
      <c r="C58">
        <v>40.68</v>
      </c>
      <c r="D58">
        <v>41.91</v>
      </c>
      <c r="E58">
        <v>42.67</v>
      </c>
      <c r="F58">
        <v>42.93</v>
      </c>
      <c r="G58">
        <v>43.19</v>
      </c>
      <c r="H58">
        <v>38.520000000000003</v>
      </c>
      <c r="I58">
        <v>38.56</v>
      </c>
      <c r="J58">
        <v>38.590000000000003</v>
      </c>
      <c r="K58">
        <v>39.46</v>
      </c>
      <c r="L58">
        <v>39.49</v>
      </c>
      <c r="M58">
        <v>39.520000000000003</v>
      </c>
      <c r="P58">
        <v>29.42</v>
      </c>
      <c r="Q58">
        <v>29.94</v>
      </c>
      <c r="R58">
        <v>30.94</v>
      </c>
      <c r="S58">
        <v>29.09</v>
      </c>
      <c r="T58">
        <v>29.35</v>
      </c>
      <c r="U58">
        <v>29.61</v>
      </c>
      <c r="V58">
        <v>23.86</v>
      </c>
      <c r="W58">
        <v>23.91</v>
      </c>
      <c r="X58">
        <v>23.97</v>
      </c>
      <c r="Y58">
        <v>26.72</v>
      </c>
      <c r="Z58">
        <v>26.82</v>
      </c>
      <c r="AA58">
        <v>26.91</v>
      </c>
      <c r="AC58">
        <v>29.42</v>
      </c>
      <c r="AE58">
        <v>18.29</v>
      </c>
      <c r="AF58">
        <f t="shared" si="0"/>
        <v>1</v>
      </c>
    </row>
    <row r="59" spans="1:32" x14ac:dyDescent="0.25">
      <c r="A59" s="1">
        <v>39532</v>
      </c>
      <c r="B59">
        <v>41.31</v>
      </c>
      <c r="C59">
        <v>41.94</v>
      </c>
      <c r="D59">
        <v>43.21</v>
      </c>
      <c r="E59">
        <v>43.98</v>
      </c>
      <c r="F59">
        <v>44.25</v>
      </c>
      <c r="G59">
        <v>44.53</v>
      </c>
      <c r="H59">
        <v>39.869999999999997</v>
      </c>
      <c r="I59">
        <v>39.909999999999997</v>
      </c>
      <c r="J59">
        <v>39.950000000000003</v>
      </c>
      <c r="K59">
        <v>40.659999999999997</v>
      </c>
      <c r="L59">
        <v>40.700000000000003</v>
      </c>
      <c r="M59">
        <v>40.729999999999997</v>
      </c>
      <c r="P59">
        <v>30.58</v>
      </c>
      <c r="Q59">
        <v>31.13</v>
      </c>
      <c r="R59">
        <v>32.159999999999997</v>
      </c>
      <c r="S59">
        <v>31.13</v>
      </c>
      <c r="T59">
        <v>31.41</v>
      </c>
      <c r="U59">
        <v>31.69</v>
      </c>
      <c r="V59">
        <v>25.47</v>
      </c>
      <c r="W59">
        <v>25.53</v>
      </c>
      <c r="X59">
        <v>25.59</v>
      </c>
      <c r="Y59">
        <v>27.71</v>
      </c>
      <c r="Z59">
        <v>27.81</v>
      </c>
      <c r="AA59">
        <v>27.9</v>
      </c>
      <c r="AC59">
        <v>30.58</v>
      </c>
      <c r="AE59">
        <v>18.34</v>
      </c>
      <c r="AF59">
        <f t="shared" si="0"/>
        <v>1</v>
      </c>
    </row>
    <row r="60" spans="1:32" x14ac:dyDescent="0.25">
      <c r="A60" s="1">
        <v>39533</v>
      </c>
      <c r="B60">
        <v>41.42</v>
      </c>
      <c r="C60">
        <v>42.05</v>
      </c>
      <c r="D60">
        <v>43.33</v>
      </c>
      <c r="E60">
        <v>43.4</v>
      </c>
      <c r="F60">
        <v>43.67</v>
      </c>
      <c r="G60">
        <v>43.95</v>
      </c>
      <c r="H60">
        <v>39.68</v>
      </c>
      <c r="I60">
        <v>39.72</v>
      </c>
      <c r="J60">
        <v>39.75</v>
      </c>
      <c r="K60">
        <v>41.17</v>
      </c>
      <c r="L60">
        <v>41.21</v>
      </c>
      <c r="M60">
        <v>41.24</v>
      </c>
      <c r="P60">
        <v>31.36</v>
      </c>
      <c r="Q60">
        <v>31.92</v>
      </c>
      <c r="R60">
        <v>32.979999999999997</v>
      </c>
      <c r="S60">
        <v>31.8</v>
      </c>
      <c r="T60">
        <v>32.090000000000003</v>
      </c>
      <c r="U60">
        <v>32.369999999999997</v>
      </c>
      <c r="V60">
        <v>25.9</v>
      </c>
      <c r="W60">
        <v>25.96</v>
      </c>
      <c r="X60">
        <v>26.02</v>
      </c>
      <c r="Y60">
        <v>29.51</v>
      </c>
      <c r="Z60">
        <v>29.61</v>
      </c>
      <c r="AA60">
        <v>29.71</v>
      </c>
      <c r="AC60">
        <v>31.36</v>
      </c>
      <c r="AE60">
        <v>18.350000000000001</v>
      </c>
      <c r="AF60">
        <f t="shared" si="0"/>
        <v>1</v>
      </c>
    </row>
    <row r="61" spans="1:32" x14ac:dyDescent="0.25">
      <c r="A61" s="1">
        <v>39534</v>
      </c>
      <c r="B61">
        <v>42.07</v>
      </c>
      <c r="C61">
        <v>42.71</v>
      </c>
      <c r="D61">
        <v>44</v>
      </c>
      <c r="E61">
        <v>44.15</v>
      </c>
      <c r="F61">
        <v>44.43</v>
      </c>
      <c r="G61">
        <v>44.71</v>
      </c>
      <c r="H61">
        <v>40.17</v>
      </c>
      <c r="I61">
        <v>40.21</v>
      </c>
      <c r="J61">
        <v>40.25</v>
      </c>
      <c r="K61">
        <v>42.29</v>
      </c>
      <c r="L61">
        <v>42.33</v>
      </c>
      <c r="M61">
        <v>42.36</v>
      </c>
      <c r="P61">
        <v>33.22</v>
      </c>
      <c r="Q61">
        <v>33.81</v>
      </c>
      <c r="R61">
        <v>34.92</v>
      </c>
      <c r="S61">
        <v>34.22</v>
      </c>
      <c r="T61">
        <v>34.520000000000003</v>
      </c>
      <c r="U61">
        <v>34.82</v>
      </c>
      <c r="V61">
        <v>28.02</v>
      </c>
      <c r="W61">
        <v>28.09</v>
      </c>
      <c r="X61">
        <v>28.15</v>
      </c>
      <c r="Y61">
        <v>34.47</v>
      </c>
      <c r="Z61">
        <v>34.58</v>
      </c>
      <c r="AA61">
        <v>34.69</v>
      </c>
      <c r="AC61">
        <v>33.22</v>
      </c>
      <c r="AE61">
        <v>18.37</v>
      </c>
      <c r="AF61">
        <f t="shared" si="0"/>
        <v>1</v>
      </c>
    </row>
    <row r="62" spans="1:32" x14ac:dyDescent="0.25">
      <c r="A62" s="1">
        <v>39535</v>
      </c>
      <c r="B62">
        <v>42.03</v>
      </c>
      <c r="C62">
        <v>42.68</v>
      </c>
      <c r="D62">
        <v>43.97</v>
      </c>
      <c r="E62">
        <v>43.97</v>
      </c>
      <c r="F62">
        <v>44.25</v>
      </c>
      <c r="G62">
        <v>44.53</v>
      </c>
      <c r="H62">
        <v>40.18</v>
      </c>
      <c r="I62">
        <v>40.22</v>
      </c>
      <c r="J62">
        <v>40.26</v>
      </c>
      <c r="K62">
        <v>42.49</v>
      </c>
      <c r="L62">
        <v>42.53</v>
      </c>
      <c r="M62">
        <v>42.57</v>
      </c>
      <c r="P62">
        <v>33.28</v>
      </c>
      <c r="Q62">
        <v>33.869999999999997</v>
      </c>
      <c r="R62">
        <v>34.99</v>
      </c>
      <c r="S62">
        <v>35.04</v>
      </c>
      <c r="T62">
        <v>35.35</v>
      </c>
      <c r="U62">
        <v>35.67</v>
      </c>
      <c r="V62">
        <v>28.29</v>
      </c>
      <c r="W62">
        <v>28.35</v>
      </c>
      <c r="X62">
        <v>28.41</v>
      </c>
      <c r="Y62">
        <v>31.45</v>
      </c>
      <c r="Z62">
        <v>31.56</v>
      </c>
      <c r="AA62">
        <v>31.66</v>
      </c>
      <c r="AC62">
        <v>33.28</v>
      </c>
      <c r="AE62">
        <v>18.37</v>
      </c>
      <c r="AF62">
        <f t="shared" si="0"/>
        <v>2</v>
      </c>
    </row>
    <row r="63" spans="1:32" x14ac:dyDescent="0.25">
      <c r="A63" s="1">
        <v>39538</v>
      </c>
      <c r="B63">
        <v>41.69</v>
      </c>
      <c r="C63">
        <v>42.33</v>
      </c>
      <c r="D63">
        <v>43.62</v>
      </c>
      <c r="E63">
        <v>42.98</v>
      </c>
      <c r="F63">
        <v>43.26</v>
      </c>
      <c r="G63">
        <v>43.53</v>
      </c>
      <c r="H63">
        <v>39.6</v>
      </c>
      <c r="I63">
        <v>39.64</v>
      </c>
      <c r="J63">
        <v>39.68</v>
      </c>
      <c r="K63">
        <v>42.35</v>
      </c>
      <c r="L63">
        <v>42.39</v>
      </c>
      <c r="M63">
        <v>42.43</v>
      </c>
      <c r="P63">
        <v>33.42</v>
      </c>
      <c r="Q63">
        <v>34.01</v>
      </c>
      <c r="R63">
        <v>35.14</v>
      </c>
      <c r="S63">
        <v>35.43</v>
      </c>
      <c r="T63">
        <v>35.74</v>
      </c>
      <c r="U63">
        <v>36.06</v>
      </c>
      <c r="V63">
        <v>28.6</v>
      </c>
      <c r="W63">
        <v>28.67</v>
      </c>
      <c r="X63">
        <v>28.73</v>
      </c>
      <c r="Y63">
        <v>32.94</v>
      </c>
      <c r="Z63">
        <v>33.049999999999997</v>
      </c>
      <c r="AA63">
        <v>33.159999999999997</v>
      </c>
      <c r="AC63">
        <v>33.42</v>
      </c>
      <c r="AE63">
        <v>18.39</v>
      </c>
      <c r="AF63">
        <f t="shared" si="0"/>
        <v>1</v>
      </c>
    </row>
    <row r="64" spans="1:32" x14ac:dyDescent="0.25">
      <c r="A64" s="1">
        <v>39539</v>
      </c>
      <c r="B64">
        <v>42.45</v>
      </c>
      <c r="C64">
        <v>43.1</v>
      </c>
      <c r="D64">
        <v>44.41</v>
      </c>
      <c r="E64">
        <v>44.04</v>
      </c>
      <c r="F64">
        <v>44.32</v>
      </c>
      <c r="G64">
        <v>44.6</v>
      </c>
      <c r="H64">
        <v>40.58</v>
      </c>
      <c r="I64">
        <v>40.619999999999997</v>
      </c>
      <c r="J64">
        <v>40.659999999999997</v>
      </c>
      <c r="K64">
        <v>43.2</v>
      </c>
      <c r="L64">
        <v>43.24</v>
      </c>
      <c r="M64">
        <v>43.28</v>
      </c>
      <c r="P64">
        <v>33.51</v>
      </c>
      <c r="Q64">
        <v>34.11</v>
      </c>
      <c r="R64">
        <v>35.24</v>
      </c>
      <c r="S64">
        <v>35.17</v>
      </c>
      <c r="T64">
        <v>35.479999999999997</v>
      </c>
      <c r="U64">
        <v>35.799999999999997</v>
      </c>
      <c r="V64">
        <v>28.52</v>
      </c>
      <c r="W64">
        <v>28.58</v>
      </c>
      <c r="X64">
        <v>28.65</v>
      </c>
      <c r="Y64">
        <v>32.380000000000003</v>
      </c>
      <c r="Z64">
        <v>32.5</v>
      </c>
      <c r="AA64">
        <v>32.61</v>
      </c>
      <c r="AC64">
        <v>33.51</v>
      </c>
      <c r="AE64">
        <v>18.399999999999999</v>
      </c>
      <c r="AF64">
        <f t="shared" si="0"/>
        <v>1</v>
      </c>
    </row>
    <row r="65" spans="1:32" x14ac:dyDescent="0.25">
      <c r="A65" s="1">
        <v>39540</v>
      </c>
      <c r="B65">
        <v>42.7</v>
      </c>
      <c r="C65">
        <v>43.36</v>
      </c>
      <c r="D65">
        <v>44.68</v>
      </c>
      <c r="E65">
        <v>44.9</v>
      </c>
      <c r="F65">
        <v>45.19</v>
      </c>
      <c r="G65">
        <v>45.48</v>
      </c>
      <c r="H65">
        <v>41.2</v>
      </c>
      <c r="I65">
        <v>41.24</v>
      </c>
      <c r="J65">
        <v>41.28</v>
      </c>
      <c r="K65">
        <v>42.94</v>
      </c>
      <c r="L65">
        <v>42.98</v>
      </c>
      <c r="M65">
        <v>43.02</v>
      </c>
      <c r="P65">
        <v>33.61</v>
      </c>
      <c r="Q65">
        <v>34.200000000000003</v>
      </c>
      <c r="R65">
        <v>35.32</v>
      </c>
      <c r="S65">
        <v>34.799999999999997</v>
      </c>
      <c r="T65">
        <v>35.1</v>
      </c>
      <c r="U65">
        <v>35.4</v>
      </c>
      <c r="V65">
        <v>28.65</v>
      </c>
      <c r="W65">
        <v>28.71</v>
      </c>
      <c r="X65">
        <v>28.77</v>
      </c>
      <c r="Y65">
        <v>34.81</v>
      </c>
      <c r="Z65">
        <v>34.93</v>
      </c>
      <c r="AA65">
        <v>35.04</v>
      </c>
      <c r="AC65">
        <v>33.61</v>
      </c>
      <c r="AE65">
        <v>18.420000000000002</v>
      </c>
      <c r="AF65">
        <f t="shared" si="0"/>
        <v>1</v>
      </c>
    </row>
    <row r="66" spans="1:32" x14ac:dyDescent="0.25">
      <c r="A66" s="1">
        <v>39541</v>
      </c>
      <c r="B66">
        <v>42.28</v>
      </c>
      <c r="C66">
        <v>42.93</v>
      </c>
      <c r="D66">
        <v>44.24</v>
      </c>
      <c r="E66">
        <v>44.14</v>
      </c>
      <c r="F66">
        <v>44.42</v>
      </c>
      <c r="G66">
        <v>44.7</v>
      </c>
      <c r="H66">
        <v>40.56</v>
      </c>
      <c r="I66">
        <v>40.6</v>
      </c>
      <c r="J66">
        <v>40.64</v>
      </c>
      <c r="K66">
        <v>43.04</v>
      </c>
      <c r="L66">
        <v>43.08</v>
      </c>
      <c r="M66">
        <v>43.12</v>
      </c>
      <c r="P66">
        <v>33.700000000000003</v>
      </c>
      <c r="Q66">
        <v>34.31</v>
      </c>
      <c r="R66">
        <v>35.44</v>
      </c>
      <c r="S66">
        <v>35.340000000000003</v>
      </c>
      <c r="T66">
        <v>35.65</v>
      </c>
      <c r="U66">
        <v>35.96</v>
      </c>
      <c r="V66">
        <v>28.51</v>
      </c>
      <c r="W66">
        <v>28.57</v>
      </c>
      <c r="X66">
        <v>28.64</v>
      </c>
      <c r="Y66">
        <v>33.89</v>
      </c>
      <c r="Z66">
        <v>34.01</v>
      </c>
      <c r="AA66">
        <v>34.119999999999997</v>
      </c>
      <c r="AC66">
        <v>33.700000000000003</v>
      </c>
      <c r="AE66">
        <v>18.43</v>
      </c>
      <c r="AF66">
        <f t="shared" si="0"/>
        <v>1</v>
      </c>
    </row>
    <row r="67" spans="1:32" x14ac:dyDescent="0.25">
      <c r="A67" s="1">
        <v>39542</v>
      </c>
      <c r="B67">
        <v>42.72</v>
      </c>
      <c r="C67">
        <v>43.38</v>
      </c>
      <c r="D67">
        <v>44.7</v>
      </c>
      <c r="E67">
        <v>44.33</v>
      </c>
      <c r="F67">
        <v>44.61</v>
      </c>
      <c r="G67">
        <v>44.9</v>
      </c>
      <c r="H67">
        <v>40.64</v>
      </c>
      <c r="I67">
        <v>40.68</v>
      </c>
      <c r="J67">
        <v>40.729999999999997</v>
      </c>
      <c r="K67">
        <v>43.57</v>
      </c>
      <c r="L67">
        <v>43.62</v>
      </c>
      <c r="M67">
        <v>43.66</v>
      </c>
      <c r="P67">
        <v>33.729999999999997</v>
      </c>
      <c r="Q67">
        <v>34.299999999999997</v>
      </c>
      <c r="R67">
        <v>35.39</v>
      </c>
      <c r="S67">
        <v>37.18</v>
      </c>
      <c r="T67">
        <v>37.47</v>
      </c>
      <c r="U67">
        <v>37.770000000000003</v>
      </c>
      <c r="V67">
        <v>30.58</v>
      </c>
      <c r="W67">
        <v>30.63</v>
      </c>
      <c r="X67">
        <v>30.69</v>
      </c>
      <c r="Y67">
        <v>38.5</v>
      </c>
      <c r="Z67">
        <v>38.590000000000003</v>
      </c>
      <c r="AA67">
        <v>38.68</v>
      </c>
      <c r="AC67">
        <v>33.729999999999997</v>
      </c>
      <c r="AE67">
        <v>18.43</v>
      </c>
      <c r="AF67">
        <f t="shared" si="0"/>
        <v>2</v>
      </c>
    </row>
    <row r="68" spans="1:32" x14ac:dyDescent="0.25">
      <c r="A68" s="1">
        <v>39545</v>
      </c>
      <c r="B68">
        <v>43.05</v>
      </c>
      <c r="C68">
        <v>43.71</v>
      </c>
      <c r="D68">
        <v>45.04</v>
      </c>
      <c r="E68">
        <v>45.11</v>
      </c>
      <c r="F68">
        <v>45.4</v>
      </c>
      <c r="G68">
        <v>45.69</v>
      </c>
      <c r="H68">
        <v>40.9</v>
      </c>
      <c r="I68">
        <v>40.94</v>
      </c>
      <c r="J68">
        <v>40.98</v>
      </c>
      <c r="K68">
        <v>43.99</v>
      </c>
      <c r="L68">
        <v>44.03</v>
      </c>
      <c r="M68">
        <v>44.08</v>
      </c>
      <c r="P68">
        <v>33.770000000000003</v>
      </c>
      <c r="Q68">
        <v>34.33</v>
      </c>
      <c r="R68">
        <v>35.43</v>
      </c>
      <c r="S68">
        <v>37.32</v>
      </c>
      <c r="T68">
        <v>37.61</v>
      </c>
      <c r="U68">
        <v>37.9</v>
      </c>
      <c r="V68">
        <v>30.66</v>
      </c>
      <c r="W68">
        <v>30.71</v>
      </c>
      <c r="X68">
        <v>30.77</v>
      </c>
      <c r="Y68">
        <v>38.57</v>
      </c>
      <c r="Z68">
        <v>38.659999999999997</v>
      </c>
      <c r="AA68">
        <v>38.75</v>
      </c>
      <c r="AC68">
        <v>33.770000000000003</v>
      </c>
      <c r="AE68">
        <v>18.440000000000001</v>
      </c>
      <c r="AF68">
        <f t="shared" ref="AF68:AF131" si="1">IF(AE68=AE67,AF67+1,1)</f>
        <v>1</v>
      </c>
    </row>
    <row r="69" spans="1:32" x14ac:dyDescent="0.25">
      <c r="A69" s="1">
        <v>39546</v>
      </c>
      <c r="B69">
        <v>42.74</v>
      </c>
      <c r="C69">
        <v>43.4</v>
      </c>
      <c r="D69">
        <v>44.73</v>
      </c>
      <c r="E69">
        <v>44.73</v>
      </c>
      <c r="F69">
        <v>45.02</v>
      </c>
      <c r="G69">
        <v>45.31</v>
      </c>
      <c r="H69">
        <v>40.53</v>
      </c>
      <c r="I69">
        <v>40.58</v>
      </c>
      <c r="J69">
        <v>40.619999999999997</v>
      </c>
      <c r="K69">
        <v>43.59</v>
      </c>
      <c r="L69">
        <v>43.64</v>
      </c>
      <c r="M69">
        <v>43.68</v>
      </c>
      <c r="P69">
        <v>33.799999999999997</v>
      </c>
      <c r="Q69">
        <v>34.409999999999997</v>
      </c>
      <c r="R69">
        <v>35.54</v>
      </c>
      <c r="S69">
        <v>35.42</v>
      </c>
      <c r="T69">
        <v>35.729999999999997</v>
      </c>
      <c r="U69">
        <v>36.049999999999997</v>
      </c>
      <c r="V69">
        <v>28.61</v>
      </c>
      <c r="W69">
        <v>28.67</v>
      </c>
      <c r="X69">
        <v>28.74</v>
      </c>
      <c r="Y69">
        <v>33.130000000000003</v>
      </c>
      <c r="Z69">
        <v>33.24</v>
      </c>
      <c r="AA69">
        <v>33.35</v>
      </c>
      <c r="AC69">
        <v>33.799999999999997</v>
      </c>
      <c r="AE69">
        <v>18.45</v>
      </c>
      <c r="AF69">
        <f t="shared" si="1"/>
        <v>1</v>
      </c>
    </row>
    <row r="70" spans="1:32" x14ac:dyDescent="0.25">
      <c r="A70" s="1">
        <v>39547</v>
      </c>
      <c r="B70">
        <v>42.91</v>
      </c>
      <c r="C70">
        <v>43.57</v>
      </c>
      <c r="D70">
        <v>44.9</v>
      </c>
      <c r="E70">
        <v>44.76</v>
      </c>
      <c r="F70">
        <v>45.05</v>
      </c>
      <c r="G70">
        <v>45.34</v>
      </c>
      <c r="H70">
        <v>40.53</v>
      </c>
      <c r="I70">
        <v>40.57</v>
      </c>
      <c r="J70">
        <v>40.61</v>
      </c>
      <c r="K70">
        <v>43.3</v>
      </c>
      <c r="L70">
        <v>43.34</v>
      </c>
      <c r="M70">
        <v>43.39</v>
      </c>
      <c r="P70">
        <v>34.020000000000003</v>
      </c>
      <c r="Q70">
        <v>34.630000000000003</v>
      </c>
      <c r="R70">
        <v>35.76</v>
      </c>
      <c r="S70">
        <v>36.1</v>
      </c>
      <c r="T70">
        <v>36.409999999999997</v>
      </c>
      <c r="U70">
        <v>36.72</v>
      </c>
      <c r="V70">
        <v>29.65</v>
      </c>
      <c r="W70">
        <v>29.71</v>
      </c>
      <c r="X70">
        <v>29.77</v>
      </c>
      <c r="Y70">
        <v>35.89</v>
      </c>
      <c r="Z70">
        <v>36.01</v>
      </c>
      <c r="AA70">
        <v>36.119999999999997</v>
      </c>
      <c r="AC70">
        <v>34.020000000000003</v>
      </c>
      <c r="AE70">
        <v>18.47</v>
      </c>
      <c r="AF70">
        <f t="shared" si="1"/>
        <v>1</v>
      </c>
    </row>
    <row r="71" spans="1:32" x14ac:dyDescent="0.25">
      <c r="A71" s="1">
        <v>39548</v>
      </c>
      <c r="B71">
        <v>42.27</v>
      </c>
      <c r="C71">
        <v>42.92</v>
      </c>
      <c r="D71">
        <v>44.23</v>
      </c>
      <c r="E71">
        <v>43.61</v>
      </c>
      <c r="F71">
        <v>43.89</v>
      </c>
      <c r="G71">
        <v>44.17</v>
      </c>
      <c r="H71">
        <v>39.729999999999997</v>
      </c>
      <c r="I71">
        <v>39.770000000000003</v>
      </c>
      <c r="J71">
        <v>39.82</v>
      </c>
      <c r="K71">
        <v>42.99</v>
      </c>
      <c r="L71">
        <v>43.04</v>
      </c>
      <c r="M71">
        <v>43.08</v>
      </c>
      <c r="P71">
        <v>34.26</v>
      </c>
      <c r="Q71">
        <v>34.869999999999997</v>
      </c>
      <c r="R71">
        <v>36.020000000000003</v>
      </c>
      <c r="S71">
        <v>36.229999999999997</v>
      </c>
      <c r="T71">
        <v>36.549999999999997</v>
      </c>
      <c r="U71">
        <v>36.869999999999997</v>
      </c>
      <c r="V71">
        <v>29.18</v>
      </c>
      <c r="W71">
        <v>29.24</v>
      </c>
      <c r="X71">
        <v>29.31</v>
      </c>
      <c r="Y71">
        <v>35.86</v>
      </c>
      <c r="Z71">
        <v>35.979999999999997</v>
      </c>
      <c r="AA71">
        <v>36.1</v>
      </c>
      <c r="AC71">
        <v>34.26</v>
      </c>
      <c r="AE71">
        <v>18.48</v>
      </c>
      <c r="AF71">
        <f t="shared" si="1"/>
        <v>1</v>
      </c>
    </row>
    <row r="72" spans="1:32" x14ac:dyDescent="0.25">
      <c r="A72" s="1">
        <v>39549</v>
      </c>
      <c r="B72">
        <v>41.55</v>
      </c>
      <c r="C72">
        <v>42.2</v>
      </c>
      <c r="D72">
        <v>43.49</v>
      </c>
      <c r="E72">
        <v>42.91</v>
      </c>
      <c r="F72">
        <v>43.19</v>
      </c>
      <c r="G72">
        <v>43.47</v>
      </c>
      <c r="H72">
        <v>38.979999999999997</v>
      </c>
      <c r="I72">
        <v>39.03</v>
      </c>
      <c r="J72">
        <v>39.07</v>
      </c>
      <c r="K72">
        <v>42.51</v>
      </c>
      <c r="L72">
        <v>42.56</v>
      </c>
      <c r="M72">
        <v>42.6</v>
      </c>
      <c r="P72">
        <v>34.36</v>
      </c>
      <c r="Q72">
        <v>34.97</v>
      </c>
      <c r="R72">
        <v>36.119999999999997</v>
      </c>
      <c r="S72">
        <v>36.229999999999997</v>
      </c>
      <c r="T72">
        <v>36.549999999999997</v>
      </c>
      <c r="U72">
        <v>36.869999999999997</v>
      </c>
      <c r="V72">
        <v>29.16</v>
      </c>
      <c r="W72">
        <v>29.22</v>
      </c>
      <c r="X72">
        <v>29.29</v>
      </c>
      <c r="Y72">
        <v>36.31</v>
      </c>
      <c r="Z72">
        <v>36.43</v>
      </c>
      <c r="AA72">
        <v>36.549999999999997</v>
      </c>
      <c r="AC72">
        <v>34.36</v>
      </c>
      <c r="AE72">
        <v>18.489999999999998</v>
      </c>
      <c r="AF72">
        <f t="shared" si="1"/>
        <v>1</v>
      </c>
    </row>
    <row r="73" spans="1:32" x14ac:dyDescent="0.25">
      <c r="A73" s="1">
        <v>39552</v>
      </c>
      <c r="B73">
        <v>41.12</v>
      </c>
      <c r="C73">
        <v>41.76</v>
      </c>
      <c r="D73">
        <v>43.03</v>
      </c>
      <c r="E73">
        <v>42.57</v>
      </c>
      <c r="F73">
        <v>42.84</v>
      </c>
      <c r="G73">
        <v>43.12</v>
      </c>
      <c r="H73">
        <v>38.85</v>
      </c>
      <c r="I73">
        <v>38.89</v>
      </c>
      <c r="J73">
        <v>38.94</v>
      </c>
      <c r="K73">
        <v>42.36</v>
      </c>
      <c r="L73">
        <v>42.41</v>
      </c>
      <c r="M73">
        <v>42.46</v>
      </c>
      <c r="P73">
        <v>34.46</v>
      </c>
      <c r="Q73">
        <v>35.03</v>
      </c>
      <c r="R73">
        <v>36.15</v>
      </c>
      <c r="S73">
        <v>38.06</v>
      </c>
      <c r="T73">
        <v>38.35</v>
      </c>
      <c r="U73">
        <v>38.65</v>
      </c>
      <c r="V73">
        <v>31.13</v>
      </c>
      <c r="W73">
        <v>31.18</v>
      </c>
      <c r="X73">
        <v>31.23</v>
      </c>
      <c r="Y73">
        <v>39.51</v>
      </c>
      <c r="Z73">
        <v>39.6</v>
      </c>
      <c r="AA73">
        <v>39.69</v>
      </c>
      <c r="AC73">
        <v>34.46</v>
      </c>
      <c r="AE73">
        <v>18.5</v>
      </c>
      <c r="AF73">
        <f t="shared" si="1"/>
        <v>1</v>
      </c>
    </row>
    <row r="74" spans="1:32" x14ac:dyDescent="0.25">
      <c r="A74" s="1">
        <v>39553</v>
      </c>
      <c r="B74">
        <v>41.25</v>
      </c>
      <c r="C74">
        <v>41.89</v>
      </c>
      <c r="D74">
        <v>43.17</v>
      </c>
      <c r="E74">
        <v>42.63</v>
      </c>
      <c r="F74">
        <v>42.91</v>
      </c>
      <c r="G74">
        <v>43.19</v>
      </c>
      <c r="H74">
        <v>38.770000000000003</v>
      </c>
      <c r="I74">
        <v>38.81</v>
      </c>
      <c r="J74">
        <v>38.85</v>
      </c>
      <c r="K74">
        <v>42.53</v>
      </c>
      <c r="L74">
        <v>42.58</v>
      </c>
      <c r="M74">
        <v>42.63</v>
      </c>
      <c r="P74">
        <v>34.520000000000003</v>
      </c>
      <c r="Q74">
        <v>35.1</v>
      </c>
      <c r="R74">
        <v>36.22</v>
      </c>
      <c r="S74">
        <v>38.159999999999997</v>
      </c>
      <c r="T74">
        <v>38.450000000000003</v>
      </c>
      <c r="U74">
        <v>38.75</v>
      </c>
      <c r="V74">
        <v>31.31</v>
      </c>
      <c r="W74">
        <v>31.37</v>
      </c>
      <c r="X74">
        <v>31.42</v>
      </c>
      <c r="Y74">
        <v>39.549999999999997</v>
      </c>
      <c r="Z74">
        <v>39.64</v>
      </c>
      <c r="AA74">
        <v>39.729999999999997</v>
      </c>
      <c r="AC74">
        <v>34.520000000000003</v>
      </c>
      <c r="AE74">
        <v>18.510000000000002</v>
      </c>
      <c r="AF74">
        <f t="shared" si="1"/>
        <v>1</v>
      </c>
    </row>
    <row r="75" spans="1:32" x14ac:dyDescent="0.25">
      <c r="A75" s="1">
        <v>39554</v>
      </c>
      <c r="B75">
        <v>41.43</v>
      </c>
      <c r="C75">
        <v>42.07</v>
      </c>
      <c r="D75">
        <v>43.36</v>
      </c>
      <c r="E75">
        <v>42.94</v>
      </c>
      <c r="F75">
        <v>43.22</v>
      </c>
      <c r="G75">
        <v>43.51</v>
      </c>
      <c r="H75">
        <v>39.26</v>
      </c>
      <c r="I75">
        <v>39.31</v>
      </c>
      <c r="J75">
        <v>39.35</v>
      </c>
      <c r="K75">
        <v>43.37</v>
      </c>
      <c r="L75">
        <v>43.42</v>
      </c>
      <c r="M75">
        <v>43.47</v>
      </c>
      <c r="P75">
        <v>34.82</v>
      </c>
      <c r="Q75">
        <v>35.409999999999997</v>
      </c>
      <c r="R75">
        <v>36.54</v>
      </c>
      <c r="S75">
        <v>38.5</v>
      </c>
      <c r="T75">
        <v>38.799999999999997</v>
      </c>
      <c r="U75">
        <v>39.11</v>
      </c>
      <c r="V75">
        <v>31.57</v>
      </c>
      <c r="W75">
        <v>31.62</v>
      </c>
      <c r="X75">
        <v>31.68</v>
      </c>
      <c r="Y75">
        <v>39.090000000000003</v>
      </c>
      <c r="Z75">
        <v>39.19</v>
      </c>
      <c r="AA75">
        <v>39.28</v>
      </c>
      <c r="AC75">
        <v>34.82</v>
      </c>
      <c r="AE75">
        <v>18.53</v>
      </c>
      <c r="AF75">
        <f t="shared" si="1"/>
        <v>1</v>
      </c>
    </row>
    <row r="76" spans="1:32" x14ac:dyDescent="0.25">
      <c r="A76" s="1">
        <v>39555</v>
      </c>
      <c r="B76">
        <v>41.35</v>
      </c>
      <c r="C76">
        <v>42</v>
      </c>
      <c r="D76">
        <v>43.28</v>
      </c>
      <c r="E76">
        <v>42.94</v>
      </c>
      <c r="F76">
        <v>43.22</v>
      </c>
      <c r="G76">
        <v>43.51</v>
      </c>
      <c r="H76">
        <v>39.39</v>
      </c>
      <c r="I76">
        <v>39.43</v>
      </c>
      <c r="J76">
        <v>39.479999999999997</v>
      </c>
      <c r="K76">
        <v>43.31</v>
      </c>
      <c r="L76">
        <v>43.36</v>
      </c>
      <c r="M76">
        <v>43.41</v>
      </c>
      <c r="P76">
        <v>35.01</v>
      </c>
      <c r="Q76">
        <v>35.64</v>
      </c>
      <c r="R76">
        <v>36.81</v>
      </c>
      <c r="S76">
        <v>37.130000000000003</v>
      </c>
      <c r="T76">
        <v>37.46</v>
      </c>
      <c r="U76">
        <v>37.78</v>
      </c>
      <c r="V76">
        <v>29.96</v>
      </c>
      <c r="W76">
        <v>30.02</v>
      </c>
      <c r="X76">
        <v>30.09</v>
      </c>
      <c r="Y76">
        <v>36.51</v>
      </c>
      <c r="Z76">
        <v>36.630000000000003</v>
      </c>
      <c r="AA76">
        <v>36.75</v>
      </c>
      <c r="AC76">
        <v>35.01</v>
      </c>
      <c r="AE76">
        <v>18.54</v>
      </c>
      <c r="AF76">
        <f t="shared" si="1"/>
        <v>1</v>
      </c>
    </row>
    <row r="77" spans="1:32" x14ac:dyDescent="0.25">
      <c r="A77" s="1">
        <v>39556</v>
      </c>
      <c r="B77">
        <v>41.88</v>
      </c>
      <c r="C77">
        <v>42.53</v>
      </c>
      <c r="D77">
        <v>43.83</v>
      </c>
      <c r="E77">
        <v>43.65</v>
      </c>
      <c r="F77">
        <v>43.93</v>
      </c>
      <c r="G77">
        <v>44.22</v>
      </c>
      <c r="H77">
        <v>39.869999999999997</v>
      </c>
      <c r="I77">
        <v>39.92</v>
      </c>
      <c r="J77">
        <v>39.96</v>
      </c>
      <c r="K77">
        <v>43.99</v>
      </c>
      <c r="L77">
        <v>44.04</v>
      </c>
      <c r="M77">
        <v>44.09</v>
      </c>
      <c r="P77">
        <v>35.01</v>
      </c>
      <c r="Q77">
        <v>35.630000000000003</v>
      </c>
      <c r="R77">
        <v>36.81</v>
      </c>
      <c r="S77">
        <v>37</v>
      </c>
      <c r="T77">
        <v>37.33</v>
      </c>
      <c r="U77">
        <v>37.659999999999997</v>
      </c>
      <c r="V77">
        <v>29.96</v>
      </c>
      <c r="W77">
        <v>30.02</v>
      </c>
      <c r="X77">
        <v>30.09</v>
      </c>
      <c r="Y77">
        <v>35.729999999999997</v>
      </c>
      <c r="Z77">
        <v>35.86</v>
      </c>
      <c r="AA77">
        <v>35.979999999999997</v>
      </c>
      <c r="AC77">
        <v>35.01</v>
      </c>
      <c r="AE77">
        <v>18.55</v>
      </c>
      <c r="AF77">
        <f t="shared" si="1"/>
        <v>1</v>
      </c>
    </row>
    <row r="78" spans="1:32" x14ac:dyDescent="0.25">
      <c r="A78" s="1">
        <v>39559</v>
      </c>
      <c r="B78">
        <v>41.61</v>
      </c>
      <c r="C78">
        <v>42.25</v>
      </c>
      <c r="D78">
        <v>43.55</v>
      </c>
      <c r="E78">
        <v>43.29</v>
      </c>
      <c r="F78">
        <v>43.57</v>
      </c>
      <c r="G78">
        <v>43.86</v>
      </c>
      <c r="H78">
        <v>39.36</v>
      </c>
      <c r="I78">
        <v>39.409999999999997</v>
      </c>
      <c r="J78">
        <v>39.450000000000003</v>
      </c>
      <c r="K78">
        <v>43.82</v>
      </c>
      <c r="L78">
        <v>43.87</v>
      </c>
      <c r="M78">
        <v>43.92</v>
      </c>
      <c r="P78">
        <v>35.04</v>
      </c>
      <c r="Q78">
        <v>35.65</v>
      </c>
      <c r="R78">
        <v>36.82</v>
      </c>
      <c r="S78">
        <v>37.409999999999997</v>
      </c>
      <c r="T78">
        <v>37.729999999999997</v>
      </c>
      <c r="U78">
        <v>38.049999999999997</v>
      </c>
      <c r="V78">
        <v>30.78</v>
      </c>
      <c r="W78">
        <v>30.85</v>
      </c>
      <c r="X78">
        <v>30.91</v>
      </c>
      <c r="Y78">
        <v>36.340000000000003</v>
      </c>
      <c r="Z78">
        <v>36.450000000000003</v>
      </c>
      <c r="AA78">
        <v>36.57</v>
      </c>
      <c r="AC78">
        <v>35.04</v>
      </c>
      <c r="AE78">
        <v>18.559999999999999</v>
      </c>
      <c r="AF78">
        <f t="shared" si="1"/>
        <v>1</v>
      </c>
    </row>
    <row r="79" spans="1:32" x14ac:dyDescent="0.25">
      <c r="A79" s="1">
        <v>39560</v>
      </c>
      <c r="B79">
        <v>41.11</v>
      </c>
      <c r="C79">
        <v>41.75</v>
      </c>
      <c r="D79">
        <v>43.04</v>
      </c>
      <c r="E79">
        <v>42.97</v>
      </c>
      <c r="F79">
        <v>43.25</v>
      </c>
      <c r="G79">
        <v>43.54</v>
      </c>
      <c r="H79">
        <v>39</v>
      </c>
      <c r="I79">
        <v>39.04</v>
      </c>
      <c r="J79">
        <v>39.090000000000003</v>
      </c>
      <c r="K79">
        <v>43.84</v>
      </c>
      <c r="L79">
        <v>43.9</v>
      </c>
      <c r="M79">
        <v>43.95</v>
      </c>
      <c r="P79">
        <v>35.1</v>
      </c>
      <c r="Q79">
        <v>35.68</v>
      </c>
      <c r="R79">
        <v>36.82</v>
      </c>
      <c r="S79">
        <v>39.07</v>
      </c>
      <c r="T79">
        <v>39.369999999999997</v>
      </c>
      <c r="U79">
        <v>39.67</v>
      </c>
      <c r="V79">
        <v>32.24</v>
      </c>
      <c r="W79">
        <v>32.299999999999997</v>
      </c>
      <c r="X79">
        <v>32.35</v>
      </c>
      <c r="Y79">
        <v>39.9</v>
      </c>
      <c r="Z79">
        <v>39.99</v>
      </c>
      <c r="AA79">
        <v>40.08</v>
      </c>
      <c r="AC79">
        <v>35.1</v>
      </c>
      <c r="AE79">
        <v>18.59</v>
      </c>
      <c r="AF79">
        <f t="shared" si="1"/>
        <v>1</v>
      </c>
    </row>
    <row r="80" spans="1:32" x14ac:dyDescent="0.25">
      <c r="A80" s="1">
        <v>39561</v>
      </c>
      <c r="B80">
        <v>40.97</v>
      </c>
      <c r="C80">
        <v>41.61</v>
      </c>
      <c r="D80">
        <v>42.89</v>
      </c>
      <c r="E80">
        <v>43</v>
      </c>
      <c r="F80">
        <v>43.28</v>
      </c>
      <c r="G80">
        <v>43.57</v>
      </c>
      <c r="H80">
        <v>38.97</v>
      </c>
      <c r="I80">
        <v>39.01</v>
      </c>
      <c r="J80">
        <v>39.06</v>
      </c>
      <c r="K80">
        <v>44.35</v>
      </c>
      <c r="L80">
        <v>44.41</v>
      </c>
      <c r="M80">
        <v>44.46</v>
      </c>
      <c r="P80">
        <v>35.159999999999997</v>
      </c>
      <c r="Q80">
        <v>35.75</v>
      </c>
      <c r="R80">
        <v>36.880000000000003</v>
      </c>
      <c r="S80">
        <v>39.130000000000003</v>
      </c>
      <c r="T80">
        <v>39.43</v>
      </c>
      <c r="U80">
        <v>39.729999999999997</v>
      </c>
      <c r="V80">
        <v>32.729999999999997</v>
      </c>
      <c r="W80">
        <v>32.79</v>
      </c>
      <c r="X80">
        <v>32.840000000000003</v>
      </c>
      <c r="Y80">
        <v>40.74</v>
      </c>
      <c r="Z80">
        <v>40.840000000000003</v>
      </c>
      <c r="AA80">
        <v>40.93</v>
      </c>
      <c r="AC80">
        <v>35.159999999999997</v>
      </c>
      <c r="AE80">
        <v>18.59</v>
      </c>
      <c r="AF80">
        <f t="shared" si="1"/>
        <v>2</v>
      </c>
    </row>
    <row r="81" spans="1:32" x14ac:dyDescent="0.25">
      <c r="A81" s="1">
        <v>39562</v>
      </c>
      <c r="B81">
        <v>41.43</v>
      </c>
      <c r="C81">
        <v>42.08</v>
      </c>
      <c r="D81">
        <v>43.37</v>
      </c>
      <c r="E81">
        <v>43.34</v>
      </c>
      <c r="F81">
        <v>43.63</v>
      </c>
      <c r="G81">
        <v>43.92</v>
      </c>
      <c r="H81">
        <v>39.14</v>
      </c>
      <c r="I81">
        <v>39.19</v>
      </c>
      <c r="J81">
        <v>39.229999999999997</v>
      </c>
      <c r="K81">
        <v>44.7</v>
      </c>
      <c r="L81">
        <v>44.76</v>
      </c>
      <c r="M81">
        <v>44.82</v>
      </c>
      <c r="P81">
        <v>35.19</v>
      </c>
      <c r="Q81">
        <v>35.78</v>
      </c>
      <c r="R81">
        <v>36.93</v>
      </c>
      <c r="S81">
        <v>39.03</v>
      </c>
      <c r="T81">
        <v>39.33</v>
      </c>
      <c r="U81">
        <v>39.64</v>
      </c>
      <c r="V81">
        <v>31.95</v>
      </c>
      <c r="W81">
        <v>32.01</v>
      </c>
      <c r="X81">
        <v>32.06</v>
      </c>
      <c r="Y81">
        <v>38.630000000000003</v>
      </c>
      <c r="Z81">
        <v>38.72</v>
      </c>
      <c r="AA81">
        <v>38.82</v>
      </c>
      <c r="AC81">
        <v>35.19</v>
      </c>
      <c r="AE81">
        <v>18.61</v>
      </c>
      <c r="AF81">
        <f t="shared" si="1"/>
        <v>1</v>
      </c>
    </row>
    <row r="82" spans="1:32" x14ac:dyDescent="0.25">
      <c r="A82" s="1">
        <v>39563</v>
      </c>
      <c r="B82">
        <v>41.87</v>
      </c>
      <c r="C82">
        <v>42.52</v>
      </c>
      <c r="D82">
        <v>43.83</v>
      </c>
      <c r="E82">
        <v>44.07</v>
      </c>
      <c r="F82">
        <v>44.36</v>
      </c>
      <c r="G82">
        <v>44.65</v>
      </c>
      <c r="H82">
        <v>39.869999999999997</v>
      </c>
      <c r="I82">
        <v>39.909999999999997</v>
      </c>
      <c r="J82">
        <v>39.96</v>
      </c>
      <c r="K82">
        <v>45.26</v>
      </c>
      <c r="L82">
        <v>45.32</v>
      </c>
      <c r="M82">
        <v>45.38</v>
      </c>
      <c r="P82">
        <v>35.19</v>
      </c>
      <c r="Q82">
        <v>35.82</v>
      </c>
      <c r="R82">
        <v>37</v>
      </c>
      <c r="S82">
        <v>37.19</v>
      </c>
      <c r="T82">
        <v>37.51</v>
      </c>
      <c r="U82">
        <v>37.840000000000003</v>
      </c>
      <c r="V82">
        <v>30.12</v>
      </c>
      <c r="W82">
        <v>30.19</v>
      </c>
      <c r="X82">
        <v>30.25</v>
      </c>
      <c r="Y82">
        <v>36.96</v>
      </c>
      <c r="Z82">
        <v>37.090000000000003</v>
      </c>
      <c r="AA82">
        <v>37.21</v>
      </c>
      <c r="AC82">
        <v>35.19</v>
      </c>
      <c r="AE82">
        <v>18.62</v>
      </c>
      <c r="AF82">
        <f t="shared" si="1"/>
        <v>1</v>
      </c>
    </row>
    <row r="83" spans="1:32" x14ac:dyDescent="0.25">
      <c r="A83" s="1">
        <v>39566</v>
      </c>
      <c r="B83">
        <v>42.27</v>
      </c>
      <c r="C83">
        <v>42.94</v>
      </c>
      <c r="D83">
        <v>44.26</v>
      </c>
      <c r="E83">
        <v>44.71</v>
      </c>
      <c r="F83">
        <v>45.01</v>
      </c>
      <c r="G83">
        <v>45.31</v>
      </c>
      <c r="H83">
        <v>40.57</v>
      </c>
      <c r="I83">
        <v>40.619999999999997</v>
      </c>
      <c r="J83">
        <v>40.659999999999997</v>
      </c>
      <c r="K83">
        <v>45.57</v>
      </c>
      <c r="L83">
        <v>45.63</v>
      </c>
      <c r="M83">
        <v>45.69</v>
      </c>
      <c r="P83">
        <v>35.31</v>
      </c>
      <c r="Q83">
        <v>35.9</v>
      </c>
      <c r="R83">
        <v>37.03</v>
      </c>
      <c r="S83">
        <v>39.03</v>
      </c>
      <c r="T83">
        <v>39.33</v>
      </c>
      <c r="U83">
        <v>39.630000000000003</v>
      </c>
      <c r="V83">
        <v>32.56</v>
      </c>
      <c r="W83">
        <v>32.61</v>
      </c>
      <c r="X83">
        <v>32.659999999999997</v>
      </c>
      <c r="Y83">
        <v>41.52</v>
      </c>
      <c r="Z83">
        <v>41.61</v>
      </c>
      <c r="AA83">
        <v>41.71</v>
      </c>
      <c r="AC83">
        <v>35.31</v>
      </c>
      <c r="AE83">
        <v>18.64</v>
      </c>
      <c r="AF83">
        <f t="shared" si="1"/>
        <v>1</v>
      </c>
    </row>
    <row r="84" spans="1:32" x14ac:dyDescent="0.25">
      <c r="A84" s="1">
        <v>39567</v>
      </c>
      <c r="B84">
        <v>41.91</v>
      </c>
      <c r="C84">
        <v>42.57</v>
      </c>
      <c r="D84">
        <v>43.88</v>
      </c>
      <c r="E84">
        <v>44.67</v>
      </c>
      <c r="F84">
        <v>44.97</v>
      </c>
      <c r="G84">
        <v>45.27</v>
      </c>
      <c r="H84">
        <v>40.33</v>
      </c>
      <c r="I84">
        <v>40.380000000000003</v>
      </c>
      <c r="J84">
        <v>40.43</v>
      </c>
      <c r="K84">
        <v>45.05</v>
      </c>
      <c r="L84">
        <v>45.12</v>
      </c>
      <c r="M84">
        <v>45.17</v>
      </c>
      <c r="P84">
        <v>35.46</v>
      </c>
      <c r="Q84">
        <v>36.06</v>
      </c>
      <c r="R84">
        <v>37.200000000000003</v>
      </c>
      <c r="S84">
        <v>39.71</v>
      </c>
      <c r="T84">
        <v>40.020000000000003</v>
      </c>
      <c r="U84">
        <v>40.32</v>
      </c>
      <c r="V84">
        <v>33.130000000000003</v>
      </c>
      <c r="W84">
        <v>33.19</v>
      </c>
      <c r="X84">
        <v>33.24</v>
      </c>
      <c r="Y84">
        <v>41.87</v>
      </c>
      <c r="Z84">
        <v>41.97</v>
      </c>
      <c r="AA84">
        <v>42.06</v>
      </c>
      <c r="AC84">
        <v>35.46</v>
      </c>
      <c r="AE84">
        <v>18.670000000000002</v>
      </c>
      <c r="AF84">
        <f t="shared" si="1"/>
        <v>1</v>
      </c>
    </row>
    <row r="85" spans="1:32" x14ac:dyDescent="0.25">
      <c r="A85" s="1">
        <v>39568</v>
      </c>
      <c r="B85">
        <v>42.33</v>
      </c>
      <c r="C85">
        <v>43</v>
      </c>
      <c r="D85">
        <v>44.32</v>
      </c>
      <c r="E85">
        <v>45.39</v>
      </c>
      <c r="F85">
        <v>45.69</v>
      </c>
      <c r="G85">
        <v>46</v>
      </c>
      <c r="H85">
        <v>40.94</v>
      </c>
      <c r="I85">
        <v>40.99</v>
      </c>
      <c r="J85">
        <v>41.03</v>
      </c>
      <c r="K85">
        <v>45.5</v>
      </c>
      <c r="L85">
        <v>45.56</v>
      </c>
      <c r="M85">
        <v>45.62</v>
      </c>
      <c r="P85">
        <v>35.54</v>
      </c>
      <c r="Q85">
        <v>36.17</v>
      </c>
      <c r="R85">
        <v>37.35</v>
      </c>
      <c r="S85">
        <v>38.119999999999997</v>
      </c>
      <c r="T85">
        <v>38.450000000000003</v>
      </c>
      <c r="U85">
        <v>38.78</v>
      </c>
      <c r="V85">
        <v>30.75</v>
      </c>
      <c r="W85">
        <v>30.82</v>
      </c>
      <c r="X85">
        <v>30.89</v>
      </c>
      <c r="Y85">
        <v>37.56</v>
      </c>
      <c r="Z85">
        <v>37.68</v>
      </c>
      <c r="AA85">
        <v>37.799999999999997</v>
      </c>
      <c r="AC85">
        <v>35.54</v>
      </c>
      <c r="AE85">
        <v>18.670000000000002</v>
      </c>
      <c r="AF85">
        <f t="shared" si="1"/>
        <v>2</v>
      </c>
    </row>
    <row r="86" spans="1:32" x14ac:dyDescent="0.25">
      <c r="A86" s="1">
        <v>39573</v>
      </c>
      <c r="B86">
        <v>43.02</v>
      </c>
      <c r="C86">
        <v>43.7</v>
      </c>
      <c r="D86">
        <v>45.05</v>
      </c>
      <c r="E86">
        <v>46.23</v>
      </c>
      <c r="F86">
        <v>46.55</v>
      </c>
      <c r="G86">
        <v>46.86</v>
      </c>
      <c r="H86">
        <v>41.78</v>
      </c>
      <c r="I86">
        <v>41.83</v>
      </c>
      <c r="J86">
        <v>41.88</v>
      </c>
      <c r="K86">
        <v>45.74</v>
      </c>
      <c r="L86">
        <v>45.81</v>
      </c>
      <c r="M86">
        <v>45.87</v>
      </c>
      <c r="P86">
        <v>35.590000000000003</v>
      </c>
      <c r="Q86">
        <v>36.19</v>
      </c>
      <c r="R86">
        <v>37.35</v>
      </c>
      <c r="S86">
        <v>39.08</v>
      </c>
      <c r="T86">
        <v>39.39</v>
      </c>
      <c r="U86">
        <v>39.700000000000003</v>
      </c>
      <c r="V86">
        <v>32.11</v>
      </c>
      <c r="W86">
        <v>32.159999999999997</v>
      </c>
      <c r="X86">
        <v>32.22</v>
      </c>
      <c r="Y86">
        <v>39.159999999999997</v>
      </c>
      <c r="Z86">
        <v>39.25</v>
      </c>
      <c r="AA86">
        <v>39.35</v>
      </c>
      <c r="AC86">
        <v>35.590000000000003</v>
      </c>
      <c r="AE86">
        <v>18.690000000000001</v>
      </c>
      <c r="AF86">
        <f t="shared" si="1"/>
        <v>1</v>
      </c>
    </row>
    <row r="87" spans="1:32" x14ac:dyDescent="0.25">
      <c r="A87" s="1">
        <v>39574</v>
      </c>
      <c r="B87">
        <v>42.98</v>
      </c>
      <c r="C87">
        <v>43.66</v>
      </c>
      <c r="D87">
        <v>45.01</v>
      </c>
      <c r="E87">
        <v>46.03</v>
      </c>
      <c r="F87">
        <v>46.34</v>
      </c>
      <c r="G87">
        <v>46.65</v>
      </c>
      <c r="H87">
        <v>41.35</v>
      </c>
      <c r="I87">
        <v>41.4</v>
      </c>
      <c r="J87">
        <v>41.45</v>
      </c>
      <c r="K87">
        <v>45.59</v>
      </c>
      <c r="L87">
        <v>45.66</v>
      </c>
      <c r="M87">
        <v>45.72</v>
      </c>
      <c r="P87">
        <v>35.65</v>
      </c>
      <c r="Q87">
        <v>36.25</v>
      </c>
      <c r="R87">
        <v>37.409999999999997</v>
      </c>
      <c r="S87">
        <v>39.49</v>
      </c>
      <c r="T87">
        <v>39.799999999999997</v>
      </c>
      <c r="U87">
        <v>40.11</v>
      </c>
      <c r="V87">
        <v>32.340000000000003</v>
      </c>
      <c r="W87">
        <v>32.39</v>
      </c>
      <c r="X87">
        <v>32.450000000000003</v>
      </c>
      <c r="Y87">
        <v>39.1</v>
      </c>
      <c r="Z87">
        <v>39.200000000000003</v>
      </c>
      <c r="AA87">
        <v>39.29</v>
      </c>
      <c r="AC87">
        <v>35.65</v>
      </c>
      <c r="AE87">
        <v>18.690000000000001</v>
      </c>
      <c r="AF87">
        <f t="shared" si="1"/>
        <v>2</v>
      </c>
    </row>
    <row r="88" spans="1:32" x14ac:dyDescent="0.25">
      <c r="A88" s="1">
        <v>39575</v>
      </c>
      <c r="B88">
        <v>43.51</v>
      </c>
      <c r="C88">
        <v>44.2</v>
      </c>
      <c r="D88">
        <v>45.57</v>
      </c>
      <c r="E88">
        <v>46.66</v>
      </c>
      <c r="F88">
        <v>46.98</v>
      </c>
      <c r="G88">
        <v>47.3</v>
      </c>
      <c r="H88">
        <v>42.19</v>
      </c>
      <c r="I88">
        <v>42.24</v>
      </c>
      <c r="J88">
        <v>42.29</v>
      </c>
      <c r="K88">
        <v>45.99</v>
      </c>
      <c r="L88">
        <v>46.05</v>
      </c>
      <c r="M88">
        <v>46.12</v>
      </c>
      <c r="P88">
        <v>35.81</v>
      </c>
      <c r="Q88">
        <v>36.409999999999997</v>
      </c>
      <c r="R88">
        <v>37.57</v>
      </c>
      <c r="S88">
        <v>39.979999999999997</v>
      </c>
      <c r="T88">
        <v>40.29</v>
      </c>
      <c r="U88">
        <v>40.6</v>
      </c>
      <c r="V88">
        <v>33.479999999999997</v>
      </c>
      <c r="W88">
        <v>33.54</v>
      </c>
      <c r="X88">
        <v>33.6</v>
      </c>
      <c r="Y88">
        <v>40.72</v>
      </c>
      <c r="Z88">
        <v>40.81</v>
      </c>
      <c r="AA88">
        <v>40.909999999999997</v>
      </c>
      <c r="AC88">
        <v>35.81</v>
      </c>
      <c r="AE88">
        <v>18.71</v>
      </c>
      <c r="AF88">
        <f t="shared" si="1"/>
        <v>1</v>
      </c>
    </row>
    <row r="89" spans="1:32" x14ac:dyDescent="0.25">
      <c r="A89" s="1">
        <v>39576</v>
      </c>
      <c r="B89">
        <v>42.98</v>
      </c>
      <c r="C89">
        <v>43.66</v>
      </c>
      <c r="D89">
        <v>45.01</v>
      </c>
      <c r="E89">
        <v>45.75</v>
      </c>
      <c r="F89">
        <v>46.06</v>
      </c>
      <c r="G89">
        <v>46.38</v>
      </c>
      <c r="H89">
        <v>41.31</v>
      </c>
      <c r="I89">
        <v>41.37</v>
      </c>
      <c r="J89">
        <v>41.42</v>
      </c>
      <c r="K89">
        <v>46.52</v>
      </c>
      <c r="L89">
        <v>46.59</v>
      </c>
      <c r="M89">
        <v>46.65</v>
      </c>
      <c r="P89">
        <v>35.97</v>
      </c>
      <c r="Q89">
        <v>36.56</v>
      </c>
      <c r="R89">
        <v>37.72</v>
      </c>
      <c r="S89">
        <v>39.86</v>
      </c>
      <c r="T89">
        <v>40.159999999999997</v>
      </c>
      <c r="U89">
        <v>40.47</v>
      </c>
      <c r="V89">
        <v>33.64</v>
      </c>
      <c r="W89">
        <v>33.69</v>
      </c>
      <c r="X89">
        <v>33.75</v>
      </c>
      <c r="Y89">
        <v>42.35</v>
      </c>
      <c r="Z89">
        <v>42.44</v>
      </c>
      <c r="AA89">
        <v>42.54</v>
      </c>
      <c r="AC89">
        <v>35.97</v>
      </c>
      <c r="AE89">
        <v>18.72</v>
      </c>
      <c r="AF89">
        <f t="shared" si="1"/>
        <v>1</v>
      </c>
    </row>
    <row r="90" spans="1:32" x14ac:dyDescent="0.25">
      <c r="A90" s="1">
        <v>39577</v>
      </c>
      <c r="B90">
        <v>42.66</v>
      </c>
      <c r="C90">
        <v>43.33</v>
      </c>
      <c r="D90">
        <v>44.67</v>
      </c>
      <c r="E90">
        <v>45.23</v>
      </c>
      <c r="F90">
        <v>45.54</v>
      </c>
      <c r="G90">
        <v>45.85</v>
      </c>
      <c r="H90">
        <v>40.97</v>
      </c>
      <c r="I90">
        <v>41.02</v>
      </c>
      <c r="J90">
        <v>41.07</v>
      </c>
      <c r="K90">
        <v>46.27</v>
      </c>
      <c r="L90">
        <v>46.34</v>
      </c>
      <c r="M90">
        <v>46.41</v>
      </c>
      <c r="P90">
        <v>36.17</v>
      </c>
      <c r="Q90">
        <v>36.770000000000003</v>
      </c>
      <c r="R90">
        <v>37.94</v>
      </c>
      <c r="S90">
        <v>39.799999999999997</v>
      </c>
      <c r="T90">
        <v>40.1</v>
      </c>
      <c r="U90">
        <v>40.409999999999997</v>
      </c>
      <c r="V90">
        <v>33.57</v>
      </c>
      <c r="W90">
        <v>33.630000000000003</v>
      </c>
      <c r="X90">
        <v>33.68</v>
      </c>
      <c r="Y90">
        <v>42.35</v>
      </c>
      <c r="Z90">
        <v>42.44</v>
      </c>
      <c r="AA90">
        <v>42.54</v>
      </c>
      <c r="AC90">
        <v>36.17</v>
      </c>
      <c r="AE90">
        <v>18.72</v>
      </c>
      <c r="AF90">
        <f t="shared" si="1"/>
        <v>2</v>
      </c>
    </row>
    <row r="91" spans="1:32" x14ac:dyDescent="0.25">
      <c r="A91" s="1">
        <v>39580</v>
      </c>
      <c r="B91">
        <v>42.78</v>
      </c>
      <c r="C91">
        <v>43.46</v>
      </c>
      <c r="D91">
        <v>44.81</v>
      </c>
      <c r="E91">
        <v>45.13</v>
      </c>
      <c r="F91">
        <v>45.45</v>
      </c>
      <c r="G91">
        <v>45.76</v>
      </c>
      <c r="H91">
        <v>40.85</v>
      </c>
      <c r="I91">
        <v>40.9</v>
      </c>
      <c r="J91">
        <v>40.950000000000003</v>
      </c>
      <c r="K91">
        <v>46.2</v>
      </c>
      <c r="L91">
        <v>46.27</v>
      </c>
      <c r="M91">
        <v>46.34</v>
      </c>
      <c r="P91">
        <v>36.47</v>
      </c>
      <c r="Q91">
        <v>37.11</v>
      </c>
      <c r="R91">
        <v>38.33</v>
      </c>
      <c r="S91">
        <v>39.35</v>
      </c>
      <c r="T91">
        <v>39.68</v>
      </c>
      <c r="U91">
        <v>40.020000000000003</v>
      </c>
      <c r="V91">
        <v>32.119999999999997</v>
      </c>
      <c r="W91">
        <v>32.18</v>
      </c>
      <c r="X91">
        <v>32.25</v>
      </c>
      <c r="Y91">
        <v>38.159999999999997</v>
      </c>
      <c r="Z91">
        <v>38.28</v>
      </c>
      <c r="AA91">
        <v>38.4</v>
      </c>
      <c r="AC91">
        <v>36.47</v>
      </c>
      <c r="AE91">
        <v>18.739999999999998</v>
      </c>
      <c r="AF91">
        <f t="shared" si="1"/>
        <v>1</v>
      </c>
    </row>
    <row r="92" spans="1:32" x14ac:dyDescent="0.25">
      <c r="A92" s="1">
        <v>39581</v>
      </c>
      <c r="B92">
        <v>42.88</v>
      </c>
      <c r="C92">
        <v>43.56</v>
      </c>
      <c r="D92">
        <v>44.91</v>
      </c>
      <c r="E92">
        <v>45.37</v>
      </c>
      <c r="F92">
        <v>45.69</v>
      </c>
      <c r="G92">
        <v>46</v>
      </c>
      <c r="H92">
        <v>41.08</v>
      </c>
      <c r="I92">
        <v>41.13</v>
      </c>
      <c r="J92">
        <v>41.19</v>
      </c>
      <c r="K92">
        <v>46.6</v>
      </c>
      <c r="L92">
        <v>46.67</v>
      </c>
      <c r="M92">
        <v>46.74</v>
      </c>
      <c r="P92">
        <v>36.51</v>
      </c>
      <c r="Q92">
        <v>37.11</v>
      </c>
      <c r="R92">
        <v>38.29</v>
      </c>
      <c r="S92">
        <v>39.950000000000003</v>
      </c>
      <c r="T92">
        <v>40.26</v>
      </c>
      <c r="U92">
        <v>40.56</v>
      </c>
      <c r="V92">
        <v>34.04</v>
      </c>
      <c r="W92">
        <v>34.090000000000003</v>
      </c>
      <c r="X92">
        <v>34.15</v>
      </c>
      <c r="Y92">
        <v>43.17</v>
      </c>
      <c r="Z92">
        <v>43.26</v>
      </c>
      <c r="AA92">
        <v>43.36</v>
      </c>
      <c r="AC92">
        <v>36.51</v>
      </c>
      <c r="AE92">
        <v>18.739999999999998</v>
      </c>
      <c r="AF92">
        <f t="shared" si="1"/>
        <v>2</v>
      </c>
    </row>
    <row r="93" spans="1:32" x14ac:dyDescent="0.25">
      <c r="A93" s="1">
        <v>39582</v>
      </c>
      <c r="B93">
        <v>43.41</v>
      </c>
      <c r="C93">
        <v>44.1</v>
      </c>
      <c r="D93">
        <v>45.46</v>
      </c>
      <c r="E93">
        <v>45.93</v>
      </c>
      <c r="F93">
        <v>46.25</v>
      </c>
      <c r="G93">
        <v>46.57</v>
      </c>
      <c r="H93">
        <v>41.55</v>
      </c>
      <c r="I93">
        <v>41.61</v>
      </c>
      <c r="J93">
        <v>41.66</v>
      </c>
      <c r="K93">
        <v>47.13</v>
      </c>
      <c r="L93">
        <v>47.2</v>
      </c>
      <c r="M93">
        <v>47.27</v>
      </c>
      <c r="P93">
        <v>36.57</v>
      </c>
      <c r="Q93">
        <v>37.19</v>
      </c>
      <c r="R93">
        <v>38.380000000000003</v>
      </c>
      <c r="S93">
        <v>38.93</v>
      </c>
      <c r="T93">
        <v>39.24</v>
      </c>
      <c r="U93">
        <v>39.549999999999997</v>
      </c>
      <c r="V93">
        <v>32.29</v>
      </c>
      <c r="W93">
        <v>32.35</v>
      </c>
      <c r="X93">
        <v>32.409999999999997</v>
      </c>
      <c r="Y93">
        <v>37.840000000000003</v>
      </c>
      <c r="Z93">
        <v>37.94</v>
      </c>
      <c r="AA93">
        <v>38.03</v>
      </c>
      <c r="AC93">
        <v>36.57</v>
      </c>
      <c r="AE93">
        <v>18.75</v>
      </c>
      <c r="AF93">
        <f t="shared" si="1"/>
        <v>1</v>
      </c>
    </row>
    <row r="94" spans="1:32" x14ac:dyDescent="0.25">
      <c r="A94" s="1">
        <v>39583</v>
      </c>
      <c r="B94">
        <v>43.07</v>
      </c>
      <c r="C94">
        <v>43.75</v>
      </c>
      <c r="D94">
        <v>45.11</v>
      </c>
      <c r="E94">
        <v>45.98</v>
      </c>
      <c r="F94">
        <v>46.29</v>
      </c>
      <c r="G94">
        <v>46.62</v>
      </c>
      <c r="H94">
        <v>41.35</v>
      </c>
      <c r="I94">
        <v>41.4</v>
      </c>
      <c r="J94">
        <v>41.46</v>
      </c>
      <c r="K94">
        <v>47.65</v>
      </c>
      <c r="L94">
        <v>47.72</v>
      </c>
      <c r="M94">
        <v>47.79</v>
      </c>
      <c r="P94">
        <v>36.590000000000003</v>
      </c>
      <c r="Q94">
        <v>37.21</v>
      </c>
      <c r="R94">
        <v>38.4</v>
      </c>
      <c r="S94">
        <v>39.68</v>
      </c>
      <c r="T94">
        <v>39.99</v>
      </c>
      <c r="U94">
        <v>40.31</v>
      </c>
      <c r="V94">
        <v>32.950000000000003</v>
      </c>
      <c r="W94">
        <v>33.01</v>
      </c>
      <c r="X94">
        <v>33.07</v>
      </c>
      <c r="Y94">
        <v>37.880000000000003</v>
      </c>
      <c r="Z94">
        <v>37.979999999999997</v>
      </c>
      <c r="AA94">
        <v>38.07</v>
      </c>
      <c r="AC94">
        <v>36.590000000000003</v>
      </c>
      <c r="AE94">
        <v>18.760000000000002</v>
      </c>
      <c r="AF94">
        <f t="shared" si="1"/>
        <v>1</v>
      </c>
    </row>
    <row r="95" spans="1:32" x14ac:dyDescent="0.25">
      <c r="A95" s="1">
        <v>39584</v>
      </c>
      <c r="B95">
        <v>43.41</v>
      </c>
      <c r="C95">
        <v>44.11</v>
      </c>
      <c r="D95">
        <v>45.48</v>
      </c>
      <c r="E95">
        <v>46.76</v>
      </c>
      <c r="F95">
        <v>47.09</v>
      </c>
      <c r="G95">
        <v>47.41</v>
      </c>
      <c r="H95">
        <v>41.66</v>
      </c>
      <c r="I95">
        <v>41.71</v>
      </c>
      <c r="J95">
        <v>41.76</v>
      </c>
      <c r="K95">
        <v>48.35</v>
      </c>
      <c r="L95">
        <v>48.42</v>
      </c>
      <c r="M95">
        <v>48.5</v>
      </c>
      <c r="P95">
        <v>36.61</v>
      </c>
      <c r="Q95">
        <v>37.229999999999997</v>
      </c>
      <c r="R95">
        <v>38.43</v>
      </c>
      <c r="S95">
        <v>39.01</v>
      </c>
      <c r="T95">
        <v>39.33</v>
      </c>
      <c r="U95">
        <v>39.64</v>
      </c>
      <c r="V95">
        <v>32.26</v>
      </c>
      <c r="W95">
        <v>32.32</v>
      </c>
      <c r="X95">
        <v>32.369999999999997</v>
      </c>
      <c r="Y95">
        <v>37.83</v>
      </c>
      <c r="Z95">
        <v>37.92</v>
      </c>
      <c r="AA95">
        <v>38.020000000000003</v>
      </c>
      <c r="AC95">
        <v>36.61</v>
      </c>
      <c r="AE95">
        <v>18.77</v>
      </c>
      <c r="AF95">
        <f t="shared" si="1"/>
        <v>1</v>
      </c>
    </row>
    <row r="96" spans="1:32" x14ac:dyDescent="0.25">
      <c r="A96" s="1">
        <v>39587</v>
      </c>
      <c r="B96">
        <v>43.25</v>
      </c>
      <c r="C96">
        <v>43.95</v>
      </c>
      <c r="D96">
        <v>45.31</v>
      </c>
      <c r="E96">
        <v>46.91</v>
      </c>
      <c r="F96">
        <v>47.24</v>
      </c>
      <c r="G96">
        <v>47.57</v>
      </c>
      <c r="H96">
        <v>41.69</v>
      </c>
      <c r="I96">
        <v>41.75</v>
      </c>
      <c r="J96">
        <v>41.81</v>
      </c>
      <c r="K96">
        <v>48.87</v>
      </c>
      <c r="L96">
        <v>48.95</v>
      </c>
      <c r="M96">
        <v>49.02</v>
      </c>
      <c r="P96">
        <v>36.64</v>
      </c>
      <c r="Q96">
        <v>37.29</v>
      </c>
      <c r="R96">
        <v>38.51</v>
      </c>
      <c r="S96">
        <v>39.79</v>
      </c>
      <c r="T96">
        <v>40.130000000000003</v>
      </c>
      <c r="U96">
        <v>40.479999999999997</v>
      </c>
      <c r="V96">
        <v>32.450000000000003</v>
      </c>
      <c r="W96">
        <v>32.520000000000003</v>
      </c>
      <c r="X96">
        <v>32.590000000000003</v>
      </c>
      <c r="Y96">
        <v>37.32</v>
      </c>
      <c r="Z96">
        <v>37.44</v>
      </c>
      <c r="AA96">
        <v>37.56</v>
      </c>
      <c r="AC96">
        <v>36.64</v>
      </c>
      <c r="AE96">
        <v>18.79</v>
      </c>
      <c r="AF96">
        <f t="shared" si="1"/>
        <v>1</v>
      </c>
    </row>
    <row r="97" spans="1:32" x14ac:dyDescent="0.25">
      <c r="A97" s="1">
        <v>39588</v>
      </c>
      <c r="B97">
        <v>42.64</v>
      </c>
      <c r="C97">
        <v>43.33</v>
      </c>
      <c r="D97">
        <v>44.68</v>
      </c>
      <c r="E97">
        <v>46.09</v>
      </c>
      <c r="F97">
        <v>46.41</v>
      </c>
      <c r="G97">
        <v>46.74</v>
      </c>
      <c r="H97">
        <v>41.02</v>
      </c>
      <c r="I97">
        <v>41.08</v>
      </c>
      <c r="J97">
        <v>41.13</v>
      </c>
      <c r="K97">
        <v>48.37</v>
      </c>
      <c r="L97">
        <v>48.45</v>
      </c>
      <c r="M97">
        <v>48.53</v>
      </c>
      <c r="P97">
        <v>36.94</v>
      </c>
      <c r="Q97">
        <v>37.57</v>
      </c>
      <c r="R97">
        <v>38.770000000000003</v>
      </c>
      <c r="S97">
        <v>40.42</v>
      </c>
      <c r="T97">
        <v>40.74</v>
      </c>
      <c r="U97">
        <v>41.06</v>
      </c>
      <c r="V97">
        <v>33.44</v>
      </c>
      <c r="W97">
        <v>33.5</v>
      </c>
      <c r="X97">
        <v>33.56</v>
      </c>
      <c r="Y97">
        <v>39.43</v>
      </c>
      <c r="Z97">
        <v>39.53</v>
      </c>
      <c r="AA97">
        <v>39.619999999999997</v>
      </c>
      <c r="AC97">
        <v>36.94</v>
      </c>
      <c r="AE97">
        <v>18.79</v>
      </c>
      <c r="AF97">
        <f t="shared" si="1"/>
        <v>2</v>
      </c>
    </row>
    <row r="98" spans="1:32" x14ac:dyDescent="0.25">
      <c r="A98" s="1">
        <v>39589</v>
      </c>
      <c r="B98">
        <v>42.7</v>
      </c>
      <c r="C98">
        <v>43.39</v>
      </c>
      <c r="D98">
        <v>44.74</v>
      </c>
      <c r="E98">
        <v>45.8</v>
      </c>
      <c r="F98">
        <v>46.12</v>
      </c>
      <c r="G98">
        <v>46.45</v>
      </c>
      <c r="H98">
        <v>40.49</v>
      </c>
      <c r="I98">
        <v>40.549999999999997</v>
      </c>
      <c r="J98">
        <v>40.6</v>
      </c>
      <c r="K98">
        <v>48.87</v>
      </c>
      <c r="L98">
        <v>48.95</v>
      </c>
      <c r="M98">
        <v>49.03</v>
      </c>
      <c r="P98">
        <v>36.94</v>
      </c>
      <c r="Q98">
        <v>37.57</v>
      </c>
      <c r="R98">
        <v>38.78</v>
      </c>
      <c r="S98">
        <v>39.909999999999997</v>
      </c>
      <c r="T98">
        <v>40.229999999999997</v>
      </c>
      <c r="U98">
        <v>40.549999999999997</v>
      </c>
      <c r="V98">
        <v>32.65</v>
      </c>
      <c r="W98">
        <v>32.71</v>
      </c>
      <c r="X98">
        <v>32.770000000000003</v>
      </c>
      <c r="Y98">
        <v>38.11</v>
      </c>
      <c r="Z98">
        <v>38.21</v>
      </c>
      <c r="AA98">
        <v>38.299999999999997</v>
      </c>
      <c r="AC98">
        <v>36.94</v>
      </c>
      <c r="AE98">
        <v>18.8</v>
      </c>
      <c r="AF98">
        <f t="shared" si="1"/>
        <v>1</v>
      </c>
    </row>
    <row r="99" spans="1:32" x14ac:dyDescent="0.25">
      <c r="A99" s="1">
        <v>39591</v>
      </c>
      <c r="B99">
        <v>42.32</v>
      </c>
      <c r="C99">
        <v>43</v>
      </c>
      <c r="D99">
        <v>44.34</v>
      </c>
      <c r="E99">
        <v>45.4</v>
      </c>
      <c r="F99">
        <v>45.72</v>
      </c>
      <c r="G99">
        <v>46.04</v>
      </c>
      <c r="H99">
        <v>40.06</v>
      </c>
      <c r="I99">
        <v>40.11</v>
      </c>
      <c r="J99">
        <v>40.159999999999997</v>
      </c>
      <c r="K99">
        <v>48.44</v>
      </c>
      <c r="L99">
        <v>48.52</v>
      </c>
      <c r="M99">
        <v>48.6</v>
      </c>
      <c r="P99">
        <v>37.049999999999997</v>
      </c>
      <c r="Q99">
        <v>37.69</v>
      </c>
      <c r="R99">
        <v>38.909999999999997</v>
      </c>
      <c r="S99">
        <v>41.16</v>
      </c>
      <c r="T99">
        <v>41.5</v>
      </c>
      <c r="U99">
        <v>41.84</v>
      </c>
      <c r="V99">
        <v>33.479999999999997</v>
      </c>
      <c r="W99">
        <v>33.54</v>
      </c>
      <c r="X99">
        <v>33.61</v>
      </c>
      <c r="Y99">
        <v>40.26</v>
      </c>
      <c r="Z99">
        <v>40.369999999999997</v>
      </c>
      <c r="AA99">
        <v>40.49</v>
      </c>
      <c r="AC99">
        <v>37.049999999999997</v>
      </c>
      <c r="AE99">
        <v>18.88</v>
      </c>
      <c r="AF99">
        <f t="shared" si="1"/>
        <v>1</v>
      </c>
    </row>
    <row r="100" spans="1:32" x14ac:dyDescent="0.25">
      <c r="A100" s="1">
        <v>39594</v>
      </c>
      <c r="B100">
        <v>42.09</v>
      </c>
      <c r="C100">
        <v>42.77</v>
      </c>
      <c r="D100">
        <v>44.1</v>
      </c>
      <c r="E100">
        <v>45.22</v>
      </c>
      <c r="F100">
        <v>45.54</v>
      </c>
      <c r="G100">
        <v>45.86</v>
      </c>
      <c r="H100">
        <v>40.07</v>
      </c>
      <c r="I100">
        <v>40.130000000000003</v>
      </c>
      <c r="J100">
        <v>40.18</v>
      </c>
      <c r="K100">
        <v>48.22</v>
      </c>
      <c r="L100">
        <v>48.31</v>
      </c>
      <c r="M100">
        <v>48.39</v>
      </c>
      <c r="P100">
        <v>37.06</v>
      </c>
      <c r="Q100">
        <v>37.71</v>
      </c>
      <c r="R100">
        <v>38.93</v>
      </c>
      <c r="S100">
        <v>40.33</v>
      </c>
      <c r="T100">
        <v>40.659999999999997</v>
      </c>
      <c r="U100">
        <v>41</v>
      </c>
      <c r="V100">
        <v>32.57</v>
      </c>
      <c r="W100">
        <v>32.64</v>
      </c>
      <c r="X100">
        <v>32.700000000000003</v>
      </c>
      <c r="Y100">
        <v>41.42</v>
      </c>
      <c r="Z100">
        <v>41.55</v>
      </c>
      <c r="AA100">
        <v>41.66</v>
      </c>
      <c r="AC100">
        <v>37.06</v>
      </c>
      <c r="AE100">
        <v>18.899999999999999</v>
      </c>
      <c r="AF100">
        <f t="shared" si="1"/>
        <v>1</v>
      </c>
    </row>
    <row r="101" spans="1:32" x14ac:dyDescent="0.25">
      <c r="A101" s="1">
        <v>39595</v>
      </c>
      <c r="B101">
        <v>42.19</v>
      </c>
      <c r="C101">
        <v>42.87</v>
      </c>
      <c r="D101">
        <v>44.21</v>
      </c>
      <c r="E101">
        <v>45.37</v>
      </c>
      <c r="F101">
        <v>45.7</v>
      </c>
      <c r="G101">
        <v>46.02</v>
      </c>
      <c r="H101">
        <v>40.270000000000003</v>
      </c>
      <c r="I101">
        <v>40.33</v>
      </c>
      <c r="J101">
        <v>40.39</v>
      </c>
      <c r="K101">
        <v>47.78</v>
      </c>
      <c r="L101">
        <v>47.86</v>
      </c>
      <c r="M101">
        <v>47.94</v>
      </c>
      <c r="P101">
        <v>37.19</v>
      </c>
      <c r="Q101">
        <v>37.83</v>
      </c>
      <c r="R101">
        <v>39.049999999999997</v>
      </c>
      <c r="S101">
        <v>40.79</v>
      </c>
      <c r="T101">
        <v>41.13</v>
      </c>
      <c r="U101">
        <v>41.47</v>
      </c>
      <c r="V101">
        <v>33.01</v>
      </c>
      <c r="W101">
        <v>33.07</v>
      </c>
      <c r="X101">
        <v>33.14</v>
      </c>
      <c r="Y101">
        <v>40.76</v>
      </c>
      <c r="Z101">
        <v>40.880000000000003</v>
      </c>
      <c r="AA101">
        <v>41</v>
      </c>
      <c r="AC101">
        <v>37.19</v>
      </c>
      <c r="AE101">
        <v>18.91</v>
      </c>
      <c r="AF101">
        <f t="shared" si="1"/>
        <v>1</v>
      </c>
    </row>
    <row r="102" spans="1:32" x14ac:dyDescent="0.25">
      <c r="A102" s="1">
        <v>39596</v>
      </c>
      <c r="B102">
        <v>42.54</v>
      </c>
      <c r="C102">
        <v>43.23</v>
      </c>
      <c r="D102">
        <v>44.57</v>
      </c>
      <c r="E102">
        <v>45.88</v>
      </c>
      <c r="F102">
        <v>46.2</v>
      </c>
      <c r="G102">
        <v>46.53</v>
      </c>
      <c r="H102">
        <v>40.950000000000003</v>
      </c>
      <c r="I102">
        <v>41</v>
      </c>
      <c r="J102">
        <v>41.06</v>
      </c>
      <c r="K102">
        <v>48.07</v>
      </c>
      <c r="L102">
        <v>48.15</v>
      </c>
      <c r="M102">
        <v>48.23</v>
      </c>
      <c r="P102">
        <v>37.229999999999997</v>
      </c>
      <c r="Q102">
        <v>37.880000000000003</v>
      </c>
      <c r="R102">
        <v>39.11</v>
      </c>
      <c r="S102">
        <v>40.799999999999997</v>
      </c>
      <c r="T102">
        <v>41.14</v>
      </c>
      <c r="U102">
        <v>41.49</v>
      </c>
      <c r="V102">
        <v>33</v>
      </c>
      <c r="W102">
        <v>33.07</v>
      </c>
      <c r="X102">
        <v>33.130000000000003</v>
      </c>
      <c r="Y102">
        <v>42.02</v>
      </c>
      <c r="Z102">
        <v>42.15</v>
      </c>
      <c r="AA102">
        <v>42.27</v>
      </c>
      <c r="AC102">
        <v>37.229999999999997</v>
      </c>
      <c r="AE102">
        <v>18.93</v>
      </c>
      <c r="AF102">
        <f t="shared" si="1"/>
        <v>1</v>
      </c>
    </row>
    <row r="103" spans="1:32" x14ac:dyDescent="0.25">
      <c r="A103" s="1">
        <v>39597</v>
      </c>
      <c r="B103">
        <v>42.22</v>
      </c>
      <c r="C103">
        <v>42.9</v>
      </c>
      <c r="D103">
        <v>44.24</v>
      </c>
      <c r="E103">
        <v>45.88</v>
      </c>
      <c r="F103">
        <v>46.2</v>
      </c>
      <c r="G103">
        <v>46.53</v>
      </c>
      <c r="H103">
        <v>40.69</v>
      </c>
      <c r="I103">
        <v>40.74</v>
      </c>
      <c r="J103">
        <v>40.799999999999997</v>
      </c>
      <c r="K103">
        <v>47.62</v>
      </c>
      <c r="L103">
        <v>47.7</v>
      </c>
      <c r="M103">
        <v>47.78</v>
      </c>
      <c r="P103">
        <v>37.380000000000003</v>
      </c>
      <c r="Q103">
        <v>38.03</v>
      </c>
      <c r="R103">
        <v>39.26</v>
      </c>
      <c r="S103">
        <v>41.05</v>
      </c>
      <c r="T103">
        <v>41.39</v>
      </c>
      <c r="U103">
        <v>41.74</v>
      </c>
      <c r="V103">
        <v>33.29</v>
      </c>
      <c r="W103">
        <v>33.36</v>
      </c>
      <c r="X103">
        <v>33.43</v>
      </c>
      <c r="Y103">
        <v>41.25</v>
      </c>
      <c r="Z103">
        <v>41.37</v>
      </c>
      <c r="AA103">
        <v>41.49</v>
      </c>
      <c r="AC103">
        <v>37.380000000000003</v>
      </c>
      <c r="AE103">
        <v>18.940000000000001</v>
      </c>
      <c r="AF103">
        <f t="shared" si="1"/>
        <v>1</v>
      </c>
    </row>
    <row r="104" spans="1:32" x14ac:dyDescent="0.25">
      <c r="A104" s="1">
        <v>39598</v>
      </c>
      <c r="B104">
        <v>42.51</v>
      </c>
      <c r="C104">
        <v>43.19</v>
      </c>
      <c r="D104">
        <v>44.54</v>
      </c>
      <c r="E104">
        <v>46.08</v>
      </c>
      <c r="F104">
        <v>46.41</v>
      </c>
      <c r="G104">
        <v>46.74</v>
      </c>
      <c r="H104">
        <v>40.770000000000003</v>
      </c>
      <c r="I104">
        <v>40.83</v>
      </c>
      <c r="J104">
        <v>40.89</v>
      </c>
      <c r="K104">
        <v>48.21</v>
      </c>
      <c r="L104">
        <v>48.3</v>
      </c>
      <c r="M104">
        <v>48.38</v>
      </c>
      <c r="P104">
        <v>37.4</v>
      </c>
      <c r="Q104">
        <v>38.020000000000003</v>
      </c>
      <c r="R104">
        <v>39.22</v>
      </c>
      <c r="S104">
        <v>41.22</v>
      </c>
      <c r="T104">
        <v>41.53</v>
      </c>
      <c r="U104">
        <v>41.84</v>
      </c>
      <c r="V104">
        <v>35.18</v>
      </c>
      <c r="W104">
        <v>35.24</v>
      </c>
      <c r="X104">
        <v>35.29</v>
      </c>
      <c r="Y104">
        <v>43.8</v>
      </c>
      <c r="Z104">
        <v>43.89</v>
      </c>
      <c r="AA104">
        <v>43.99</v>
      </c>
      <c r="AC104">
        <v>37.4</v>
      </c>
      <c r="AE104">
        <v>18.940000000000001</v>
      </c>
      <c r="AF104">
        <f t="shared" si="1"/>
        <v>2</v>
      </c>
    </row>
    <row r="105" spans="1:32" x14ac:dyDescent="0.25">
      <c r="A105" s="1">
        <v>39601</v>
      </c>
      <c r="B105">
        <v>42.32</v>
      </c>
      <c r="C105">
        <v>43</v>
      </c>
      <c r="D105">
        <v>44.35</v>
      </c>
      <c r="E105">
        <v>45.79</v>
      </c>
      <c r="F105">
        <v>46.12</v>
      </c>
      <c r="G105">
        <v>46.45</v>
      </c>
      <c r="H105">
        <v>40.65</v>
      </c>
      <c r="I105">
        <v>40.71</v>
      </c>
      <c r="J105">
        <v>40.770000000000003</v>
      </c>
      <c r="K105">
        <v>48.04</v>
      </c>
      <c r="L105">
        <v>48.12</v>
      </c>
      <c r="M105">
        <v>48.21</v>
      </c>
      <c r="P105">
        <v>37.51</v>
      </c>
      <c r="Q105">
        <v>38.17</v>
      </c>
      <c r="R105">
        <v>39.42</v>
      </c>
      <c r="S105">
        <v>41.72</v>
      </c>
      <c r="T105">
        <v>42.08</v>
      </c>
      <c r="U105">
        <v>42.44</v>
      </c>
      <c r="V105">
        <v>33.950000000000003</v>
      </c>
      <c r="W105">
        <v>34.03</v>
      </c>
      <c r="X105">
        <v>34.1</v>
      </c>
      <c r="Y105">
        <v>37.47</v>
      </c>
      <c r="Z105">
        <v>37.590000000000003</v>
      </c>
      <c r="AA105">
        <v>37.71</v>
      </c>
      <c r="AC105">
        <v>37.51</v>
      </c>
      <c r="AE105">
        <v>18.96</v>
      </c>
      <c r="AF105">
        <f t="shared" si="1"/>
        <v>1</v>
      </c>
    </row>
    <row r="106" spans="1:32" x14ac:dyDescent="0.25">
      <c r="A106" s="1">
        <v>39602</v>
      </c>
      <c r="B106">
        <v>42.29</v>
      </c>
      <c r="C106">
        <v>42.98</v>
      </c>
      <c r="D106">
        <v>44.32</v>
      </c>
      <c r="E106">
        <v>45.64</v>
      </c>
      <c r="F106">
        <v>45.97</v>
      </c>
      <c r="G106">
        <v>46.3</v>
      </c>
      <c r="H106">
        <v>40.58</v>
      </c>
      <c r="I106">
        <v>40.64</v>
      </c>
      <c r="J106">
        <v>40.700000000000003</v>
      </c>
      <c r="K106">
        <v>47.97</v>
      </c>
      <c r="L106">
        <v>48.05</v>
      </c>
      <c r="M106">
        <v>48.14</v>
      </c>
      <c r="P106">
        <v>37.64</v>
      </c>
      <c r="Q106">
        <v>38.29</v>
      </c>
      <c r="R106">
        <v>39.520000000000003</v>
      </c>
      <c r="S106">
        <v>41.67</v>
      </c>
      <c r="T106">
        <v>42.01</v>
      </c>
      <c r="U106">
        <v>42.36</v>
      </c>
      <c r="V106">
        <v>34.14</v>
      </c>
      <c r="W106">
        <v>34.200000000000003</v>
      </c>
      <c r="X106">
        <v>34.270000000000003</v>
      </c>
      <c r="Y106">
        <v>39.04</v>
      </c>
      <c r="Z106">
        <v>39.15</v>
      </c>
      <c r="AA106">
        <v>39.26</v>
      </c>
      <c r="AC106">
        <v>37.64</v>
      </c>
      <c r="AE106">
        <v>18.96</v>
      </c>
      <c r="AF106">
        <f t="shared" si="1"/>
        <v>2</v>
      </c>
    </row>
    <row r="107" spans="1:32" x14ac:dyDescent="0.25">
      <c r="A107" s="1">
        <v>39603</v>
      </c>
      <c r="B107">
        <v>41.73</v>
      </c>
      <c r="C107">
        <v>42.4</v>
      </c>
      <c r="D107">
        <v>43.73</v>
      </c>
      <c r="E107">
        <v>44.99</v>
      </c>
      <c r="F107">
        <v>45.31</v>
      </c>
      <c r="G107">
        <v>45.64</v>
      </c>
      <c r="H107">
        <v>40.1</v>
      </c>
      <c r="I107">
        <v>40.159999999999997</v>
      </c>
      <c r="J107">
        <v>40.21</v>
      </c>
      <c r="K107">
        <v>47.26</v>
      </c>
      <c r="L107">
        <v>47.35</v>
      </c>
      <c r="M107">
        <v>47.43</v>
      </c>
      <c r="P107">
        <v>37.65</v>
      </c>
      <c r="Q107">
        <v>38.31</v>
      </c>
      <c r="R107">
        <v>39.549999999999997</v>
      </c>
      <c r="S107">
        <v>41.32</v>
      </c>
      <c r="T107">
        <v>41.67</v>
      </c>
      <c r="U107">
        <v>42.01</v>
      </c>
      <c r="V107">
        <v>33.49</v>
      </c>
      <c r="W107">
        <v>33.56</v>
      </c>
      <c r="X107">
        <v>33.619999999999997</v>
      </c>
      <c r="Y107">
        <v>41.47</v>
      </c>
      <c r="Z107">
        <v>41.59</v>
      </c>
      <c r="AA107">
        <v>41.71</v>
      </c>
      <c r="AC107">
        <v>37.65</v>
      </c>
      <c r="AE107">
        <v>18.97</v>
      </c>
      <c r="AF107">
        <f t="shared" si="1"/>
        <v>1</v>
      </c>
    </row>
    <row r="108" spans="1:32" x14ac:dyDescent="0.25">
      <c r="A108" s="1">
        <v>39604</v>
      </c>
      <c r="B108">
        <v>41.73</v>
      </c>
      <c r="C108">
        <v>42.41</v>
      </c>
      <c r="D108">
        <v>43.74</v>
      </c>
      <c r="E108">
        <v>45.17</v>
      </c>
      <c r="F108">
        <v>45.5</v>
      </c>
      <c r="G108">
        <v>45.83</v>
      </c>
      <c r="H108">
        <v>40.130000000000003</v>
      </c>
      <c r="I108">
        <v>40.19</v>
      </c>
      <c r="J108">
        <v>40.25</v>
      </c>
      <c r="K108">
        <v>47.56</v>
      </c>
      <c r="L108">
        <v>47.65</v>
      </c>
      <c r="M108">
        <v>47.73</v>
      </c>
      <c r="P108">
        <v>37.69</v>
      </c>
      <c r="Q108">
        <v>38.340000000000003</v>
      </c>
      <c r="R108">
        <v>39.58</v>
      </c>
      <c r="S108">
        <v>41.23</v>
      </c>
      <c r="T108">
        <v>41.58</v>
      </c>
      <c r="U108">
        <v>41.92</v>
      </c>
      <c r="V108">
        <v>33.380000000000003</v>
      </c>
      <c r="W108">
        <v>33.450000000000003</v>
      </c>
      <c r="X108">
        <v>33.520000000000003</v>
      </c>
      <c r="Y108">
        <v>41.28</v>
      </c>
      <c r="Z108">
        <v>41.4</v>
      </c>
      <c r="AA108">
        <v>41.52</v>
      </c>
      <c r="AC108">
        <v>37.69</v>
      </c>
      <c r="AE108">
        <v>18.98</v>
      </c>
      <c r="AF108">
        <f t="shared" si="1"/>
        <v>1</v>
      </c>
    </row>
    <row r="109" spans="1:32" x14ac:dyDescent="0.25">
      <c r="A109" s="1">
        <v>39605</v>
      </c>
      <c r="B109">
        <v>41.38</v>
      </c>
      <c r="C109">
        <v>42.05</v>
      </c>
      <c r="D109">
        <v>43.37</v>
      </c>
      <c r="E109">
        <v>44.76</v>
      </c>
      <c r="F109">
        <v>45.09</v>
      </c>
      <c r="G109">
        <v>45.41</v>
      </c>
      <c r="H109">
        <v>39.630000000000003</v>
      </c>
      <c r="I109">
        <v>39.68</v>
      </c>
      <c r="J109">
        <v>39.74</v>
      </c>
      <c r="K109">
        <v>47.35</v>
      </c>
      <c r="L109">
        <v>47.44</v>
      </c>
      <c r="M109">
        <v>47.52</v>
      </c>
      <c r="P109">
        <v>37.700000000000003</v>
      </c>
      <c r="Q109">
        <v>38.35</v>
      </c>
      <c r="R109">
        <v>39.58</v>
      </c>
      <c r="S109">
        <v>41.66</v>
      </c>
      <c r="T109">
        <v>42</v>
      </c>
      <c r="U109">
        <v>42.34</v>
      </c>
      <c r="V109">
        <v>33.89</v>
      </c>
      <c r="W109">
        <v>33.950000000000003</v>
      </c>
      <c r="X109">
        <v>34.020000000000003</v>
      </c>
      <c r="Y109">
        <v>38.92</v>
      </c>
      <c r="Z109">
        <v>39.020000000000003</v>
      </c>
      <c r="AA109">
        <v>39.130000000000003</v>
      </c>
      <c r="AC109">
        <v>37.700000000000003</v>
      </c>
      <c r="AE109">
        <v>18.989999999999998</v>
      </c>
      <c r="AF109">
        <f t="shared" si="1"/>
        <v>1</v>
      </c>
    </row>
    <row r="110" spans="1:32" x14ac:dyDescent="0.25">
      <c r="A110" s="1">
        <v>39608</v>
      </c>
      <c r="B110">
        <v>40.9</v>
      </c>
      <c r="C110">
        <v>41.57</v>
      </c>
      <c r="D110">
        <v>42.87</v>
      </c>
      <c r="E110">
        <v>44.21</v>
      </c>
      <c r="F110">
        <v>44.53</v>
      </c>
      <c r="G110">
        <v>44.86</v>
      </c>
      <c r="H110">
        <v>38.86</v>
      </c>
      <c r="I110">
        <v>38.92</v>
      </c>
      <c r="J110">
        <v>38.97</v>
      </c>
      <c r="K110">
        <v>47.45</v>
      </c>
      <c r="L110">
        <v>47.54</v>
      </c>
      <c r="M110">
        <v>47.63</v>
      </c>
      <c r="P110">
        <v>37.71</v>
      </c>
      <c r="Q110">
        <v>38.35</v>
      </c>
      <c r="R110">
        <v>39.590000000000003</v>
      </c>
      <c r="S110">
        <v>41.87</v>
      </c>
      <c r="T110">
        <v>42.21</v>
      </c>
      <c r="U110">
        <v>42.55</v>
      </c>
      <c r="V110">
        <v>33.99</v>
      </c>
      <c r="W110">
        <v>34.06</v>
      </c>
      <c r="X110">
        <v>34.119999999999997</v>
      </c>
      <c r="Y110">
        <v>38.9</v>
      </c>
      <c r="Z110">
        <v>39</v>
      </c>
      <c r="AA110">
        <v>39.11</v>
      </c>
      <c r="AC110">
        <v>37.71</v>
      </c>
      <c r="AE110">
        <v>19</v>
      </c>
      <c r="AF110">
        <f t="shared" si="1"/>
        <v>1</v>
      </c>
    </row>
    <row r="111" spans="1:32" x14ac:dyDescent="0.25">
      <c r="A111" s="1">
        <v>39609</v>
      </c>
      <c r="B111">
        <v>39.950000000000003</v>
      </c>
      <c r="C111">
        <v>40.6</v>
      </c>
      <c r="D111">
        <v>41.87</v>
      </c>
      <c r="E111">
        <v>43.44</v>
      </c>
      <c r="F111">
        <v>43.76</v>
      </c>
      <c r="G111">
        <v>44.08</v>
      </c>
      <c r="H111">
        <v>38.06</v>
      </c>
      <c r="I111">
        <v>38.11</v>
      </c>
      <c r="J111">
        <v>38.17</v>
      </c>
      <c r="K111">
        <v>46.26</v>
      </c>
      <c r="L111">
        <v>46.35</v>
      </c>
      <c r="M111">
        <v>46.43</v>
      </c>
      <c r="P111">
        <v>37.729999999999997</v>
      </c>
      <c r="Q111">
        <v>38.39</v>
      </c>
      <c r="R111">
        <v>39.64</v>
      </c>
      <c r="S111">
        <v>41.61</v>
      </c>
      <c r="T111">
        <v>41.96</v>
      </c>
      <c r="U111">
        <v>42.31</v>
      </c>
      <c r="V111">
        <v>33.590000000000003</v>
      </c>
      <c r="W111">
        <v>33.659999999999997</v>
      </c>
      <c r="X111">
        <v>33.72</v>
      </c>
      <c r="Y111">
        <v>42.43</v>
      </c>
      <c r="Z111">
        <v>42.56</v>
      </c>
      <c r="AA111">
        <v>42.68</v>
      </c>
      <c r="AC111">
        <v>37.729999999999997</v>
      </c>
      <c r="AE111">
        <v>19.010000000000002</v>
      </c>
      <c r="AF111">
        <f t="shared" si="1"/>
        <v>1</v>
      </c>
    </row>
    <row r="112" spans="1:32" x14ac:dyDescent="0.25">
      <c r="A112" s="1">
        <v>39610</v>
      </c>
      <c r="B112">
        <v>39.31</v>
      </c>
      <c r="C112">
        <v>39.950000000000003</v>
      </c>
      <c r="D112">
        <v>41.21</v>
      </c>
      <c r="E112">
        <v>42.87</v>
      </c>
      <c r="F112">
        <v>43.18</v>
      </c>
      <c r="G112">
        <v>43.49</v>
      </c>
      <c r="H112">
        <v>37.479999999999997</v>
      </c>
      <c r="I112">
        <v>37.53</v>
      </c>
      <c r="J112">
        <v>37.590000000000003</v>
      </c>
      <c r="K112">
        <v>45.51</v>
      </c>
      <c r="L112">
        <v>45.59</v>
      </c>
      <c r="M112">
        <v>45.68</v>
      </c>
      <c r="P112">
        <v>37.79</v>
      </c>
      <c r="Q112">
        <v>38.409999999999997</v>
      </c>
      <c r="R112">
        <v>39.630000000000003</v>
      </c>
      <c r="S112">
        <v>41.51</v>
      </c>
      <c r="T112">
        <v>41.82</v>
      </c>
      <c r="U112">
        <v>42.14</v>
      </c>
      <c r="V112">
        <v>35.65</v>
      </c>
      <c r="W112">
        <v>35.71</v>
      </c>
      <c r="X112">
        <v>35.770000000000003</v>
      </c>
      <c r="Y112">
        <v>43.65</v>
      </c>
      <c r="Z112">
        <v>43.75</v>
      </c>
      <c r="AA112">
        <v>43.84</v>
      </c>
      <c r="AC112">
        <v>37.79</v>
      </c>
      <c r="AE112">
        <v>19.010000000000002</v>
      </c>
      <c r="AF112">
        <f t="shared" si="1"/>
        <v>2</v>
      </c>
    </row>
    <row r="113" spans="1:32" x14ac:dyDescent="0.25">
      <c r="A113" s="1">
        <v>39611</v>
      </c>
      <c r="B113">
        <v>39.81</v>
      </c>
      <c r="C113">
        <v>40.46</v>
      </c>
      <c r="D113">
        <v>41.73</v>
      </c>
      <c r="E113">
        <v>43.92</v>
      </c>
      <c r="F113">
        <v>44.24</v>
      </c>
      <c r="G113">
        <v>44.57</v>
      </c>
      <c r="H113">
        <v>38.35</v>
      </c>
      <c r="I113">
        <v>38.409999999999997</v>
      </c>
      <c r="J113">
        <v>38.46</v>
      </c>
      <c r="K113">
        <v>45.46</v>
      </c>
      <c r="L113">
        <v>45.54</v>
      </c>
      <c r="M113">
        <v>45.63</v>
      </c>
      <c r="P113">
        <v>37.85</v>
      </c>
      <c r="Q113">
        <v>38.49</v>
      </c>
      <c r="R113">
        <v>39.729999999999997</v>
      </c>
      <c r="S113">
        <v>41.28</v>
      </c>
      <c r="T113">
        <v>41.61</v>
      </c>
      <c r="U113">
        <v>41.95</v>
      </c>
      <c r="V113">
        <v>33.57</v>
      </c>
      <c r="W113">
        <v>33.630000000000003</v>
      </c>
      <c r="X113">
        <v>33.69</v>
      </c>
      <c r="Y113">
        <v>37.99</v>
      </c>
      <c r="Z113">
        <v>38.090000000000003</v>
      </c>
      <c r="AA113">
        <v>38.19</v>
      </c>
      <c r="AC113">
        <v>37.85</v>
      </c>
      <c r="AE113">
        <v>19.03</v>
      </c>
      <c r="AF113">
        <f t="shared" si="1"/>
        <v>1</v>
      </c>
    </row>
    <row r="114" spans="1:32" x14ac:dyDescent="0.25">
      <c r="A114" s="1">
        <v>39612</v>
      </c>
      <c r="B114">
        <v>39.86</v>
      </c>
      <c r="C114">
        <v>40.520000000000003</v>
      </c>
      <c r="D114">
        <v>41.79</v>
      </c>
      <c r="E114">
        <v>44.25</v>
      </c>
      <c r="F114">
        <v>44.58</v>
      </c>
      <c r="G114">
        <v>44.9</v>
      </c>
      <c r="H114">
        <v>38.49</v>
      </c>
      <c r="I114">
        <v>38.549999999999997</v>
      </c>
      <c r="J114">
        <v>38.61</v>
      </c>
      <c r="K114">
        <v>45.95</v>
      </c>
      <c r="L114">
        <v>46.04</v>
      </c>
      <c r="M114">
        <v>46.13</v>
      </c>
      <c r="P114">
        <v>37.86</v>
      </c>
      <c r="Q114">
        <v>38.520000000000003</v>
      </c>
      <c r="R114">
        <v>39.78</v>
      </c>
      <c r="S114">
        <v>41.88</v>
      </c>
      <c r="T114">
        <v>42.23</v>
      </c>
      <c r="U114">
        <v>42.59</v>
      </c>
      <c r="V114">
        <v>33.869999999999997</v>
      </c>
      <c r="W114">
        <v>33.94</v>
      </c>
      <c r="X114">
        <v>34.01</v>
      </c>
      <c r="Y114">
        <v>42.57</v>
      </c>
      <c r="Z114">
        <v>42.69</v>
      </c>
      <c r="AA114">
        <v>42.82</v>
      </c>
      <c r="AC114">
        <v>37.86</v>
      </c>
      <c r="AE114">
        <v>19.05</v>
      </c>
      <c r="AF114">
        <f t="shared" si="1"/>
        <v>1</v>
      </c>
    </row>
    <row r="115" spans="1:32" x14ac:dyDescent="0.25">
      <c r="A115" s="1">
        <v>39615</v>
      </c>
      <c r="B115">
        <v>39.79</v>
      </c>
      <c r="C115">
        <v>40.450000000000003</v>
      </c>
      <c r="D115">
        <v>41.72</v>
      </c>
      <c r="E115">
        <v>44.36</v>
      </c>
      <c r="F115">
        <v>44.69</v>
      </c>
      <c r="G115">
        <v>45.02</v>
      </c>
      <c r="H115">
        <v>38.39</v>
      </c>
      <c r="I115">
        <v>38.450000000000003</v>
      </c>
      <c r="J115">
        <v>38.51</v>
      </c>
      <c r="K115">
        <v>46.18</v>
      </c>
      <c r="L115">
        <v>46.27</v>
      </c>
      <c r="M115">
        <v>46.36</v>
      </c>
      <c r="P115">
        <v>37.86</v>
      </c>
      <c r="Q115">
        <v>38.520000000000003</v>
      </c>
      <c r="R115">
        <v>39.770000000000003</v>
      </c>
      <c r="S115">
        <v>41.38</v>
      </c>
      <c r="T115">
        <v>41.73</v>
      </c>
      <c r="U115">
        <v>42.08</v>
      </c>
      <c r="V115">
        <v>33.51</v>
      </c>
      <c r="W115">
        <v>33.58</v>
      </c>
      <c r="X115">
        <v>33.65</v>
      </c>
      <c r="Y115">
        <v>42.35</v>
      </c>
      <c r="Z115">
        <v>42.48</v>
      </c>
      <c r="AA115">
        <v>42.61</v>
      </c>
      <c r="AC115">
        <v>37.86</v>
      </c>
      <c r="AE115">
        <v>19.059999999999999</v>
      </c>
      <c r="AF115">
        <f t="shared" si="1"/>
        <v>1</v>
      </c>
    </row>
    <row r="116" spans="1:32" x14ac:dyDescent="0.25">
      <c r="A116" s="1">
        <v>39616</v>
      </c>
      <c r="B116">
        <v>40.08</v>
      </c>
      <c r="C116">
        <v>40.74</v>
      </c>
      <c r="D116">
        <v>42.02</v>
      </c>
      <c r="E116">
        <v>44.78</v>
      </c>
      <c r="F116">
        <v>45.11</v>
      </c>
      <c r="G116">
        <v>45.45</v>
      </c>
      <c r="H116">
        <v>38.69</v>
      </c>
      <c r="I116">
        <v>38.75</v>
      </c>
      <c r="J116">
        <v>38.81</v>
      </c>
      <c r="K116">
        <v>46.47</v>
      </c>
      <c r="L116">
        <v>46.56</v>
      </c>
      <c r="M116">
        <v>46.66</v>
      </c>
      <c r="P116">
        <v>37.86</v>
      </c>
      <c r="Q116">
        <v>38.53</v>
      </c>
      <c r="R116">
        <v>39.78</v>
      </c>
      <c r="S116">
        <v>40.99</v>
      </c>
      <c r="T116">
        <v>41.33</v>
      </c>
      <c r="U116">
        <v>41.69</v>
      </c>
      <c r="V116">
        <v>33.369999999999997</v>
      </c>
      <c r="W116">
        <v>33.44</v>
      </c>
      <c r="X116">
        <v>33.51</v>
      </c>
      <c r="Y116">
        <v>39.659999999999997</v>
      </c>
      <c r="Z116">
        <v>39.78</v>
      </c>
      <c r="AA116">
        <v>39.909999999999997</v>
      </c>
      <c r="AC116">
        <v>37.86</v>
      </c>
      <c r="AE116">
        <v>19.09</v>
      </c>
      <c r="AF116">
        <f t="shared" si="1"/>
        <v>1</v>
      </c>
    </row>
    <row r="117" spans="1:32" x14ac:dyDescent="0.25">
      <c r="A117" s="1">
        <v>39617</v>
      </c>
      <c r="B117">
        <v>39.58</v>
      </c>
      <c r="C117">
        <v>40.229999999999997</v>
      </c>
      <c r="D117">
        <v>41.5</v>
      </c>
      <c r="E117">
        <v>44.21</v>
      </c>
      <c r="F117">
        <v>44.54</v>
      </c>
      <c r="G117">
        <v>44.86</v>
      </c>
      <c r="H117">
        <v>38.1</v>
      </c>
      <c r="I117">
        <v>38.159999999999997</v>
      </c>
      <c r="J117">
        <v>38.22</v>
      </c>
      <c r="K117">
        <v>45.82</v>
      </c>
      <c r="L117">
        <v>45.91</v>
      </c>
      <c r="M117">
        <v>46</v>
      </c>
      <c r="P117">
        <v>37.89</v>
      </c>
      <c r="Q117">
        <v>38.54</v>
      </c>
      <c r="R117">
        <v>39.78</v>
      </c>
      <c r="S117">
        <v>42.08</v>
      </c>
      <c r="T117">
        <v>42.42</v>
      </c>
      <c r="U117">
        <v>42.77</v>
      </c>
      <c r="V117">
        <v>34.43</v>
      </c>
      <c r="W117">
        <v>34.5</v>
      </c>
      <c r="X117">
        <v>34.56</v>
      </c>
      <c r="Y117">
        <v>39.5</v>
      </c>
      <c r="Z117">
        <v>39.61</v>
      </c>
      <c r="AA117">
        <v>39.72</v>
      </c>
      <c r="AC117">
        <v>37.89</v>
      </c>
      <c r="AE117">
        <v>19.11</v>
      </c>
      <c r="AF117">
        <f t="shared" si="1"/>
        <v>1</v>
      </c>
    </row>
    <row r="118" spans="1:32" x14ac:dyDescent="0.25">
      <c r="A118" s="1">
        <v>39618</v>
      </c>
      <c r="B118">
        <v>39.590000000000003</v>
      </c>
      <c r="C118">
        <v>40.25</v>
      </c>
      <c r="D118">
        <v>41.51</v>
      </c>
      <c r="E118">
        <v>43.78</v>
      </c>
      <c r="F118">
        <v>44.1</v>
      </c>
      <c r="G118">
        <v>44.43</v>
      </c>
      <c r="H118">
        <v>37.81</v>
      </c>
      <c r="I118">
        <v>37.869999999999997</v>
      </c>
      <c r="J118">
        <v>37.93</v>
      </c>
      <c r="K118">
        <v>45.8</v>
      </c>
      <c r="L118">
        <v>45.89</v>
      </c>
      <c r="M118">
        <v>45.98</v>
      </c>
      <c r="P118">
        <v>37.909999999999997</v>
      </c>
      <c r="Q118">
        <v>38.549999999999997</v>
      </c>
      <c r="R118">
        <v>39.79</v>
      </c>
      <c r="S118">
        <v>40.659999999999997</v>
      </c>
      <c r="T118">
        <v>40.99</v>
      </c>
      <c r="U118">
        <v>41.31</v>
      </c>
      <c r="V118">
        <v>33.270000000000003</v>
      </c>
      <c r="W118">
        <v>33.33</v>
      </c>
      <c r="X118">
        <v>33.39</v>
      </c>
      <c r="Y118">
        <v>38.950000000000003</v>
      </c>
      <c r="Z118">
        <v>39.049999999999997</v>
      </c>
      <c r="AA118">
        <v>39.15</v>
      </c>
      <c r="AC118">
        <v>37.909999999999997</v>
      </c>
      <c r="AE118">
        <v>19.12</v>
      </c>
      <c r="AF118">
        <f t="shared" si="1"/>
        <v>1</v>
      </c>
    </row>
    <row r="119" spans="1:32" x14ac:dyDescent="0.25">
      <c r="A119" s="1">
        <v>39619</v>
      </c>
      <c r="B119">
        <v>39.28</v>
      </c>
      <c r="C119">
        <v>39.93</v>
      </c>
      <c r="D119">
        <v>41.19</v>
      </c>
      <c r="E119">
        <v>43.34</v>
      </c>
      <c r="F119">
        <v>43.66</v>
      </c>
      <c r="G119">
        <v>43.99</v>
      </c>
      <c r="H119">
        <v>37.64</v>
      </c>
      <c r="I119">
        <v>37.700000000000003</v>
      </c>
      <c r="J119">
        <v>37.75</v>
      </c>
      <c r="K119">
        <v>44.96</v>
      </c>
      <c r="L119">
        <v>45.05</v>
      </c>
      <c r="M119">
        <v>45.14</v>
      </c>
      <c r="P119">
        <v>37.979999999999997</v>
      </c>
      <c r="Q119">
        <v>38.630000000000003</v>
      </c>
      <c r="R119">
        <v>39.880000000000003</v>
      </c>
      <c r="S119">
        <v>42.15</v>
      </c>
      <c r="T119">
        <v>42.5</v>
      </c>
      <c r="U119">
        <v>42.84</v>
      </c>
      <c r="V119">
        <v>34.33</v>
      </c>
      <c r="W119">
        <v>34.4</v>
      </c>
      <c r="X119">
        <v>34.46</v>
      </c>
      <c r="Y119">
        <v>38.729999999999997</v>
      </c>
      <c r="Z119">
        <v>38.83</v>
      </c>
      <c r="AA119">
        <v>38.94</v>
      </c>
      <c r="AC119">
        <v>37.979999999999997</v>
      </c>
      <c r="AE119">
        <v>19.12</v>
      </c>
      <c r="AF119">
        <f t="shared" si="1"/>
        <v>2</v>
      </c>
    </row>
    <row r="120" spans="1:32" x14ac:dyDescent="0.25">
      <c r="A120" s="1">
        <v>39622</v>
      </c>
      <c r="B120">
        <v>38.880000000000003</v>
      </c>
      <c r="C120">
        <v>39.520000000000003</v>
      </c>
      <c r="D120">
        <v>40.770000000000003</v>
      </c>
      <c r="E120">
        <v>43.09</v>
      </c>
      <c r="F120">
        <v>43.41</v>
      </c>
      <c r="G120">
        <v>43.74</v>
      </c>
      <c r="H120">
        <v>37.03</v>
      </c>
      <c r="I120">
        <v>37.090000000000003</v>
      </c>
      <c r="J120">
        <v>37.15</v>
      </c>
      <c r="K120">
        <v>45.06</v>
      </c>
      <c r="L120">
        <v>45.15</v>
      </c>
      <c r="M120">
        <v>45.25</v>
      </c>
      <c r="P120">
        <v>38.01</v>
      </c>
      <c r="Q120">
        <v>38.65</v>
      </c>
      <c r="R120">
        <v>39.9</v>
      </c>
      <c r="S120">
        <v>41.08</v>
      </c>
      <c r="T120">
        <v>41.41</v>
      </c>
      <c r="U120">
        <v>41.74</v>
      </c>
      <c r="V120">
        <v>33.29</v>
      </c>
      <c r="W120">
        <v>33.35</v>
      </c>
      <c r="X120">
        <v>33.409999999999997</v>
      </c>
      <c r="Y120">
        <v>38.71</v>
      </c>
      <c r="Z120">
        <v>38.81</v>
      </c>
      <c r="AA120">
        <v>38.909999999999997</v>
      </c>
      <c r="AC120">
        <v>38.01</v>
      </c>
      <c r="AE120">
        <v>19.13</v>
      </c>
      <c r="AF120">
        <f t="shared" si="1"/>
        <v>1</v>
      </c>
    </row>
    <row r="121" spans="1:32" x14ac:dyDescent="0.25">
      <c r="A121" s="1">
        <v>39623</v>
      </c>
      <c r="B121">
        <v>38.51</v>
      </c>
      <c r="C121">
        <v>39.15</v>
      </c>
      <c r="D121">
        <v>40.380000000000003</v>
      </c>
      <c r="E121">
        <v>42.59</v>
      </c>
      <c r="F121">
        <v>42.91</v>
      </c>
      <c r="G121">
        <v>43.23</v>
      </c>
      <c r="H121">
        <v>36.54</v>
      </c>
      <c r="I121">
        <v>36.6</v>
      </c>
      <c r="J121">
        <v>36.65</v>
      </c>
      <c r="K121">
        <v>44.32</v>
      </c>
      <c r="L121">
        <v>44.41</v>
      </c>
      <c r="M121">
        <v>44.5</v>
      </c>
      <c r="P121">
        <v>38.01</v>
      </c>
      <c r="Q121">
        <v>38.659999999999997</v>
      </c>
      <c r="R121">
        <v>39.909999999999997</v>
      </c>
      <c r="S121">
        <v>42.09</v>
      </c>
      <c r="T121">
        <v>42.43</v>
      </c>
      <c r="U121">
        <v>42.77</v>
      </c>
      <c r="V121">
        <v>34.22</v>
      </c>
      <c r="W121">
        <v>34.29</v>
      </c>
      <c r="X121">
        <v>34.35</v>
      </c>
      <c r="Y121">
        <v>38.33</v>
      </c>
      <c r="Z121">
        <v>38.44</v>
      </c>
      <c r="AA121">
        <v>38.54</v>
      </c>
      <c r="AC121">
        <v>38.01</v>
      </c>
      <c r="AE121">
        <v>19.13</v>
      </c>
      <c r="AF121">
        <f t="shared" si="1"/>
        <v>2</v>
      </c>
    </row>
    <row r="122" spans="1:32" x14ac:dyDescent="0.25">
      <c r="A122" s="1">
        <v>39624</v>
      </c>
      <c r="B122">
        <v>38.71</v>
      </c>
      <c r="C122">
        <v>39.35</v>
      </c>
      <c r="D122">
        <v>40.590000000000003</v>
      </c>
      <c r="E122">
        <v>42.99</v>
      </c>
      <c r="F122">
        <v>43.31</v>
      </c>
      <c r="G122">
        <v>43.64</v>
      </c>
      <c r="H122">
        <v>36.950000000000003</v>
      </c>
      <c r="I122">
        <v>37.01</v>
      </c>
      <c r="J122">
        <v>37.07</v>
      </c>
      <c r="K122">
        <v>44.59</v>
      </c>
      <c r="L122">
        <v>44.68</v>
      </c>
      <c r="M122">
        <v>44.77</v>
      </c>
      <c r="P122">
        <v>38.06</v>
      </c>
      <c r="Q122">
        <v>38.72</v>
      </c>
      <c r="R122">
        <v>39.97</v>
      </c>
      <c r="S122">
        <v>42.67</v>
      </c>
      <c r="T122">
        <v>43.02</v>
      </c>
      <c r="U122">
        <v>43.38</v>
      </c>
      <c r="V122">
        <v>34.76</v>
      </c>
      <c r="W122">
        <v>34.83</v>
      </c>
      <c r="X122">
        <v>34.9</v>
      </c>
      <c r="Y122">
        <v>40.159999999999997</v>
      </c>
      <c r="Z122">
        <v>40.28</v>
      </c>
      <c r="AA122">
        <v>40.39</v>
      </c>
      <c r="AC122">
        <v>38.06</v>
      </c>
      <c r="AE122">
        <v>19.149999999999999</v>
      </c>
      <c r="AF122">
        <f t="shared" si="1"/>
        <v>1</v>
      </c>
    </row>
    <row r="123" spans="1:32" x14ac:dyDescent="0.25">
      <c r="A123" s="1">
        <v>39625</v>
      </c>
      <c r="B123">
        <v>38.24</v>
      </c>
      <c r="C123">
        <v>38.869999999999997</v>
      </c>
      <c r="D123">
        <v>40.1</v>
      </c>
      <c r="E123">
        <v>41.98</v>
      </c>
      <c r="F123">
        <v>42.29</v>
      </c>
      <c r="G123">
        <v>42.61</v>
      </c>
      <c r="H123">
        <v>36.07</v>
      </c>
      <c r="I123">
        <v>36.130000000000003</v>
      </c>
      <c r="J123">
        <v>36.19</v>
      </c>
      <c r="K123">
        <v>43.66</v>
      </c>
      <c r="L123">
        <v>43.75</v>
      </c>
      <c r="M123">
        <v>43.84</v>
      </c>
      <c r="P123">
        <v>38.1</v>
      </c>
      <c r="Q123">
        <v>38.75</v>
      </c>
      <c r="R123">
        <v>40</v>
      </c>
      <c r="S123">
        <v>42.43</v>
      </c>
      <c r="T123">
        <v>42.78</v>
      </c>
      <c r="U123">
        <v>43.13</v>
      </c>
      <c r="V123">
        <v>34.67</v>
      </c>
      <c r="W123">
        <v>34.729999999999997</v>
      </c>
      <c r="X123">
        <v>34.799999999999997</v>
      </c>
      <c r="Y123">
        <v>38.85</v>
      </c>
      <c r="Z123">
        <v>38.96</v>
      </c>
      <c r="AA123">
        <v>39.07</v>
      </c>
      <c r="AC123">
        <v>38.1</v>
      </c>
      <c r="AE123">
        <v>19.170000000000002</v>
      </c>
      <c r="AF123">
        <f t="shared" si="1"/>
        <v>1</v>
      </c>
    </row>
    <row r="124" spans="1:32" x14ac:dyDescent="0.25">
      <c r="A124" s="1">
        <v>39626</v>
      </c>
      <c r="B124">
        <v>37.79</v>
      </c>
      <c r="C124">
        <v>38.409999999999997</v>
      </c>
      <c r="D124">
        <v>39.630000000000003</v>
      </c>
      <c r="E124">
        <v>41.51</v>
      </c>
      <c r="F124">
        <v>41.82</v>
      </c>
      <c r="G124">
        <v>42.14</v>
      </c>
      <c r="H124">
        <v>35.65</v>
      </c>
      <c r="I124">
        <v>35.71</v>
      </c>
      <c r="J124">
        <v>35.770000000000003</v>
      </c>
      <c r="K124">
        <v>43.65</v>
      </c>
      <c r="L124">
        <v>43.75</v>
      </c>
      <c r="M124">
        <v>43.84</v>
      </c>
      <c r="P124">
        <v>38.130000000000003</v>
      </c>
      <c r="Q124">
        <v>38.78</v>
      </c>
      <c r="R124">
        <v>40.03</v>
      </c>
      <c r="S124">
        <v>41.08</v>
      </c>
      <c r="T124">
        <v>41.41</v>
      </c>
      <c r="U124">
        <v>41.74</v>
      </c>
      <c r="V124">
        <v>33.340000000000003</v>
      </c>
      <c r="W124">
        <v>33.4</v>
      </c>
      <c r="X124">
        <v>33.46</v>
      </c>
      <c r="Y124">
        <v>39.1</v>
      </c>
      <c r="Z124">
        <v>39.21</v>
      </c>
      <c r="AA124">
        <v>39.31</v>
      </c>
      <c r="AC124">
        <v>38.130000000000003</v>
      </c>
      <c r="AE124">
        <v>19.18</v>
      </c>
      <c r="AF124">
        <f t="shared" si="1"/>
        <v>1</v>
      </c>
    </row>
    <row r="125" spans="1:32" x14ac:dyDescent="0.25">
      <c r="A125" s="1">
        <v>39629</v>
      </c>
      <c r="B125">
        <v>37.4</v>
      </c>
      <c r="C125">
        <v>38.020000000000003</v>
      </c>
      <c r="D125">
        <v>39.22</v>
      </c>
      <c r="E125">
        <v>41.22</v>
      </c>
      <c r="F125">
        <v>41.53</v>
      </c>
      <c r="G125">
        <v>41.84</v>
      </c>
      <c r="H125">
        <v>35.18</v>
      </c>
      <c r="I125">
        <v>35.24</v>
      </c>
      <c r="J125">
        <v>35.29</v>
      </c>
      <c r="K125">
        <v>43.8</v>
      </c>
      <c r="L125">
        <v>43.89</v>
      </c>
      <c r="M125">
        <v>43.99</v>
      </c>
      <c r="P125">
        <v>38.21</v>
      </c>
      <c r="Q125">
        <v>38.869999999999997</v>
      </c>
      <c r="R125">
        <v>40.119999999999997</v>
      </c>
      <c r="S125">
        <v>41.69</v>
      </c>
      <c r="T125">
        <v>42.03</v>
      </c>
      <c r="U125">
        <v>42.37</v>
      </c>
      <c r="V125">
        <v>34.14</v>
      </c>
      <c r="W125">
        <v>34.21</v>
      </c>
      <c r="X125">
        <v>34.270000000000003</v>
      </c>
      <c r="Y125">
        <v>37.619999999999997</v>
      </c>
      <c r="Z125">
        <v>37.72</v>
      </c>
      <c r="AA125">
        <v>37.82</v>
      </c>
      <c r="AC125">
        <v>38.21</v>
      </c>
      <c r="AE125">
        <v>19.190000000000001</v>
      </c>
      <c r="AF125">
        <f t="shared" si="1"/>
        <v>1</v>
      </c>
    </row>
    <row r="126" spans="1:32" x14ac:dyDescent="0.25">
      <c r="A126" s="1">
        <v>39630</v>
      </c>
      <c r="B126">
        <v>36.51</v>
      </c>
      <c r="C126">
        <v>37.11</v>
      </c>
      <c r="D126">
        <v>38.29</v>
      </c>
      <c r="E126">
        <v>39.950000000000003</v>
      </c>
      <c r="F126">
        <v>40.26</v>
      </c>
      <c r="G126">
        <v>40.56</v>
      </c>
      <c r="H126">
        <v>34.04</v>
      </c>
      <c r="I126">
        <v>34.090000000000003</v>
      </c>
      <c r="J126">
        <v>34.15</v>
      </c>
      <c r="K126">
        <v>43.17</v>
      </c>
      <c r="L126">
        <v>43.26</v>
      </c>
      <c r="M126">
        <v>43.36</v>
      </c>
      <c r="P126">
        <v>38.24</v>
      </c>
      <c r="Q126">
        <v>38.869999999999997</v>
      </c>
      <c r="R126">
        <v>40.1</v>
      </c>
      <c r="S126">
        <v>41.98</v>
      </c>
      <c r="T126">
        <v>42.29</v>
      </c>
      <c r="U126">
        <v>42.61</v>
      </c>
      <c r="V126">
        <v>36.07</v>
      </c>
      <c r="W126">
        <v>36.130000000000003</v>
      </c>
      <c r="X126">
        <v>36.19</v>
      </c>
      <c r="Y126">
        <v>43.66</v>
      </c>
      <c r="Z126">
        <v>43.75</v>
      </c>
      <c r="AA126">
        <v>43.84</v>
      </c>
      <c r="AC126">
        <v>38.24</v>
      </c>
      <c r="AE126">
        <v>19.190000000000001</v>
      </c>
      <c r="AF126">
        <f t="shared" si="1"/>
        <v>2</v>
      </c>
    </row>
    <row r="127" spans="1:32" x14ac:dyDescent="0.25">
      <c r="A127" s="1">
        <v>39631</v>
      </c>
      <c r="B127">
        <v>36.17</v>
      </c>
      <c r="C127">
        <v>36.770000000000003</v>
      </c>
      <c r="D127">
        <v>37.94</v>
      </c>
      <c r="E127">
        <v>39.799999999999997</v>
      </c>
      <c r="F127">
        <v>40.1</v>
      </c>
      <c r="G127">
        <v>40.409999999999997</v>
      </c>
      <c r="H127">
        <v>33.57</v>
      </c>
      <c r="I127">
        <v>33.630000000000003</v>
      </c>
      <c r="J127">
        <v>33.68</v>
      </c>
      <c r="K127">
        <v>42.35</v>
      </c>
      <c r="L127">
        <v>42.44</v>
      </c>
      <c r="M127">
        <v>42.54</v>
      </c>
      <c r="P127">
        <v>38.28</v>
      </c>
      <c r="Q127">
        <v>38.96</v>
      </c>
      <c r="R127">
        <v>40.229999999999997</v>
      </c>
      <c r="S127">
        <v>42.81</v>
      </c>
      <c r="T127">
        <v>43.18</v>
      </c>
      <c r="U127">
        <v>43.55</v>
      </c>
      <c r="V127">
        <v>34.78</v>
      </c>
      <c r="W127">
        <v>34.86</v>
      </c>
      <c r="X127">
        <v>34.93</v>
      </c>
      <c r="Y127">
        <v>37.979999999999997</v>
      </c>
      <c r="Z127">
        <v>38.1</v>
      </c>
      <c r="AA127">
        <v>38.22</v>
      </c>
      <c r="AC127">
        <v>38.28</v>
      </c>
      <c r="AE127">
        <v>19.239999999999998</v>
      </c>
      <c r="AF127">
        <f t="shared" si="1"/>
        <v>1</v>
      </c>
    </row>
    <row r="128" spans="1:32" x14ac:dyDescent="0.25">
      <c r="A128" s="1">
        <v>39632</v>
      </c>
      <c r="B128">
        <v>35.97</v>
      </c>
      <c r="C128">
        <v>36.56</v>
      </c>
      <c r="D128">
        <v>37.72</v>
      </c>
      <c r="E128">
        <v>39.86</v>
      </c>
      <c r="F128">
        <v>40.159999999999997</v>
      </c>
      <c r="G128">
        <v>40.47</v>
      </c>
      <c r="H128">
        <v>33.64</v>
      </c>
      <c r="I128">
        <v>33.69</v>
      </c>
      <c r="J128">
        <v>33.75</v>
      </c>
      <c r="K128">
        <v>42.35</v>
      </c>
      <c r="L128">
        <v>42.44</v>
      </c>
      <c r="M128">
        <v>42.54</v>
      </c>
      <c r="P128">
        <v>38.479999999999997</v>
      </c>
      <c r="Q128">
        <v>39.15</v>
      </c>
      <c r="R128">
        <v>40.43</v>
      </c>
      <c r="S128">
        <v>41.47</v>
      </c>
      <c r="T128">
        <v>41.82</v>
      </c>
      <c r="U128">
        <v>42.18</v>
      </c>
      <c r="V128">
        <v>33.93</v>
      </c>
      <c r="W128">
        <v>34</v>
      </c>
      <c r="X128">
        <v>34.07</v>
      </c>
      <c r="Y128">
        <v>39.909999999999997</v>
      </c>
      <c r="Z128">
        <v>40.03</v>
      </c>
      <c r="AA128">
        <v>40.15</v>
      </c>
      <c r="AC128">
        <v>38.479999999999997</v>
      </c>
      <c r="AE128">
        <v>19.239999999999998</v>
      </c>
      <c r="AF128">
        <f t="shared" si="1"/>
        <v>2</v>
      </c>
    </row>
    <row r="129" spans="1:32" x14ac:dyDescent="0.25">
      <c r="A129" s="1">
        <v>39633</v>
      </c>
      <c r="B129">
        <v>35.31</v>
      </c>
      <c r="C129">
        <v>35.9</v>
      </c>
      <c r="D129">
        <v>37.03</v>
      </c>
      <c r="E129">
        <v>39.03</v>
      </c>
      <c r="F129">
        <v>39.33</v>
      </c>
      <c r="G129">
        <v>39.630000000000003</v>
      </c>
      <c r="H129">
        <v>32.56</v>
      </c>
      <c r="I129">
        <v>32.61</v>
      </c>
      <c r="J129">
        <v>32.659999999999997</v>
      </c>
      <c r="K129">
        <v>41.52</v>
      </c>
      <c r="L129">
        <v>41.61</v>
      </c>
      <c r="M129">
        <v>41.71</v>
      </c>
      <c r="P129">
        <v>38.51</v>
      </c>
      <c r="Q129">
        <v>39.15</v>
      </c>
      <c r="R129">
        <v>40.380000000000003</v>
      </c>
      <c r="S129">
        <v>42.59</v>
      </c>
      <c r="T129">
        <v>42.91</v>
      </c>
      <c r="U129">
        <v>43.23</v>
      </c>
      <c r="V129">
        <v>36.54</v>
      </c>
      <c r="W129">
        <v>36.6</v>
      </c>
      <c r="X129">
        <v>36.65</v>
      </c>
      <c r="Y129">
        <v>44.32</v>
      </c>
      <c r="Z129">
        <v>44.41</v>
      </c>
      <c r="AA129">
        <v>44.5</v>
      </c>
      <c r="AC129">
        <v>38.51</v>
      </c>
      <c r="AE129">
        <v>19.3</v>
      </c>
      <c r="AF129">
        <f t="shared" si="1"/>
        <v>1</v>
      </c>
    </row>
    <row r="130" spans="1:32" x14ac:dyDescent="0.25">
      <c r="A130" s="1">
        <v>39636</v>
      </c>
      <c r="B130">
        <v>35.46</v>
      </c>
      <c r="C130">
        <v>36.06</v>
      </c>
      <c r="D130">
        <v>37.200000000000003</v>
      </c>
      <c r="E130">
        <v>39.71</v>
      </c>
      <c r="F130">
        <v>40.020000000000003</v>
      </c>
      <c r="G130">
        <v>40.32</v>
      </c>
      <c r="H130">
        <v>33.130000000000003</v>
      </c>
      <c r="I130">
        <v>33.19</v>
      </c>
      <c r="J130">
        <v>33.24</v>
      </c>
      <c r="K130">
        <v>41.87</v>
      </c>
      <c r="L130">
        <v>41.97</v>
      </c>
      <c r="M130">
        <v>42.06</v>
      </c>
      <c r="P130">
        <v>38.64</v>
      </c>
      <c r="Q130">
        <v>39.32</v>
      </c>
      <c r="R130">
        <v>40.6</v>
      </c>
      <c r="S130">
        <v>42.4</v>
      </c>
      <c r="T130">
        <v>42.76</v>
      </c>
      <c r="U130">
        <v>43.12</v>
      </c>
      <c r="V130">
        <v>34.69</v>
      </c>
      <c r="W130">
        <v>34.76</v>
      </c>
      <c r="X130">
        <v>34.840000000000003</v>
      </c>
      <c r="Y130">
        <v>40.840000000000003</v>
      </c>
      <c r="Z130">
        <v>40.97</v>
      </c>
      <c r="AA130">
        <v>41.09</v>
      </c>
      <c r="AC130">
        <v>38.64</v>
      </c>
      <c r="AE130">
        <v>19.329999999999998</v>
      </c>
      <c r="AF130">
        <f t="shared" si="1"/>
        <v>1</v>
      </c>
    </row>
    <row r="131" spans="1:32" x14ac:dyDescent="0.25">
      <c r="A131" s="1">
        <v>39637</v>
      </c>
      <c r="B131">
        <v>35.159999999999997</v>
      </c>
      <c r="C131">
        <v>35.75</v>
      </c>
      <c r="D131">
        <v>36.880000000000003</v>
      </c>
      <c r="E131">
        <v>39.130000000000003</v>
      </c>
      <c r="F131">
        <v>39.43</v>
      </c>
      <c r="G131">
        <v>39.729999999999997</v>
      </c>
      <c r="H131">
        <v>32.729999999999997</v>
      </c>
      <c r="I131">
        <v>32.79</v>
      </c>
      <c r="J131">
        <v>32.840000000000003</v>
      </c>
      <c r="K131">
        <v>40.74</v>
      </c>
      <c r="L131">
        <v>40.840000000000003</v>
      </c>
      <c r="M131">
        <v>40.93</v>
      </c>
      <c r="P131">
        <v>38.69</v>
      </c>
      <c r="Q131">
        <v>39.369999999999997</v>
      </c>
      <c r="R131">
        <v>40.659999999999997</v>
      </c>
      <c r="S131">
        <v>42.95</v>
      </c>
      <c r="T131">
        <v>43.32</v>
      </c>
      <c r="U131">
        <v>43.69</v>
      </c>
      <c r="V131">
        <v>34.92</v>
      </c>
      <c r="W131">
        <v>34.99</v>
      </c>
      <c r="X131">
        <v>35.06</v>
      </c>
      <c r="Y131">
        <v>40.17</v>
      </c>
      <c r="Z131">
        <v>40.29</v>
      </c>
      <c r="AA131">
        <v>40.42</v>
      </c>
      <c r="AC131">
        <v>38.69</v>
      </c>
      <c r="AE131">
        <v>19.440000000000001</v>
      </c>
      <c r="AF131">
        <f t="shared" si="1"/>
        <v>1</v>
      </c>
    </row>
    <row r="132" spans="1:32" x14ac:dyDescent="0.25">
      <c r="A132" s="1">
        <v>39638</v>
      </c>
      <c r="B132">
        <v>35.81</v>
      </c>
      <c r="C132">
        <v>36.409999999999997</v>
      </c>
      <c r="D132">
        <v>37.57</v>
      </c>
      <c r="E132">
        <v>39.979999999999997</v>
      </c>
      <c r="F132">
        <v>40.29</v>
      </c>
      <c r="G132">
        <v>40.6</v>
      </c>
      <c r="H132">
        <v>33.479999999999997</v>
      </c>
      <c r="I132">
        <v>33.54</v>
      </c>
      <c r="J132">
        <v>33.6</v>
      </c>
      <c r="K132">
        <v>40.72</v>
      </c>
      <c r="L132">
        <v>40.81</v>
      </c>
      <c r="M132">
        <v>40.909999999999997</v>
      </c>
      <c r="P132">
        <v>38.700000000000003</v>
      </c>
      <c r="Q132">
        <v>39.369999999999997</v>
      </c>
      <c r="R132">
        <v>40.65</v>
      </c>
      <c r="S132">
        <v>42.47</v>
      </c>
      <c r="T132">
        <v>42.83</v>
      </c>
      <c r="U132">
        <v>43.19</v>
      </c>
      <c r="V132">
        <v>34.64</v>
      </c>
      <c r="W132">
        <v>34.72</v>
      </c>
      <c r="X132">
        <v>34.79</v>
      </c>
      <c r="Y132">
        <v>41.6</v>
      </c>
      <c r="Z132">
        <v>41.73</v>
      </c>
      <c r="AA132">
        <v>41.85</v>
      </c>
      <c r="AC132">
        <v>38.700000000000003</v>
      </c>
      <c r="AE132">
        <v>19.48</v>
      </c>
      <c r="AF132">
        <f t="shared" ref="AF132:AF195" si="2">IF(AE132=AE131,AF131+1,1)</f>
        <v>1</v>
      </c>
    </row>
    <row r="133" spans="1:32" x14ac:dyDescent="0.25">
      <c r="A133" s="1">
        <v>39639</v>
      </c>
      <c r="B133">
        <v>35.1</v>
      </c>
      <c r="C133">
        <v>35.68</v>
      </c>
      <c r="D133">
        <v>36.82</v>
      </c>
      <c r="E133">
        <v>39.07</v>
      </c>
      <c r="F133">
        <v>39.369999999999997</v>
      </c>
      <c r="G133">
        <v>39.67</v>
      </c>
      <c r="H133">
        <v>32.24</v>
      </c>
      <c r="I133">
        <v>32.299999999999997</v>
      </c>
      <c r="J133">
        <v>32.35</v>
      </c>
      <c r="K133">
        <v>39.9</v>
      </c>
      <c r="L133">
        <v>39.99</v>
      </c>
      <c r="M133">
        <v>40.08</v>
      </c>
      <c r="P133">
        <v>38.71</v>
      </c>
      <c r="Q133">
        <v>39.35</v>
      </c>
      <c r="R133">
        <v>40.590000000000003</v>
      </c>
      <c r="S133">
        <v>42.99</v>
      </c>
      <c r="T133">
        <v>43.31</v>
      </c>
      <c r="U133">
        <v>43.64</v>
      </c>
      <c r="V133">
        <v>36.950000000000003</v>
      </c>
      <c r="W133">
        <v>37.01</v>
      </c>
      <c r="X133">
        <v>37.07</v>
      </c>
      <c r="Y133">
        <v>44.59</v>
      </c>
      <c r="Z133">
        <v>44.68</v>
      </c>
      <c r="AA133">
        <v>44.77</v>
      </c>
      <c r="AC133">
        <v>38.71</v>
      </c>
      <c r="AE133">
        <v>19.489999999999998</v>
      </c>
      <c r="AF133">
        <f t="shared" si="2"/>
        <v>1</v>
      </c>
    </row>
    <row r="134" spans="1:32" x14ac:dyDescent="0.25">
      <c r="A134" s="1">
        <v>39640</v>
      </c>
      <c r="B134">
        <v>34.46</v>
      </c>
      <c r="C134">
        <v>35.03</v>
      </c>
      <c r="D134">
        <v>36.15</v>
      </c>
      <c r="E134">
        <v>38.06</v>
      </c>
      <c r="F134">
        <v>38.35</v>
      </c>
      <c r="G134">
        <v>38.65</v>
      </c>
      <c r="H134">
        <v>31.13</v>
      </c>
      <c r="I134">
        <v>31.18</v>
      </c>
      <c r="J134">
        <v>31.23</v>
      </c>
      <c r="K134">
        <v>39.51</v>
      </c>
      <c r="L134">
        <v>39.6</v>
      </c>
      <c r="M134">
        <v>39.69</v>
      </c>
      <c r="P134">
        <v>38.880000000000003</v>
      </c>
      <c r="Q134">
        <v>39.520000000000003</v>
      </c>
      <c r="R134">
        <v>40.770000000000003</v>
      </c>
      <c r="S134">
        <v>43.09</v>
      </c>
      <c r="T134">
        <v>43.41</v>
      </c>
      <c r="U134">
        <v>43.74</v>
      </c>
      <c r="V134">
        <v>37.03</v>
      </c>
      <c r="W134">
        <v>37.090000000000003</v>
      </c>
      <c r="X134">
        <v>37.15</v>
      </c>
      <c r="Y134">
        <v>45.06</v>
      </c>
      <c r="Z134">
        <v>45.15</v>
      </c>
      <c r="AA134">
        <v>45.25</v>
      </c>
      <c r="AC134">
        <v>38.880000000000003</v>
      </c>
      <c r="AE134">
        <v>19.53</v>
      </c>
      <c r="AF134">
        <f t="shared" si="2"/>
        <v>1</v>
      </c>
    </row>
    <row r="135" spans="1:32" x14ac:dyDescent="0.25">
      <c r="A135" s="1">
        <v>39643</v>
      </c>
      <c r="B135">
        <v>34.520000000000003</v>
      </c>
      <c r="C135">
        <v>35.1</v>
      </c>
      <c r="D135">
        <v>36.22</v>
      </c>
      <c r="E135">
        <v>38.159999999999997</v>
      </c>
      <c r="F135">
        <v>38.450000000000003</v>
      </c>
      <c r="G135">
        <v>38.75</v>
      </c>
      <c r="H135">
        <v>31.31</v>
      </c>
      <c r="I135">
        <v>31.37</v>
      </c>
      <c r="J135">
        <v>31.42</v>
      </c>
      <c r="K135">
        <v>39.549999999999997</v>
      </c>
      <c r="L135">
        <v>39.64</v>
      </c>
      <c r="M135">
        <v>39.729999999999997</v>
      </c>
      <c r="P135">
        <v>39.28</v>
      </c>
      <c r="Q135">
        <v>39.93</v>
      </c>
      <c r="R135">
        <v>41.19</v>
      </c>
      <c r="S135">
        <v>43.34</v>
      </c>
      <c r="T135">
        <v>43.66</v>
      </c>
      <c r="U135">
        <v>43.99</v>
      </c>
      <c r="V135">
        <v>37.64</v>
      </c>
      <c r="W135">
        <v>37.700000000000003</v>
      </c>
      <c r="X135">
        <v>37.75</v>
      </c>
      <c r="Y135">
        <v>44.96</v>
      </c>
      <c r="Z135">
        <v>45.05</v>
      </c>
      <c r="AA135">
        <v>45.14</v>
      </c>
      <c r="AC135">
        <v>39.28</v>
      </c>
      <c r="AE135">
        <v>19.53</v>
      </c>
      <c r="AF135">
        <f t="shared" si="2"/>
        <v>2</v>
      </c>
    </row>
    <row r="136" spans="1:32" x14ac:dyDescent="0.25">
      <c r="A136" s="1">
        <v>39644</v>
      </c>
      <c r="B136">
        <v>33.729999999999997</v>
      </c>
      <c r="C136">
        <v>34.299999999999997</v>
      </c>
      <c r="D136">
        <v>35.39</v>
      </c>
      <c r="E136">
        <v>37.18</v>
      </c>
      <c r="F136">
        <v>37.47</v>
      </c>
      <c r="G136">
        <v>37.770000000000003</v>
      </c>
      <c r="H136">
        <v>30.58</v>
      </c>
      <c r="I136">
        <v>30.63</v>
      </c>
      <c r="J136">
        <v>30.69</v>
      </c>
      <c r="K136">
        <v>38.5</v>
      </c>
      <c r="L136">
        <v>38.590000000000003</v>
      </c>
      <c r="M136">
        <v>38.68</v>
      </c>
      <c r="P136">
        <v>39.299999999999997</v>
      </c>
      <c r="Q136">
        <v>39.89</v>
      </c>
      <c r="R136">
        <v>41.1</v>
      </c>
      <c r="S136">
        <v>41.65</v>
      </c>
      <c r="T136">
        <v>41.91</v>
      </c>
      <c r="U136">
        <v>42.16</v>
      </c>
      <c r="V136">
        <v>37.58</v>
      </c>
      <c r="W136">
        <v>37.619999999999997</v>
      </c>
      <c r="X136">
        <v>37.65</v>
      </c>
      <c r="Y136">
        <v>40.35</v>
      </c>
      <c r="Z136">
        <v>40.380000000000003</v>
      </c>
      <c r="AA136">
        <v>40.409999999999997</v>
      </c>
      <c r="AC136">
        <v>39.299999999999997</v>
      </c>
      <c r="AE136">
        <v>19.54</v>
      </c>
      <c r="AF136">
        <f t="shared" si="2"/>
        <v>1</v>
      </c>
    </row>
    <row r="137" spans="1:32" x14ac:dyDescent="0.25">
      <c r="A137" s="1">
        <v>39645</v>
      </c>
      <c r="B137">
        <v>33.770000000000003</v>
      </c>
      <c r="C137">
        <v>34.33</v>
      </c>
      <c r="D137">
        <v>35.43</v>
      </c>
      <c r="E137">
        <v>37.32</v>
      </c>
      <c r="F137">
        <v>37.61</v>
      </c>
      <c r="G137">
        <v>37.9</v>
      </c>
      <c r="H137">
        <v>30.66</v>
      </c>
      <c r="I137">
        <v>30.71</v>
      </c>
      <c r="J137">
        <v>30.77</v>
      </c>
      <c r="K137">
        <v>38.57</v>
      </c>
      <c r="L137">
        <v>38.659999999999997</v>
      </c>
      <c r="M137">
        <v>38.75</v>
      </c>
      <c r="P137">
        <v>39.31</v>
      </c>
      <c r="Q137">
        <v>39.950000000000003</v>
      </c>
      <c r="R137">
        <v>41.21</v>
      </c>
      <c r="S137">
        <v>42.87</v>
      </c>
      <c r="T137">
        <v>43.18</v>
      </c>
      <c r="U137">
        <v>43.49</v>
      </c>
      <c r="V137">
        <v>37.479999999999997</v>
      </c>
      <c r="W137">
        <v>37.53</v>
      </c>
      <c r="X137">
        <v>37.590000000000003</v>
      </c>
      <c r="Y137">
        <v>45.51</v>
      </c>
      <c r="Z137">
        <v>45.59</v>
      </c>
      <c r="AA137">
        <v>45.68</v>
      </c>
      <c r="AC137">
        <v>39.31</v>
      </c>
      <c r="AE137">
        <v>19.579999999999998</v>
      </c>
      <c r="AF137">
        <f t="shared" si="2"/>
        <v>1</v>
      </c>
    </row>
    <row r="138" spans="1:32" x14ac:dyDescent="0.25">
      <c r="A138" s="1">
        <v>39646</v>
      </c>
      <c r="B138">
        <v>34.82</v>
      </c>
      <c r="C138">
        <v>35.409999999999997</v>
      </c>
      <c r="D138">
        <v>36.54</v>
      </c>
      <c r="E138">
        <v>38.5</v>
      </c>
      <c r="F138">
        <v>38.799999999999997</v>
      </c>
      <c r="G138">
        <v>39.11</v>
      </c>
      <c r="H138">
        <v>31.57</v>
      </c>
      <c r="I138">
        <v>31.62</v>
      </c>
      <c r="J138">
        <v>31.68</v>
      </c>
      <c r="K138">
        <v>39.090000000000003</v>
      </c>
      <c r="L138">
        <v>39.19</v>
      </c>
      <c r="M138">
        <v>39.28</v>
      </c>
      <c r="P138">
        <v>39.58</v>
      </c>
      <c r="Q138">
        <v>40.229999999999997</v>
      </c>
      <c r="R138">
        <v>41.5</v>
      </c>
      <c r="S138">
        <v>44.21</v>
      </c>
      <c r="T138">
        <v>44.54</v>
      </c>
      <c r="U138">
        <v>44.86</v>
      </c>
      <c r="V138">
        <v>38.1</v>
      </c>
      <c r="W138">
        <v>38.159999999999997</v>
      </c>
      <c r="X138">
        <v>38.22</v>
      </c>
      <c r="Y138">
        <v>45.82</v>
      </c>
      <c r="Z138">
        <v>45.91</v>
      </c>
      <c r="AA138">
        <v>46</v>
      </c>
      <c r="AC138">
        <v>39.58</v>
      </c>
      <c r="AE138">
        <v>19.579999999999998</v>
      </c>
      <c r="AF138">
        <f t="shared" si="2"/>
        <v>2</v>
      </c>
    </row>
    <row r="139" spans="1:32" x14ac:dyDescent="0.25">
      <c r="A139" s="1">
        <v>39647</v>
      </c>
      <c r="B139">
        <v>35.19</v>
      </c>
      <c r="C139">
        <v>35.78</v>
      </c>
      <c r="D139">
        <v>36.93</v>
      </c>
      <c r="E139">
        <v>39.03</v>
      </c>
      <c r="F139">
        <v>39.33</v>
      </c>
      <c r="G139">
        <v>39.64</v>
      </c>
      <c r="H139">
        <v>31.95</v>
      </c>
      <c r="I139">
        <v>32.01</v>
      </c>
      <c r="J139">
        <v>32.06</v>
      </c>
      <c r="K139">
        <v>38.630000000000003</v>
      </c>
      <c r="L139">
        <v>38.72</v>
      </c>
      <c r="M139">
        <v>38.82</v>
      </c>
      <c r="P139">
        <v>39.590000000000003</v>
      </c>
      <c r="Q139">
        <v>40.25</v>
      </c>
      <c r="R139">
        <v>41.51</v>
      </c>
      <c r="S139">
        <v>43.78</v>
      </c>
      <c r="T139">
        <v>44.1</v>
      </c>
      <c r="U139">
        <v>44.43</v>
      </c>
      <c r="V139">
        <v>37.81</v>
      </c>
      <c r="W139">
        <v>37.869999999999997</v>
      </c>
      <c r="X139">
        <v>37.93</v>
      </c>
      <c r="Y139">
        <v>45.8</v>
      </c>
      <c r="Z139">
        <v>45.89</v>
      </c>
      <c r="AA139">
        <v>45.98</v>
      </c>
      <c r="AC139">
        <v>39.590000000000003</v>
      </c>
      <c r="AE139">
        <v>19.579999999999998</v>
      </c>
      <c r="AF139">
        <f t="shared" si="2"/>
        <v>3</v>
      </c>
    </row>
    <row r="140" spans="1:32" x14ac:dyDescent="0.25">
      <c r="A140" s="1">
        <v>39650</v>
      </c>
      <c r="B140">
        <v>35.65</v>
      </c>
      <c r="C140">
        <v>36.25</v>
      </c>
      <c r="D140">
        <v>37.409999999999997</v>
      </c>
      <c r="E140">
        <v>39.49</v>
      </c>
      <c r="F140">
        <v>39.799999999999997</v>
      </c>
      <c r="G140">
        <v>40.11</v>
      </c>
      <c r="H140">
        <v>32.340000000000003</v>
      </c>
      <c r="I140">
        <v>32.39</v>
      </c>
      <c r="J140">
        <v>32.450000000000003</v>
      </c>
      <c r="K140">
        <v>39.1</v>
      </c>
      <c r="L140">
        <v>39.200000000000003</v>
      </c>
      <c r="M140">
        <v>39.29</v>
      </c>
      <c r="P140">
        <v>39.79</v>
      </c>
      <c r="Q140">
        <v>40.450000000000003</v>
      </c>
      <c r="R140">
        <v>41.72</v>
      </c>
      <c r="S140">
        <v>44.36</v>
      </c>
      <c r="T140">
        <v>44.69</v>
      </c>
      <c r="U140">
        <v>45.02</v>
      </c>
      <c r="V140">
        <v>38.39</v>
      </c>
      <c r="W140">
        <v>38.450000000000003</v>
      </c>
      <c r="X140">
        <v>38.51</v>
      </c>
      <c r="Y140">
        <v>46.18</v>
      </c>
      <c r="Z140">
        <v>46.27</v>
      </c>
      <c r="AA140">
        <v>46.36</v>
      </c>
      <c r="AC140">
        <v>39.79</v>
      </c>
      <c r="AE140">
        <v>19.59</v>
      </c>
      <c r="AF140">
        <f t="shared" si="2"/>
        <v>1</v>
      </c>
    </row>
    <row r="141" spans="1:32" x14ac:dyDescent="0.25">
      <c r="A141" s="1">
        <v>39651</v>
      </c>
      <c r="B141">
        <v>35.590000000000003</v>
      </c>
      <c r="C141">
        <v>36.19</v>
      </c>
      <c r="D141">
        <v>37.35</v>
      </c>
      <c r="E141">
        <v>39.08</v>
      </c>
      <c r="F141">
        <v>39.39</v>
      </c>
      <c r="G141">
        <v>39.700000000000003</v>
      </c>
      <c r="H141">
        <v>32.11</v>
      </c>
      <c r="I141">
        <v>32.159999999999997</v>
      </c>
      <c r="J141">
        <v>32.22</v>
      </c>
      <c r="K141">
        <v>39.159999999999997</v>
      </c>
      <c r="L141">
        <v>39.25</v>
      </c>
      <c r="M141">
        <v>39.35</v>
      </c>
      <c r="P141">
        <v>39.81</v>
      </c>
      <c r="Q141">
        <v>40.46</v>
      </c>
      <c r="R141">
        <v>41.73</v>
      </c>
      <c r="S141">
        <v>43.92</v>
      </c>
      <c r="T141">
        <v>44.24</v>
      </c>
      <c r="U141">
        <v>44.57</v>
      </c>
      <c r="V141">
        <v>38.35</v>
      </c>
      <c r="W141">
        <v>38.409999999999997</v>
      </c>
      <c r="X141">
        <v>38.46</v>
      </c>
      <c r="Y141">
        <v>45.46</v>
      </c>
      <c r="Z141">
        <v>45.54</v>
      </c>
      <c r="AA141">
        <v>45.63</v>
      </c>
      <c r="AC141">
        <v>39.81</v>
      </c>
      <c r="AE141">
        <v>19.63</v>
      </c>
      <c r="AF141">
        <f t="shared" si="2"/>
        <v>1</v>
      </c>
    </row>
    <row r="142" spans="1:32" x14ac:dyDescent="0.25">
      <c r="A142" s="1">
        <v>39652</v>
      </c>
      <c r="B142">
        <v>36.94</v>
      </c>
      <c r="C142">
        <v>37.57</v>
      </c>
      <c r="D142">
        <v>38.770000000000003</v>
      </c>
      <c r="E142">
        <v>40.42</v>
      </c>
      <c r="F142">
        <v>40.74</v>
      </c>
      <c r="G142">
        <v>41.06</v>
      </c>
      <c r="H142">
        <v>33.44</v>
      </c>
      <c r="I142">
        <v>33.5</v>
      </c>
      <c r="J142">
        <v>33.56</v>
      </c>
      <c r="K142">
        <v>39.43</v>
      </c>
      <c r="L142">
        <v>39.53</v>
      </c>
      <c r="M142">
        <v>39.619999999999997</v>
      </c>
      <c r="P142">
        <v>39.86</v>
      </c>
      <c r="Q142">
        <v>40.520000000000003</v>
      </c>
      <c r="R142">
        <v>41.79</v>
      </c>
      <c r="S142">
        <v>44.25</v>
      </c>
      <c r="T142">
        <v>44.58</v>
      </c>
      <c r="U142">
        <v>44.9</v>
      </c>
      <c r="V142">
        <v>38.49</v>
      </c>
      <c r="W142">
        <v>38.549999999999997</v>
      </c>
      <c r="X142">
        <v>38.61</v>
      </c>
      <c r="Y142">
        <v>45.95</v>
      </c>
      <c r="Z142">
        <v>46.04</v>
      </c>
      <c r="AA142">
        <v>46.13</v>
      </c>
      <c r="AC142">
        <v>39.86</v>
      </c>
      <c r="AE142">
        <v>19.64</v>
      </c>
      <c r="AF142">
        <f t="shared" si="2"/>
        <v>1</v>
      </c>
    </row>
    <row r="143" spans="1:32" x14ac:dyDescent="0.25">
      <c r="A143" s="1">
        <v>39653</v>
      </c>
      <c r="B143">
        <v>36.590000000000003</v>
      </c>
      <c r="C143">
        <v>37.21</v>
      </c>
      <c r="D143">
        <v>38.4</v>
      </c>
      <c r="E143">
        <v>39.68</v>
      </c>
      <c r="F143">
        <v>39.99</v>
      </c>
      <c r="G143">
        <v>40.31</v>
      </c>
      <c r="H143">
        <v>32.950000000000003</v>
      </c>
      <c r="I143">
        <v>33.01</v>
      </c>
      <c r="J143">
        <v>33.07</v>
      </c>
      <c r="K143">
        <v>37.880000000000003</v>
      </c>
      <c r="L143">
        <v>37.979999999999997</v>
      </c>
      <c r="M143">
        <v>38.07</v>
      </c>
      <c r="P143">
        <v>39.950000000000003</v>
      </c>
      <c r="Q143">
        <v>40.6</v>
      </c>
      <c r="R143">
        <v>41.87</v>
      </c>
      <c r="S143">
        <v>43.44</v>
      </c>
      <c r="T143">
        <v>43.76</v>
      </c>
      <c r="U143">
        <v>44.08</v>
      </c>
      <c r="V143">
        <v>38.06</v>
      </c>
      <c r="W143">
        <v>38.11</v>
      </c>
      <c r="X143">
        <v>38.17</v>
      </c>
      <c r="Y143">
        <v>46.26</v>
      </c>
      <c r="Z143">
        <v>46.35</v>
      </c>
      <c r="AA143">
        <v>46.43</v>
      </c>
      <c r="AC143">
        <v>39.950000000000003</v>
      </c>
      <c r="AE143">
        <v>19.649999999999999</v>
      </c>
      <c r="AF143">
        <f t="shared" si="2"/>
        <v>1</v>
      </c>
    </row>
    <row r="144" spans="1:32" x14ac:dyDescent="0.25">
      <c r="A144" s="1">
        <v>39654</v>
      </c>
      <c r="B144">
        <v>36.57</v>
      </c>
      <c r="C144">
        <v>37.19</v>
      </c>
      <c r="D144">
        <v>38.380000000000003</v>
      </c>
      <c r="E144">
        <v>38.93</v>
      </c>
      <c r="F144">
        <v>39.24</v>
      </c>
      <c r="G144">
        <v>39.549999999999997</v>
      </c>
      <c r="H144">
        <v>32.29</v>
      </c>
      <c r="I144">
        <v>32.35</v>
      </c>
      <c r="J144">
        <v>32.409999999999997</v>
      </c>
      <c r="K144">
        <v>37.840000000000003</v>
      </c>
      <c r="L144">
        <v>37.94</v>
      </c>
      <c r="M144">
        <v>38.03</v>
      </c>
      <c r="P144">
        <v>40.07</v>
      </c>
      <c r="Q144">
        <v>40.68</v>
      </c>
      <c r="R144">
        <v>41.91</v>
      </c>
      <c r="S144">
        <v>42.67</v>
      </c>
      <c r="T144">
        <v>42.93</v>
      </c>
      <c r="U144">
        <v>43.19</v>
      </c>
      <c r="V144">
        <v>38.520000000000003</v>
      </c>
      <c r="W144">
        <v>38.56</v>
      </c>
      <c r="X144">
        <v>38.590000000000003</v>
      </c>
      <c r="Y144">
        <v>39.46</v>
      </c>
      <c r="Z144">
        <v>39.49</v>
      </c>
      <c r="AA144">
        <v>39.520000000000003</v>
      </c>
      <c r="AC144">
        <v>40.07</v>
      </c>
      <c r="AE144">
        <v>19.690000000000001</v>
      </c>
      <c r="AF144">
        <f t="shared" si="2"/>
        <v>1</v>
      </c>
    </row>
    <row r="145" spans="1:32" x14ac:dyDescent="0.25">
      <c r="A145" s="1">
        <v>39657</v>
      </c>
      <c r="B145">
        <v>36.61</v>
      </c>
      <c r="C145">
        <v>37.229999999999997</v>
      </c>
      <c r="D145">
        <v>38.43</v>
      </c>
      <c r="E145">
        <v>39.01</v>
      </c>
      <c r="F145">
        <v>39.33</v>
      </c>
      <c r="G145">
        <v>39.64</v>
      </c>
      <c r="H145">
        <v>32.26</v>
      </c>
      <c r="I145">
        <v>32.32</v>
      </c>
      <c r="J145">
        <v>32.369999999999997</v>
      </c>
      <c r="K145">
        <v>37.83</v>
      </c>
      <c r="L145">
        <v>37.92</v>
      </c>
      <c r="M145">
        <v>38.020000000000003</v>
      </c>
      <c r="P145">
        <v>40.08</v>
      </c>
      <c r="Q145">
        <v>40.74</v>
      </c>
      <c r="R145">
        <v>42.02</v>
      </c>
      <c r="S145">
        <v>44.78</v>
      </c>
      <c r="T145">
        <v>45.11</v>
      </c>
      <c r="U145">
        <v>45.45</v>
      </c>
      <c r="V145">
        <v>38.69</v>
      </c>
      <c r="W145">
        <v>38.75</v>
      </c>
      <c r="X145">
        <v>38.81</v>
      </c>
      <c r="Y145">
        <v>46.47</v>
      </c>
      <c r="Z145">
        <v>46.56</v>
      </c>
      <c r="AA145">
        <v>46.66</v>
      </c>
      <c r="AC145">
        <v>40.08</v>
      </c>
      <c r="AE145">
        <v>19.7</v>
      </c>
      <c r="AF145">
        <f t="shared" si="2"/>
        <v>1</v>
      </c>
    </row>
    <row r="146" spans="1:32" x14ac:dyDescent="0.25">
      <c r="A146" s="1">
        <v>39658</v>
      </c>
      <c r="B146">
        <v>36.94</v>
      </c>
      <c r="C146">
        <v>37.57</v>
      </c>
      <c r="D146">
        <v>38.78</v>
      </c>
      <c r="E146">
        <v>39.909999999999997</v>
      </c>
      <c r="F146">
        <v>40.229999999999997</v>
      </c>
      <c r="G146">
        <v>40.549999999999997</v>
      </c>
      <c r="H146">
        <v>32.65</v>
      </c>
      <c r="I146">
        <v>32.71</v>
      </c>
      <c r="J146">
        <v>32.770000000000003</v>
      </c>
      <c r="K146">
        <v>38.11</v>
      </c>
      <c r="L146">
        <v>38.21</v>
      </c>
      <c r="M146">
        <v>38.299999999999997</v>
      </c>
      <c r="P146">
        <v>40.57</v>
      </c>
      <c r="Q146">
        <v>41.18</v>
      </c>
      <c r="R146">
        <v>42.43</v>
      </c>
      <c r="S146">
        <v>42.77</v>
      </c>
      <c r="T146">
        <v>43.03</v>
      </c>
      <c r="U146">
        <v>43.29</v>
      </c>
      <c r="V146">
        <v>38.6</v>
      </c>
      <c r="W146">
        <v>38.630000000000003</v>
      </c>
      <c r="X146">
        <v>38.67</v>
      </c>
      <c r="Y146">
        <v>41.03</v>
      </c>
      <c r="Z146">
        <v>41.06</v>
      </c>
      <c r="AA146">
        <v>41.09</v>
      </c>
      <c r="AC146">
        <v>40.57</v>
      </c>
      <c r="AE146">
        <v>19.7</v>
      </c>
      <c r="AF146">
        <f t="shared" si="2"/>
        <v>2</v>
      </c>
    </row>
    <row r="147" spans="1:32" x14ac:dyDescent="0.25">
      <c r="A147" s="1">
        <v>39659</v>
      </c>
      <c r="B147">
        <v>37.909999999999997</v>
      </c>
      <c r="C147">
        <v>38.549999999999997</v>
      </c>
      <c r="D147">
        <v>39.79</v>
      </c>
      <c r="E147">
        <v>40.659999999999997</v>
      </c>
      <c r="F147">
        <v>40.99</v>
      </c>
      <c r="G147">
        <v>41.31</v>
      </c>
      <c r="H147">
        <v>33.270000000000003</v>
      </c>
      <c r="I147">
        <v>33.33</v>
      </c>
      <c r="J147">
        <v>33.39</v>
      </c>
      <c r="K147">
        <v>38.950000000000003</v>
      </c>
      <c r="L147">
        <v>39.049999999999997</v>
      </c>
      <c r="M147">
        <v>39.15</v>
      </c>
      <c r="P147">
        <v>40.700000000000003</v>
      </c>
      <c r="Q147">
        <v>41.32</v>
      </c>
      <c r="R147">
        <v>42.57</v>
      </c>
      <c r="S147">
        <v>42.88</v>
      </c>
      <c r="T147">
        <v>43.14</v>
      </c>
      <c r="U147">
        <v>43.41</v>
      </c>
      <c r="V147">
        <v>38.71</v>
      </c>
      <c r="W147">
        <v>38.75</v>
      </c>
      <c r="X147">
        <v>38.79</v>
      </c>
      <c r="Y147">
        <v>40.29</v>
      </c>
      <c r="Z147">
        <v>40.32</v>
      </c>
      <c r="AA147">
        <v>40.35</v>
      </c>
      <c r="AC147">
        <v>40.700000000000003</v>
      </c>
      <c r="AE147">
        <v>19.75</v>
      </c>
      <c r="AF147">
        <f t="shared" si="2"/>
        <v>1</v>
      </c>
    </row>
    <row r="148" spans="1:32" x14ac:dyDescent="0.25">
      <c r="A148" s="1">
        <v>39660</v>
      </c>
      <c r="B148">
        <v>38.130000000000003</v>
      </c>
      <c r="C148">
        <v>38.78</v>
      </c>
      <c r="D148">
        <v>40.03</v>
      </c>
      <c r="E148">
        <v>41.08</v>
      </c>
      <c r="F148">
        <v>41.41</v>
      </c>
      <c r="G148">
        <v>41.74</v>
      </c>
      <c r="H148">
        <v>33.340000000000003</v>
      </c>
      <c r="I148">
        <v>33.4</v>
      </c>
      <c r="J148">
        <v>33.46</v>
      </c>
      <c r="K148">
        <v>39.1</v>
      </c>
      <c r="L148">
        <v>39.21</v>
      </c>
      <c r="M148">
        <v>39.31</v>
      </c>
      <c r="P148">
        <v>40.880000000000003</v>
      </c>
      <c r="Q148">
        <v>41.49</v>
      </c>
      <c r="R148">
        <v>42.73</v>
      </c>
      <c r="S148">
        <v>44.22</v>
      </c>
      <c r="T148">
        <v>44.48</v>
      </c>
      <c r="U148">
        <v>44.75</v>
      </c>
      <c r="V148">
        <v>39.19</v>
      </c>
      <c r="W148">
        <v>39.22</v>
      </c>
      <c r="X148">
        <v>39.25</v>
      </c>
      <c r="Y148">
        <v>42.79</v>
      </c>
      <c r="Z148">
        <v>42.82</v>
      </c>
      <c r="AA148">
        <v>42.84</v>
      </c>
      <c r="AC148">
        <v>40.880000000000003</v>
      </c>
      <c r="AE148">
        <v>19.75</v>
      </c>
      <c r="AF148">
        <f t="shared" si="2"/>
        <v>2</v>
      </c>
    </row>
    <row r="149" spans="1:32" x14ac:dyDescent="0.25">
      <c r="A149" s="1">
        <v>39661</v>
      </c>
      <c r="B149">
        <v>38.01</v>
      </c>
      <c r="C149">
        <v>38.65</v>
      </c>
      <c r="D149">
        <v>39.9</v>
      </c>
      <c r="E149">
        <v>41.08</v>
      </c>
      <c r="F149">
        <v>41.41</v>
      </c>
      <c r="G149">
        <v>41.74</v>
      </c>
      <c r="H149">
        <v>33.29</v>
      </c>
      <c r="I149">
        <v>33.35</v>
      </c>
      <c r="J149">
        <v>33.409999999999997</v>
      </c>
      <c r="K149">
        <v>38.71</v>
      </c>
      <c r="L149">
        <v>38.81</v>
      </c>
      <c r="M149">
        <v>38.909999999999997</v>
      </c>
      <c r="P149">
        <v>40.9</v>
      </c>
      <c r="Q149">
        <v>41.57</v>
      </c>
      <c r="R149">
        <v>42.87</v>
      </c>
      <c r="S149">
        <v>44.21</v>
      </c>
      <c r="T149">
        <v>44.53</v>
      </c>
      <c r="U149">
        <v>44.86</v>
      </c>
      <c r="V149">
        <v>38.86</v>
      </c>
      <c r="W149">
        <v>38.92</v>
      </c>
      <c r="X149">
        <v>38.97</v>
      </c>
      <c r="Y149">
        <v>47.45</v>
      </c>
      <c r="Z149">
        <v>47.54</v>
      </c>
      <c r="AA149">
        <v>47.63</v>
      </c>
      <c r="AC149">
        <v>40.9</v>
      </c>
      <c r="AE149">
        <v>19.77</v>
      </c>
      <c r="AF149">
        <f t="shared" si="2"/>
        <v>1</v>
      </c>
    </row>
    <row r="150" spans="1:32" x14ac:dyDescent="0.25">
      <c r="A150" s="1">
        <v>39664</v>
      </c>
      <c r="B150">
        <v>37.85</v>
      </c>
      <c r="C150">
        <v>38.49</v>
      </c>
      <c r="D150">
        <v>39.729999999999997</v>
      </c>
      <c r="E150">
        <v>41.28</v>
      </c>
      <c r="F150">
        <v>41.61</v>
      </c>
      <c r="G150">
        <v>41.95</v>
      </c>
      <c r="H150">
        <v>33.57</v>
      </c>
      <c r="I150">
        <v>33.630000000000003</v>
      </c>
      <c r="J150">
        <v>33.69</v>
      </c>
      <c r="K150">
        <v>37.99</v>
      </c>
      <c r="L150">
        <v>38.090000000000003</v>
      </c>
      <c r="M150">
        <v>38.19</v>
      </c>
      <c r="P150">
        <v>40.97</v>
      </c>
      <c r="Q150">
        <v>41.59</v>
      </c>
      <c r="R150">
        <v>42.84</v>
      </c>
      <c r="S150">
        <v>44.12</v>
      </c>
      <c r="T150">
        <v>44.38</v>
      </c>
      <c r="U150">
        <v>44.65</v>
      </c>
      <c r="V150">
        <v>39.15</v>
      </c>
      <c r="W150">
        <v>39.19</v>
      </c>
      <c r="X150">
        <v>39.22</v>
      </c>
      <c r="Y150">
        <v>42.15</v>
      </c>
      <c r="Z150">
        <v>42.18</v>
      </c>
      <c r="AA150">
        <v>42.21</v>
      </c>
      <c r="AC150">
        <v>40.97</v>
      </c>
      <c r="AE150">
        <v>19.8</v>
      </c>
      <c r="AF150">
        <f t="shared" si="2"/>
        <v>1</v>
      </c>
    </row>
    <row r="151" spans="1:32" x14ac:dyDescent="0.25">
      <c r="A151" s="1">
        <v>39665</v>
      </c>
      <c r="B151">
        <v>38.21</v>
      </c>
      <c r="C151">
        <v>38.869999999999997</v>
      </c>
      <c r="D151">
        <v>40.119999999999997</v>
      </c>
      <c r="E151">
        <v>41.69</v>
      </c>
      <c r="F151">
        <v>42.03</v>
      </c>
      <c r="G151">
        <v>42.37</v>
      </c>
      <c r="H151">
        <v>34.14</v>
      </c>
      <c r="I151">
        <v>34.21</v>
      </c>
      <c r="J151">
        <v>34.270000000000003</v>
      </c>
      <c r="K151">
        <v>37.619999999999997</v>
      </c>
      <c r="L151">
        <v>37.72</v>
      </c>
      <c r="M151">
        <v>37.82</v>
      </c>
      <c r="P151">
        <v>40.97</v>
      </c>
      <c r="Q151">
        <v>41.61</v>
      </c>
      <c r="R151">
        <v>42.89</v>
      </c>
      <c r="S151">
        <v>43</v>
      </c>
      <c r="T151">
        <v>43.28</v>
      </c>
      <c r="U151">
        <v>43.57</v>
      </c>
      <c r="V151">
        <v>38.97</v>
      </c>
      <c r="W151">
        <v>39.01</v>
      </c>
      <c r="X151">
        <v>39.06</v>
      </c>
      <c r="Y151">
        <v>44.35</v>
      </c>
      <c r="Z151">
        <v>44.41</v>
      </c>
      <c r="AA151">
        <v>44.46</v>
      </c>
      <c r="AC151">
        <v>40.97</v>
      </c>
      <c r="AE151">
        <v>19.87</v>
      </c>
      <c r="AF151">
        <f t="shared" si="2"/>
        <v>1</v>
      </c>
    </row>
    <row r="152" spans="1:32" x14ac:dyDescent="0.25">
      <c r="A152" s="1">
        <v>39666</v>
      </c>
      <c r="B152">
        <v>38.01</v>
      </c>
      <c r="C152">
        <v>38.659999999999997</v>
      </c>
      <c r="D152">
        <v>39.909999999999997</v>
      </c>
      <c r="E152">
        <v>42.09</v>
      </c>
      <c r="F152">
        <v>42.43</v>
      </c>
      <c r="G152">
        <v>42.77</v>
      </c>
      <c r="H152">
        <v>34.22</v>
      </c>
      <c r="I152">
        <v>34.29</v>
      </c>
      <c r="J152">
        <v>34.35</v>
      </c>
      <c r="K152">
        <v>38.33</v>
      </c>
      <c r="L152">
        <v>38.44</v>
      </c>
      <c r="M152">
        <v>38.54</v>
      </c>
      <c r="P152">
        <v>41.1</v>
      </c>
      <c r="Q152">
        <v>41.69</v>
      </c>
      <c r="R152">
        <v>42.91</v>
      </c>
      <c r="S152">
        <v>47.03</v>
      </c>
      <c r="T152">
        <v>47.29</v>
      </c>
      <c r="U152">
        <v>47.54</v>
      </c>
      <c r="V152">
        <v>39.94</v>
      </c>
      <c r="W152">
        <v>39.97</v>
      </c>
      <c r="X152">
        <v>39.99</v>
      </c>
      <c r="Y152">
        <v>40.54</v>
      </c>
      <c r="Z152">
        <v>40.54</v>
      </c>
      <c r="AA152">
        <v>40.549999999999997</v>
      </c>
      <c r="AC152">
        <v>41.1</v>
      </c>
      <c r="AE152">
        <v>19.920000000000002</v>
      </c>
      <c r="AF152">
        <f t="shared" si="2"/>
        <v>1</v>
      </c>
    </row>
    <row r="153" spans="1:32" x14ac:dyDescent="0.25">
      <c r="A153" s="1">
        <v>39667</v>
      </c>
      <c r="B153">
        <v>37.71</v>
      </c>
      <c r="C153">
        <v>38.35</v>
      </c>
      <c r="D153">
        <v>39.590000000000003</v>
      </c>
      <c r="E153">
        <v>41.87</v>
      </c>
      <c r="F153">
        <v>42.21</v>
      </c>
      <c r="G153">
        <v>42.55</v>
      </c>
      <c r="H153">
        <v>33.99</v>
      </c>
      <c r="I153">
        <v>34.06</v>
      </c>
      <c r="J153">
        <v>34.119999999999997</v>
      </c>
      <c r="K153">
        <v>38.9</v>
      </c>
      <c r="L153">
        <v>39</v>
      </c>
      <c r="M153">
        <v>39.11</v>
      </c>
      <c r="P153">
        <v>41.11</v>
      </c>
      <c r="Q153">
        <v>41.75</v>
      </c>
      <c r="R153">
        <v>43.04</v>
      </c>
      <c r="S153">
        <v>42.97</v>
      </c>
      <c r="T153">
        <v>43.25</v>
      </c>
      <c r="U153">
        <v>43.54</v>
      </c>
      <c r="V153">
        <v>39</v>
      </c>
      <c r="W153">
        <v>39.04</v>
      </c>
      <c r="X153">
        <v>39.090000000000003</v>
      </c>
      <c r="Y153">
        <v>43.84</v>
      </c>
      <c r="Z153">
        <v>43.9</v>
      </c>
      <c r="AA153">
        <v>43.95</v>
      </c>
      <c r="AC153">
        <v>41.11</v>
      </c>
      <c r="AE153">
        <v>19.96</v>
      </c>
      <c r="AF153">
        <f t="shared" si="2"/>
        <v>1</v>
      </c>
    </row>
    <row r="154" spans="1:32" x14ac:dyDescent="0.25">
      <c r="A154" s="1">
        <v>39668</v>
      </c>
      <c r="B154">
        <v>37.700000000000003</v>
      </c>
      <c r="C154">
        <v>38.35</v>
      </c>
      <c r="D154">
        <v>39.58</v>
      </c>
      <c r="E154">
        <v>41.66</v>
      </c>
      <c r="F154">
        <v>42</v>
      </c>
      <c r="G154">
        <v>42.34</v>
      </c>
      <c r="H154">
        <v>33.89</v>
      </c>
      <c r="I154">
        <v>33.950000000000003</v>
      </c>
      <c r="J154">
        <v>34.020000000000003</v>
      </c>
      <c r="K154">
        <v>38.92</v>
      </c>
      <c r="L154">
        <v>39.020000000000003</v>
      </c>
      <c r="M154">
        <v>39.130000000000003</v>
      </c>
      <c r="P154">
        <v>41.12</v>
      </c>
      <c r="Q154">
        <v>41.76</v>
      </c>
      <c r="R154">
        <v>43.03</v>
      </c>
      <c r="S154">
        <v>42.57</v>
      </c>
      <c r="T154">
        <v>42.84</v>
      </c>
      <c r="U154">
        <v>43.12</v>
      </c>
      <c r="V154">
        <v>38.85</v>
      </c>
      <c r="W154">
        <v>38.89</v>
      </c>
      <c r="X154">
        <v>38.94</v>
      </c>
      <c r="Y154">
        <v>42.36</v>
      </c>
      <c r="Z154">
        <v>42.41</v>
      </c>
      <c r="AA154">
        <v>42.46</v>
      </c>
      <c r="AC154">
        <v>41.12</v>
      </c>
      <c r="AE154">
        <v>19.97</v>
      </c>
      <c r="AF154">
        <f t="shared" si="2"/>
        <v>1</v>
      </c>
    </row>
    <row r="155" spans="1:32" x14ac:dyDescent="0.25">
      <c r="A155" s="1">
        <v>39671</v>
      </c>
      <c r="B155">
        <v>37.979999999999997</v>
      </c>
      <c r="C155">
        <v>38.630000000000003</v>
      </c>
      <c r="D155">
        <v>39.880000000000003</v>
      </c>
      <c r="E155">
        <v>42.15</v>
      </c>
      <c r="F155">
        <v>42.5</v>
      </c>
      <c r="G155">
        <v>42.84</v>
      </c>
      <c r="H155">
        <v>34.33</v>
      </c>
      <c r="I155">
        <v>34.4</v>
      </c>
      <c r="J155">
        <v>34.46</v>
      </c>
      <c r="K155">
        <v>38.729999999999997</v>
      </c>
      <c r="L155">
        <v>38.83</v>
      </c>
      <c r="M155">
        <v>38.94</v>
      </c>
      <c r="P155">
        <v>41.14</v>
      </c>
      <c r="Q155">
        <v>41.76</v>
      </c>
      <c r="R155">
        <v>43.01</v>
      </c>
      <c r="S155">
        <v>43.98</v>
      </c>
      <c r="T155">
        <v>44.25</v>
      </c>
      <c r="U155">
        <v>44.51</v>
      </c>
      <c r="V155">
        <v>39.299999999999997</v>
      </c>
      <c r="W155">
        <v>39.33</v>
      </c>
      <c r="X155">
        <v>39.369999999999997</v>
      </c>
      <c r="Y155">
        <v>41.98</v>
      </c>
      <c r="Z155">
        <v>42.01</v>
      </c>
      <c r="AA155">
        <v>42.03</v>
      </c>
      <c r="AC155">
        <v>41.14</v>
      </c>
      <c r="AE155">
        <v>20.04</v>
      </c>
      <c r="AF155">
        <f t="shared" si="2"/>
        <v>1</v>
      </c>
    </row>
    <row r="156" spans="1:32" x14ac:dyDescent="0.25">
      <c r="A156" s="1">
        <v>39672</v>
      </c>
      <c r="B156">
        <v>38.1</v>
      </c>
      <c r="C156">
        <v>38.75</v>
      </c>
      <c r="D156">
        <v>40</v>
      </c>
      <c r="E156">
        <v>42.43</v>
      </c>
      <c r="F156">
        <v>42.78</v>
      </c>
      <c r="G156">
        <v>43.13</v>
      </c>
      <c r="H156">
        <v>34.67</v>
      </c>
      <c r="I156">
        <v>34.729999999999997</v>
      </c>
      <c r="J156">
        <v>34.799999999999997</v>
      </c>
      <c r="K156">
        <v>38.85</v>
      </c>
      <c r="L156">
        <v>38.96</v>
      </c>
      <c r="M156">
        <v>39.07</v>
      </c>
      <c r="P156">
        <v>41.25</v>
      </c>
      <c r="Q156">
        <v>41.84</v>
      </c>
      <c r="R156">
        <v>43.07</v>
      </c>
      <c r="S156">
        <v>45.83</v>
      </c>
      <c r="T156">
        <v>46.08</v>
      </c>
      <c r="U156">
        <v>46.32</v>
      </c>
      <c r="V156">
        <v>40.200000000000003</v>
      </c>
      <c r="W156">
        <v>40.22</v>
      </c>
      <c r="X156">
        <v>40.24</v>
      </c>
      <c r="Y156">
        <v>40.35</v>
      </c>
      <c r="Z156">
        <v>40.36</v>
      </c>
      <c r="AA156">
        <v>40.36</v>
      </c>
      <c r="AC156">
        <v>41.25</v>
      </c>
      <c r="AE156">
        <v>20.079999999999998</v>
      </c>
      <c r="AF156">
        <f t="shared" si="2"/>
        <v>1</v>
      </c>
    </row>
    <row r="157" spans="1:32" x14ac:dyDescent="0.25">
      <c r="A157" s="1">
        <v>39673</v>
      </c>
      <c r="B157">
        <v>37.64</v>
      </c>
      <c r="C157">
        <v>38.29</v>
      </c>
      <c r="D157">
        <v>39.520000000000003</v>
      </c>
      <c r="E157">
        <v>41.67</v>
      </c>
      <c r="F157">
        <v>42.01</v>
      </c>
      <c r="G157">
        <v>42.36</v>
      </c>
      <c r="H157">
        <v>34.14</v>
      </c>
      <c r="I157">
        <v>34.200000000000003</v>
      </c>
      <c r="J157">
        <v>34.270000000000003</v>
      </c>
      <c r="K157">
        <v>39.04</v>
      </c>
      <c r="L157">
        <v>39.15</v>
      </c>
      <c r="M157">
        <v>39.26</v>
      </c>
      <c r="P157">
        <v>41.25</v>
      </c>
      <c r="Q157">
        <v>41.89</v>
      </c>
      <c r="R157">
        <v>43.17</v>
      </c>
      <c r="S157">
        <v>42.63</v>
      </c>
      <c r="T157">
        <v>42.91</v>
      </c>
      <c r="U157">
        <v>43.19</v>
      </c>
      <c r="V157">
        <v>38.770000000000003</v>
      </c>
      <c r="W157">
        <v>38.81</v>
      </c>
      <c r="X157">
        <v>38.85</v>
      </c>
      <c r="Y157">
        <v>42.53</v>
      </c>
      <c r="Z157">
        <v>42.58</v>
      </c>
      <c r="AA157">
        <v>42.63</v>
      </c>
      <c r="AC157">
        <v>41.25</v>
      </c>
      <c r="AE157">
        <v>20.09</v>
      </c>
      <c r="AF157">
        <f t="shared" si="2"/>
        <v>1</v>
      </c>
    </row>
    <row r="158" spans="1:32" x14ac:dyDescent="0.25">
      <c r="A158" s="1">
        <v>39674</v>
      </c>
      <c r="B158">
        <v>37.89</v>
      </c>
      <c r="C158">
        <v>38.54</v>
      </c>
      <c r="D158">
        <v>39.78</v>
      </c>
      <c r="E158">
        <v>42.08</v>
      </c>
      <c r="F158">
        <v>42.42</v>
      </c>
      <c r="G158">
        <v>42.77</v>
      </c>
      <c r="H158">
        <v>34.43</v>
      </c>
      <c r="I158">
        <v>34.5</v>
      </c>
      <c r="J158">
        <v>34.56</v>
      </c>
      <c r="K158">
        <v>39.5</v>
      </c>
      <c r="L158">
        <v>39.61</v>
      </c>
      <c r="M158">
        <v>39.72</v>
      </c>
      <c r="P158">
        <v>41.29</v>
      </c>
      <c r="Q158">
        <v>41.91</v>
      </c>
      <c r="R158">
        <v>43.17</v>
      </c>
      <c r="S158">
        <v>44.34</v>
      </c>
      <c r="T158">
        <v>44.61</v>
      </c>
      <c r="U158">
        <v>44.88</v>
      </c>
      <c r="V158">
        <v>39.270000000000003</v>
      </c>
      <c r="W158">
        <v>39.299999999999997</v>
      </c>
      <c r="X158">
        <v>39.340000000000003</v>
      </c>
      <c r="Y158">
        <v>42.58</v>
      </c>
      <c r="Z158">
        <v>42.61</v>
      </c>
      <c r="AA158">
        <v>42.63</v>
      </c>
      <c r="AC158">
        <v>41.29</v>
      </c>
      <c r="AE158">
        <v>20.13</v>
      </c>
      <c r="AF158">
        <f t="shared" si="2"/>
        <v>1</v>
      </c>
    </row>
    <row r="159" spans="1:32" x14ac:dyDescent="0.25">
      <c r="A159" s="1">
        <v>39678</v>
      </c>
      <c r="B159">
        <v>38.06</v>
      </c>
      <c r="C159">
        <v>38.72</v>
      </c>
      <c r="D159">
        <v>39.97</v>
      </c>
      <c r="E159">
        <v>42.67</v>
      </c>
      <c r="F159">
        <v>43.02</v>
      </c>
      <c r="G159">
        <v>43.38</v>
      </c>
      <c r="H159">
        <v>34.76</v>
      </c>
      <c r="I159">
        <v>34.83</v>
      </c>
      <c r="J159">
        <v>34.9</v>
      </c>
      <c r="K159">
        <v>40.159999999999997</v>
      </c>
      <c r="L159">
        <v>40.28</v>
      </c>
      <c r="M159">
        <v>40.39</v>
      </c>
      <c r="P159">
        <v>41.3</v>
      </c>
      <c r="Q159">
        <v>41.92</v>
      </c>
      <c r="R159">
        <v>43.17</v>
      </c>
      <c r="S159">
        <v>44.9</v>
      </c>
      <c r="T159">
        <v>45.17</v>
      </c>
      <c r="U159">
        <v>45.43</v>
      </c>
      <c r="V159">
        <v>39.340000000000003</v>
      </c>
      <c r="W159">
        <v>39.369999999999997</v>
      </c>
      <c r="X159">
        <v>39.4</v>
      </c>
      <c r="Y159">
        <v>42.92</v>
      </c>
      <c r="Z159">
        <v>42.94</v>
      </c>
      <c r="AA159">
        <v>42.97</v>
      </c>
      <c r="AC159">
        <v>41.3</v>
      </c>
      <c r="AE159">
        <v>20.14</v>
      </c>
      <c r="AF159">
        <f t="shared" si="2"/>
        <v>1</v>
      </c>
    </row>
    <row r="160" spans="1:32" x14ac:dyDescent="0.25">
      <c r="A160" s="1">
        <v>39679</v>
      </c>
      <c r="B160">
        <v>37.049999999999997</v>
      </c>
      <c r="C160">
        <v>37.69</v>
      </c>
      <c r="D160">
        <v>38.909999999999997</v>
      </c>
      <c r="E160">
        <v>41.16</v>
      </c>
      <c r="F160">
        <v>41.5</v>
      </c>
      <c r="G160">
        <v>41.84</v>
      </c>
      <c r="H160">
        <v>33.479999999999997</v>
      </c>
      <c r="I160">
        <v>33.54</v>
      </c>
      <c r="J160">
        <v>33.61</v>
      </c>
      <c r="K160">
        <v>40.26</v>
      </c>
      <c r="L160">
        <v>40.369999999999997</v>
      </c>
      <c r="M160">
        <v>40.49</v>
      </c>
      <c r="P160">
        <v>41.31</v>
      </c>
      <c r="Q160">
        <v>41.94</v>
      </c>
      <c r="R160">
        <v>43.21</v>
      </c>
      <c r="S160">
        <v>43.98</v>
      </c>
      <c r="T160">
        <v>44.25</v>
      </c>
      <c r="U160">
        <v>44.53</v>
      </c>
      <c r="V160">
        <v>39.869999999999997</v>
      </c>
      <c r="W160">
        <v>39.909999999999997</v>
      </c>
      <c r="X160">
        <v>39.950000000000003</v>
      </c>
      <c r="Y160">
        <v>40.659999999999997</v>
      </c>
      <c r="Z160">
        <v>40.700000000000003</v>
      </c>
      <c r="AA160">
        <v>40.729999999999997</v>
      </c>
      <c r="AC160">
        <v>41.31</v>
      </c>
      <c r="AE160">
        <v>20.18</v>
      </c>
      <c r="AF160">
        <f t="shared" si="2"/>
        <v>1</v>
      </c>
    </row>
    <row r="161" spans="1:32" x14ac:dyDescent="0.25">
      <c r="A161" s="1">
        <v>39680</v>
      </c>
      <c r="B161">
        <v>37.19</v>
      </c>
      <c r="C161">
        <v>37.83</v>
      </c>
      <c r="D161">
        <v>39.049999999999997</v>
      </c>
      <c r="E161">
        <v>40.79</v>
      </c>
      <c r="F161">
        <v>41.13</v>
      </c>
      <c r="G161">
        <v>41.47</v>
      </c>
      <c r="H161">
        <v>33.01</v>
      </c>
      <c r="I161">
        <v>33.07</v>
      </c>
      <c r="J161">
        <v>33.14</v>
      </c>
      <c r="K161">
        <v>40.76</v>
      </c>
      <c r="L161">
        <v>40.880000000000003</v>
      </c>
      <c r="M161">
        <v>41</v>
      </c>
      <c r="P161">
        <v>41.35</v>
      </c>
      <c r="Q161">
        <v>42</v>
      </c>
      <c r="R161">
        <v>43.28</v>
      </c>
      <c r="S161">
        <v>42.94</v>
      </c>
      <c r="T161">
        <v>43.22</v>
      </c>
      <c r="U161">
        <v>43.51</v>
      </c>
      <c r="V161">
        <v>39.39</v>
      </c>
      <c r="W161">
        <v>39.43</v>
      </c>
      <c r="X161">
        <v>39.479999999999997</v>
      </c>
      <c r="Y161">
        <v>43.31</v>
      </c>
      <c r="Z161">
        <v>43.36</v>
      </c>
      <c r="AA161">
        <v>43.41</v>
      </c>
      <c r="AC161">
        <v>41.35</v>
      </c>
      <c r="AE161">
        <v>20.329999999999998</v>
      </c>
      <c r="AF161">
        <f t="shared" si="2"/>
        <v>1</v>
      </c>
    </row>
    <row r="162" spans="1:32" x14ac:dyDescent="0.25">
      <c r="A162" s="1">
        <v>39681</v>
      </c>
      <c r="B162">
        <v>37.06</v>
      </c>
      <c r="C162">
        <v>37.71</v>
      </c>
      <c r="D162">
        <v>38.93</v>
      </c>
      <c r="E162">
        <v>40.33</v>
      </c>
      <c r="F162">
        <v>40.659999999999997</v>
      </c>
      <c r="G162">
        <v>41</v>
      </c>
      <c r="H162">
        <v>32.57</v>
      </c>
      <c r="I162">
        <v>32.64</v>
      </c>
      <c r="J162">
        <v>32.700000000000003</v>
      </c>
      <c r="K162">
        <v>41.42</v>
      </c>
      <c r="L162">
        <v>41.55</v>
      </c>
      <c r="M162">
        <v>41.66</v>
      </c>
      <c r="P162">
        <v>41.38</v>
      </c>
      <c r="Q162">
        <v>42.05</v>
      </c>
      <c r="R162">
        <v>43.37</v>
      </c>
      <c r="S162">
        <v>44.76</v>
      </c>
      <c r="T162">
        <v>45.09</v>
      </c>
      <c r="U162">
        <v>45.41</v>
      </c>
      <c r="V162">
        <v>39.630000000000003</v>
      </c>
      <c r="W162">
        <v>39.68</v>
      </c>
      <c r="X162">
        <v>39.74</v>
      </c>
      <c r="Y162">
        <v>47.35</v>
      </c>
      <c r="Z162">
        <v>47.44</v>
      </c>
      <c r="AA162">
        <v>47.52</v>
      </c>
      <c r="AC162">
        <v>41.38</v>
      </c>
      <c r="AE162">
        <v>20.41</v>
      </c>
      <c r="AF162">
        <f t="shared" si="2"/>
        <v>1</v>
      </c>
    </row>
    <row r="163" spans="1:32" x14ac:dyDescent="0.25">
      <c r="A163" s="1">
        <v>39682</v>
      </c>
      <c r="B163">
        <v>37.65</v>
      </c>
      <c r="C163">
        <v>38.31</v>
      </c>
      <c r="D163">
        <v>39.549999999999997</v>
      </c>
      <c r="E163">
        <v>41.32</v>
      </c>
      <c r="F163">
        <v>41.67</v>
      </c>
      <c r="G163">
        <v>42.01</v>
      </c>
      <c r="H163">
        <v>33.49</v>
      </c>
      <c r="I163">
        <v>33.56</v>
      </c>
      <c r="J163">
        <v>33.619999999999997</v>
      </c>
      <c r="K163">
        <v>41.47</v>
      </c>
      <c r="L163">
        <v>41.59</v>
      </c>
      <c r="M163">
        <v>41.71</v>
      </c>
      <c r="P163">
        <v>41.42</v>
      </c>
      <c r="Q163">
        <v>42.05</v>
      </c>
      <c r="R163">
        <v>43.33</v>
      </c>
      <c r="S163">
        <v>43.4</v>
      </c>
      <c r="T163">
        <v>43.67</v>
      </c>
      <c r="U163">
        <v>43.95</v>
      </c>
      <c r="V163">
        <v>39.68</v>
      </c>
      <c r="W163">
        <v>39.72</v>
      </c>
      <c r="X163">
        <v>39.75</v>
      </c>
      <c r="Y163">
        <v>41.17</v>
      </c>
      <c r="Z163">
        <v>41.21</v>
      </c>
      <c r="AA163">
        <v>41.24</v>
      </c>
      <c r="AC163">
        <v>41.42</v>
      </c>
      <c r="AE163">
        <v>20.5</v>
      </c>
      <c r="AF163">
        <f t="shared" si="2"/>
        <v>1</v>
      </c>
    </row>
    <row r="164" spans="1:32" x14ac:dyDescent="0.25">
      <c r="A164" s="1">
        <v>39685</v>
      </c>
      <c r="B164">
        <v>37.69</v>
      </c>
      <c r="C164">
        <v>38.340000000000003</v>
      </c>
      <c r="D164">
        <v>39.58</v>
      </c>
      <c r="E164">
        <v>41.23</v>
      </c>
      <c r="F164">
        <v>41.58</v>
      </c>
      <c r="G164">
        <v>41.92</v>
      </c>
      <c r="H164">
        <v>33.380000000000003</v>
      </c>
      <c r="I164">
        <v>33.450000000000003</v>
      </c>
      <c r="J164">
        <v>33.520000000000003</v>
      </c>
      <c r="K164">
        <v>41.28</v>
      </c>
      <c r="L164">
        <v>41.4</v>
      </c>
      <c r="M164">
        <v>41.52</v>
      </c>
      <c r="P164">
        <v>41.43</v>
      </c>
      <c r="Q164">
        <v>42.07</v>
      </c>
      <c r="R164">
        <v>43.36</v>
      </c>
      <c r="S164">
        <v>42.94</v>
      </c>
      <c r="T164">
        <v>43.22</v>
      </c>
      <c r="U164">
        <v>43.51</v>
      </c>
      <c r="V164">
        <v>39.26</v>
      </c>
      <c r="W164">
        <v>39.31</v>
      </c>
      <c r="X164">
        <v>39.35</v>
      </c>
      <c r="Y164">
        <v>43.37</v>
      </c>
      <c r="Z164">
        <v>43.42</v>
      </c>
      <c r="AA164">
        <v>43.47</v>
      </c>
      <c r="AC164">
        <v>41.43</v>
      </c>
      <c r="AE164">
        <v>20.6</v>
      </c>
      <c r="AF164">
        <f t="shared" si="2"/>
        <v>1</v>
      </c>
    </row>
    <row r="165" spans="1:32" x14ac:dyDescent="0.25">
      <c r="A165" s="1">
        <v>39686</v>
      </c>
      <c r="B165">
        <v>37.380000000000003</v>
      </c>
      <c r="C165">
        <v>38.03</v>
      </c>
      <c r="D165">
        <v>39.26</v>
      </c>
      <c r="E165">
        <v>41.05</v>
      </c>
      <c r="F165">
        <v>41.39</v>
      </c>
      <c r="G165">
        <v>41.74</v>
      </c>
      <c r="H165">
        <v>33.29</v>
      </c>
      <c r="I165">
        <v>33.36</v>
      </c>
      <c r="J165">
        <v>33.43</v>
      </c>
      <c r="K165">
        <v>41.25</v>
      </c>
      <c r="L165">
        <v>41.37</v>
      </c>
      <c r="M165">
        <v>41.49</v>
      </c>
      <c r="P165">
        <v>41.43</v>
      </c>
      <c r="Q165">
        <v>42.08</v>
      </c>
      <c r="R165">
        <v>43.37</v>
      </c>
      <c r="S165">
        <v>43.34</v>
      </c>
      <c r="T165">
        <v>43.63</v>
      </c>
      <c r="U165">
        <v>43.92</v>
      </c>
      <c r="V165">
        <v>39.14</v>
      </c>
      <c r="W165">
        <v>39.19</v>
      </c>
      <c r="X165">
        <v>39.229999999999997</v>
      </c>
      <c r="Y165">
        <v>44.7</v>
      </c>
      <c r="Z165">
        <v>44.76</v>
      </c>
      <c r="AA165">
        <v>44.82</v>
      </c>
      <c r="AC165">
        <v>41.43</v>
      </c>
      <c r="AE165">
        <v>20.62</v>
      </c>
      <c r="AF165">
        <f t="shared" si="2"/>
        <v>1</v>
      </c>
    </row>
    <row r="166" spans="1:32" x14ac:dyDescent="0.25">
      <c r="A166" s="1">
        <v>39687</v>
      </c>
      <c r="B166">
        <v>37.229999999999997</v>
      </c>
      <c r="C166">
        <v>37.880000000000003</v>
      </c>
      <c r="D166">
        <v>39.11</v>
      </c>
      <c r="E166">
        <v>40.799999999999997</v>
      </c>
      <c r="F166">
        <v>41.14</v>
      </c>
      <c r="G166">
        <v>41.49</v>
      </c>
      <c r="H166">
        <v>33</v>
      </c>
      <c r="I166">
        <v>33.07</v>
      </c>
      <c r="J166">
        <v>33.130000000000003</v>
      </c>
      <c r="K166">
        <v>42.02</v>
      </c>
      <c r="L166">
        <v>42.15</v>
      </c>
      <c r="M166">
        <v>42.27</v>
      </c>
      <c r="P166">
        <v>41.48</v>
      </c>
      <c r="Q166">
        <v>42.1</v>
      </c>
      <c r="R166">
        <v>43.37</v>
      </c>
      <c r="S166">
        <v>45.06</v>
      </c>
      <c r="T166">
        <v>45.33</v>
      </c>
      <c r="U166">
        <v>45.6</v>
      </c>
      <c r="V166">
        <v>39.65</v>
      </c>
      <c r="W166">
        <v>39.68</v>
      </c>
      <c r="X166">
        <v>39.71</v>
      </c>
      <c r="Y166">
        <v>43.62</v>
      </c>
      <c r="Z166">
        <v>43.65</v>
      </c>
      <c r="AA166">
        <v>43.67</v>
      </c>
      <c r="AC166">
        <v>41.48</v>
      </c>
      <c r="AE166">
        <v>20.71</v>
      </c>
      <c r="AF166">
        <f t="shared" si="2"/>
        <v>1</v>
      </c>
    </row>
    <row r="167" spans="1:32" x14ac:dyDescent="0.25">
      <c r="A167" s="1">
        <v>39688</v>
      </c>
      <c r="B167">
        <v>37.729999999999997</v>
      </c>
      <c r="C167">
        <v>38.39</v>
      </c>
      <c r="D167">
        <v>39.64</v>
      </c>
      <c r="E167">
        <v>41.61</v>
      </c>
      <c r="F167">
        <v>41.96</v>
      </c>
      <c r="G167">
        <v>42.31</v>
      </c>
      <c r="H167">
        <v>33.590000000000003</v>
      </c>
      <c r="I167">
        <v>33.659999999999997</v>
      </c>
      <c r="J167">
        <v>33.72</v>
      </c>
      <c r="K167">
        <v>42.43</v>
      </c>
      <c r="L167">
        <v>42.56</v>
      </c>
      <c r="M167">
        <v>42.68</v>
      </c>
      <c r="P167">
        <v>41.55</v>
      </c>
      <c r="Q167">
        <v>42.2</v>
      </c>
      <c r="R167">
        <v>43.49</v>
      </c>
      <c r="S167">
        <v>42.91</v>
      </c>
      <c r="T167">
        <v>43.19</v>
      </c>
      <c r="U167">
        <v>43.47</v>
      </c>
      <c r="V167">
        <v>38.979999999999997</v>
      </c>
      <c r="W167">
        <v>39.03</v>
      </c>
      <c r="X167">
        <v>39.07</v>
      </c>
      <c r="Y167">
        <v>42.51</v>
      </c>
      <c r="Z167">
        <v>42.56</v>
      </c>
      <c r="AA167">
        <v>42.6</v>
      </c>
      <c r="AC167">
        <v>41.55</v>
      </c>
      <c r="AE167">
        <v>20.78</v>
      </c>
      <c r="AF167">
        <f t="shared" si="2"/>
        <v>1</v>
      </c>
    </row>
    <row r="168" spans="1:32" x14ac:dyDescent="0.25">
      <c r="A168" s="1">
        <v>39689</v>
      </c>
      <c r="B168">
        <v>37.86</v>
      </c>
      <c r="C168">
        <v>38.520000000000003</v>
      </c>
      <c r="D168">
        <v>39.78</v>
      </c>
      <c r="E168">
        <v>41.88</v>
      </c>
      <c r="F168">
        <v>42.23</v>
      </c>
      <c r="G168">
        <v>42.59</v>
      </c>
      <c r="H168">
        <v>33.869999999999997</v>
      </c>
      <c r="I168">
        <v>33.94</v>
      </c>
      <c r="J168">
        <v>34.01</v>
      </c>
      <c r="K168">
        <v>42.57</v>
      </c>
      <c r="L168">
        <v>42.69</v>
      </c>
      <c r="M168">
        <v>42.82</v>
      </c>
      <c r="P168">
        <v>41.61</v>
      </c>
      <c r="Q168">
        <v>42.25</v>
      </c>
      <c r="R168">
        <v>43.55</v>
      </c>
      <c r="S168">
        <v>43.29</v>
      </c>
      <c r="T168">
        <v>43.57</v>
      </c>
      <c r="U168">
        <v>43.86</v>
      </c>
      <c r="V168">
        <v>39.36</v>
      </c>
      <c r="W168">
        <v>39.409999999999997</v>
      </c>
      <c r="X168">
        <v>39.450000000000003</v>
      </c>
      <c r="Y168">
        <v>43.82</v>
      </c>
      <c r="Z168">
        <v>43.87</v>
      </c>
      <c r="AA168">
        <v>43.92</v>
      </c>
      <c r="AC168">
        <v>41.61</v>
      </c>
      <c r="AE168">
        <v>20.79</v>
      </c>
      <c r="AF168">
        <f t="shared" si="2"/>
        <v>1</v>
      </c>
    </row>
    <row r="169" spans="1:32" x14ac:dyDescent="0.25">
      <c r="A169" s="1">
        <v>39692</v>
      </c>
      <c r="B169">
        <v>37.86</v>
      </c>
      <c r="C169">
        <v>38.520000000000003</v>
      </c>
      <c r="D169">
        <v>39.770000000000003</v>
      </c>
      <c r="E169">
        <v>41.38</v>
      </c>
      <c r="F169">
        <v>41.73</v>
      </c>
      <c r="G169">
        <v>42.08</v>
      </c>
      <c r="H169">
        <v>33.51</v>
      </c>
      <c r="I169">
        <v>33.58</v>
      </c>
      <c r="J169">
        <v>33.65</v>
      </c>
      <c r="K169">
        <v>42.35</v>
      </c>
      <c r="L169">
        <v>42.48</v>
      </c>
      <c r="M169">
        <v>42.61</v>
      </c>
      <c r="P169">
        <v>41.69</v>
      </c>
      <c r="Q169">
        <v>42.33</v>
      </c>
      <c r="R169">
        <v>43.62</v>
      </c>
      <c r="S169">
        <v>42.98</v>
      </c>
      <c r="T169">
        <v>43.26</v>
      </c>
      <c r="U169">
        <v>43.53</v>
      </c>
      <c r="V169">
        <v>39.6</v>
      </c>
      <c r="W169">
        <v>39.64</v>
      </c>
      <c r="X169">
        <v>39.68</v>
      </c>
      <c r="Y169">
        <v>42.35</v>
      </c>
      <c r="Z169">
        <v>42.39</v>
      </c>
      <c r="AA169">
        <v>42.43</v>
      </c>
      <c r="AC169">
        <v>41.69</v>
      </c>
      <c r="AE169">
        <v>20.8</v>
      </c>
      <c r="AF169">
        <f t="shared" si="2"/>
        <v>1</v>
      </c>
    </row>
    <row r="170" spans="1:32" x14ac:dyDescent="0.25">
      <c r="A170" s="1">
        <v>39693</v>
      </c>
      <c r="B170">
        <v>38.700000000000003</v>
      </c>
      <c r="C170">
        <v>39.369999999999997</v>
      </c>
      <c r="D170">
        <v>40.65</v>
      </c>
      <c r="E170">
        <v>42.47</v>
      </c>
      <c r="F170">
        <v>42.83</v>
      </c>
      <c r="G170">
        <v>43.19</v>
      </c>
      <c r="H170">
        <v>34.64</v>
      </c>
      <c r="I170">
        <v>34.72</v>
      </c>
      <c r="J170">
        <v>34.79</v>
      </c>
      <c r="K170">
        <v>41.6</v>
      </c>
      <c r="L170">
        <v>41.73</v>
      </c>
      <c r="M170">
        <v>41.85</v>
      </c>
      <c r="P170">
        <v>41.73</v>
      </c>
      <c r="Q170">
        <v>42.4</v>
      </c>
      <c r="R170">
        <v>43.73</v>
      </c>
      <c r="S170">
        <v>44.99</v>
      </c>
      <c r="T170">
        <v>45.31</v>
      </c>
      <c r="U170">
        <v>45.64</v>
      </c>
      <c r="V170">
        <v>40.1</v>
      </c>
      <c r="W170">
        <v>40.159999999999997</v>
      </c>
      <c r="X170">
        <v>40.21</v>
      </c>
      <c r="Y170">
        <v>47.26</v>
      </c>
      <c r="Z170">
        <v>47.35</v>
      </c>
      <c r="AA170">
        <v>47.43</v>
      </c>
      <c r="AC170">
        <v>41.73</v>
      </c>
      <c r="AE170">
        <v>20.82</v>
      </c>
      <c r="AF170">
        <f t="shared" si="2"/>
        <v>1</v>
      </c>
    </row>
    <row r="171" spans="1:32" x14ac:dyDescent="0.25">
      <c r="A171" s="1">
        <v>39694</v>
      </c>
      <c r="B171">
        <v>38.64</v>
      </c>
      <c r="C171">
        <v>39.32</v>
      </c>
      <c r="D171">
        <v>40.6</v>
      </c>
      <c r="E171">
        <v>42.4</v>
      </c>
      <c r="F171">
        <v>42.76</v>
      </c>
      <c r="G171">
        <v>43.12</v>
      </c>
      <c r="H171">
        <v>34.69</v>
      </c>
      <c r="I171">
        <v>34.76</v>
      </c>
      <c r="J171">
        <v>34.840000000000003</v>
      </c>
      <c r="K171">
        <v>40.840000000000003</v>
      </c>
      <c r="L171">
        <v>40.97</v>
      </c>
      <c r="M171">
        <v>41.09</v>
      </c>
      <c r="P171">
        <v>41.73</v>
      </c>
      <c r="Q171">
        <v>42.41</v>
      </c>
      <c r="R171">
        <v>43.74</v>
      </c>
      <c r="S171">
        <v>45.17</v>
      </c>
      <c r="T171">
        <v>45.5</v>
      </c>
      <c r="U171">
        <v>45.83</v>
      </c>
      <c r="V171">
        <v>40.130000000000003</v>
      </c>
      <c r="W171">
        <v>40.19</v>
      </c>
      <c r="X171">
        <v>40.25</v>
      </c>
      <c r="Y171">
        <v>47.56</v>
      </c>
      <c r="Z171">
        <v>47.65</v>
      </c>
      <c r="AA171">
        <v>47.73</v>
      </c>
      <c r="AC171">
        <v>41.73</v>
      </c>
      <c r="AE171">
        <v>20.93</v>
      </c>
      <c r="AF171">
        <f t="shared" si="2"/>
        <v>1</v>
      </c>
    </row>
    <row r="172" spans="1:32" x14ac:dyDescent="0.25">
      <c r="A172" s="1">
        <v>39695</v>
      </c>
      <c r="B172">
        <v>38.479999999999997</v>
      </c>
      <c r="C172">
        <v>39.15</v>
      </c>
      <c r="D172">
        <v>40.43</v>
      </c>
      <c r="E172">
        <v>41.47</v>
      </c>
      <c r="F172">
        <v>41.82</v>
      </c>
      <c r="G172">
        <v>42.18</v>
      </c>
      <c r="H172">
        <v>33.93</v>
      </c>
      <c r="I172">
        <v>34</v>
      </c>
      <c r="J172">
        <v>34.07</v>
      </c>
      <c r="K172">
        <v>39.909999999999997</v>
      </c>
      <c r="L172">
        <v>40.03</v>
      </c>
      <c r="M172">
        <v>40.15</v>
      </c>
      <c r="P172">
        <v>41.76</v>
      </c>
      <c r="Q172">
        <v>42.36</v>
      </c>
      <c r="R172">
        <v>43.61</v>
      </c>
      <c r="S172">
        <v>47.17</v>
      </c>
      <c r="T172">
        <v>47.43</v>
      </c>
      <c r="U172">
        <v>47.68</v>
      </c>
      <c r="V172">
        <v>41.17</v>
      </c>
      <c r="W172">
        <v>41.19</v>
      </c>
      <c r="X172">
        <v>41.22</v>
      </c>
      <c r="Y172">
        <v>41.3</v>
      </c>
      <c r="Z172">
        <v>41.31</v>
      </c>
      <c r="AA172">
        <v>41.31</v>
      </c>
      <c r="AC172">
        <v>41.76</v>
      </c>
      <c r="AE172">
        <v>20.97</v>
      </c>
      <c r="AF172">
        <f t="shared" si="2"/>
        <v>1</v>
      </c>
    </row>
    <row r="173" spans="1:32" x14ac:dyDescent="0.25">
      <c r="A173" s="1">
        <v>39696</v>
      </c>
      <c r="B173">
        <v>37.86</v>
      </c>
      <c r="C173">
        <v>38.53</v>
      </c>
      <c r="D173">
        <v>39.78</v>
      </c>
      <c r="E173">
        <v>40.99</v>
      </c>
      <c r="F173">
        <v>41.33</v>
      </c>
      <c r="G173">
        <v>41.69</v>
      </c>
      <c r="H173">
        <v>33.369999999999997</v>
      </c>
      <c r="I173">
        <v>33.44</v>
      </c>
      <c r="J173">
        <v>33.51</v>
      </c>
      <c r="K173">
        <v>39.659999999999997</v>
      </c>
      <c r="L173">
        <v>39.78</v>
      </c>
      <c r="M173">
        <v>39.909999999999997</v>
      </c>
      <c r="P173">
        <v>41.87</v>
      </c>
      <c r="Q173">
        <v>42.52</v>
      </c>
      <c r="R173">
        <v>43.83</v>
      </c>
      <c r="S173">
        <v>44.07</v>
      </c>
      <c r="T173">
        <v>44.36</v>
      </c>
      <c r="U173">
        <v>44.65</v>
      </c>
      <c r="V173">
        <v>39.869999999999997</v>
      </c>
      <c r="W173">
        <v>39.909999999999997</v>
      </c>
      <c r="X173">
        <v>39.96</v>
      </c>
      <c r="Y173">
        <v>45.26</v>
      </c>
      <c r="Z173">
        <v>45.32</v>
      </c>
      <c r="AA173">
        <v>45.38</v>
      </c>
      <c r="AC173">
        <v>41.87</v>
      </c>
      <c r="AE173">
        <v>20.99</v>
      </c>
      <c r="AF173">
        <f t="shared" si="2"/>
        <v>1</v>
      </c>
    </row>
    <row r="174" spans="1:32" x14ac:dyDescent="0.25">
      <c r="A174" s="1">
        <v>39699</v>
      </c>
      <c r="B174">
        <v>38.69</v>
      </c>
      <c r="C174">
        <v>39.369999999999997</v>
      </c>
      <c r="D174">
        <v>40.659999999999997</v>
      </c>
      <c r="E174">
        <v>42.95</v>
      </c>
      <c r="F174">
        <v>43.32</v>
      </c>
      <c r="G174">
        <v>43.69</v>
      </c>
      <c r="H174">
        <v>34.92</v>
      </c>
      <c r="I174">
        <v>34.99</v>
      </c>
      <c r="J174">
        <v>35.06</v>
      </c>
      <c r="K174">
        <v>40.17</v>
      </c>
      <c r="L174">
        <v>40.29</v>
      </c>
      <c r="M174">
        <v>40.42</v>
      </c>
      <c r="P174">
        <v>41.88</v>
      </c>
      <c r="Q174">
        <v>42.53</v>
      </c>
      <c r="R174">
        <v>43.83</v>
      </c>
      <c r="S174">
        <v>43.65</v>
      </c>
      <c r="T174">
        <v>43.93</v>
      </c>
      <c r="U174">
        <v>44.22</v>
      </c>
      <c r="V174">
        <v>39.869999999999997</v>
      </c>
      <c r="W174">
        <v>39.92</v>
      </c>
      <c r="X174">
        <v>39.96</v>
      </c>
      <c r="Y174">
        <v>43.99</v>
      </c>
      <c r="Z174">
        <v>44.04</v>
      </c>
      <c r="AA174">
        <v>44.09</v>
      </c>
      <c r="AC174">
        <v>41.88</v>
      </c>
      <c r="AE174">
        <v>20.99</v>
      </c>
      <c r="AF174">
        <f t="shared" si="2"/>
        <v>2</v>
      </c>
    </row>
    <row r="175" spans="1:32" x14ac:dyDescent="0.25">
      <c r="A175" s="1">
        <v>39700</v>
      </c>
      <c r="B175">
        <v>38.28</v>
      </c>
      <c r="C175">
        <v>38.96</v>
      </c>
      <c r="D175">
        <v>40.229999999999997</v>
      </c>
      <c r="E175">
        <v>42.81</v>
      </c>
      <c r="F175">
        <v>43.18</v>
      </c>
      <c r="G175">
        <v>43.55</v>
      </c>
      <c r="H175">
        <v>34.78</v>
      </c>
      <c r="I175">
        <v>34.86</v>
      </c>
      <c r="J175">
        <v>34.93</v>
      </c>
      <c r="K175">
        <v>37.979999999999997</v>
      </c>
      <c r="L175">
        <v>38.1</v>
      </c>
      <c r="M175">
        <v>38.22</v>
      </c>
      <c r="P175">
        <v>41.91</v>
      </c>
      <c r="Q175">
        <v>42.57</v>
      </c>
      <c r="R175">
        <v>43.88</v>
      </c>
      <c r="S175">
        <v>44.67</v>
      </c>
      <c r="T175">
        <v>44.97</v>
      </c>
      <c r="U175">
        <v>45.27</v>
      </c>
      <c r="V175">
        <v>40.33</v>
      </c>
      <c r="W175">
        <v>40.380000000000003</v>
      </c>
      <c r="X175">
        <v>40.43</v>
      </c>
      <c r="Y175">
        <v>45.05</v>
      </c>
      <c r="Z175">
        <v>45.12</v>
      </c>
      <c r="AA175">
        <v>45.17</v>
      </c>
      <c r="AC175">
        <v>41.91</v>
      </c>
      <c r="AE175">
        <v>21.12</v>
      </c>
      <c r="AF175">
        <f t="shared" si="2"/>
        <v>1</v>
      </c>
    </row>
    <row r="176" spans="1:32" x14ac:dyDescent="0.25">
      <c r="A176" s="1">
        <v>39701</v>
      </c>
      <c r="B176">
        <v>37.51</v>
      </c>
      <c r="C176">
        <v>38.17</v>
      </c>
      <c r="D176">
        <v>39.42</v>
      </c>
      <c r="E176">
        <v>41.72</v>
      </c>
      <c r="F176">
        <v>42.08</v>
      </c>
      <c r="G176">
        <v>42.44</v>
      </c>
      <c r="H176">
        <v>33.950000000000003</v>
      </c>
      <c r="I176">
        <v>34.03</v>
      </c>
      <c r="J176">
        <v>34.1</v>
      </c>
      <c r="K176">
        <v>37.47</v>
      </c>
      <c r="L176">
        <v>37.590000000000003</v>
      </c>
      <c r="M176">
        <v>37.71</v>
      </c>
      <c r="P176">
        <v>41.97</v>
      </c>
      <c r="Q176">
        <v>42.6</v>
      </c>
      <c r="R176">
        <v>43.88</v>
      </c>
      <c r="S176">
        <v>45.05</v>
      </c>
      <c r="T176">
        <v>45.32</v>
      </c>
      <c r="U176">
        <v>45.59</v>
      </c>
      <c r="V176">
        <v>40.04</v>
      </c>
      <c r="W176">
        <v>40.07</v>
      </c>
      <c r="X176">
        <v>40.1</v>
      </c>
      <c r="Y176">
        <v>42.72</v>
      </c>
      <c r="Z176">
        <v>42.75</v>
      </c>
      <c r="AA176">
        <v>42.78</v>
      </c>
      <c r="AC176">
        <v>41.97</v>
      </c>
      <c r="AE176">
        <v>21.13</v>
      </c>
      <c r="AF176">
        <f t="shared" si="2"/>
        <v>1</v>
      </c>
    </row>
    <row r="177" spans="1:32" x14ac:dyDescent="0.25">
      <c r="A177" s="1">
        <v>39702</v>
      </c>
      <c r="B177">
        <v>36.64</v>
      </c>
      <c r="C177">
        <v>37.29</v>
      </c>
      <c r="D177">
        <v>38.51</v>
      </c>
      <c r="E177">
        <v>39.79</v>
      </c>
      <c r="F177">
        <v>40.130000000000003</v>
      </c>
      <c r="G177">
        <v>40.479999999999997</v>
      </c>
      <c r="H177">
        <v>32.450000000000003</v>
      </c>
      <c r="I177">
        <v>32.520000000000003</v>
      </c>
      <c r="J177">
        <v>32.590000000000003</v>
      </c>
      <c r="K177">
        <v>37.32</v>
      </c>
      <c r="L177">
        <v>37.44</v>
      </c>
      <c r="M177">
        <v>37.56</v>
      </c>
      <c r="P177">
        <v>42.03</v>
      </c>
      <c r="Q177">
        <v>42.68</v>
      </c>
      <c r="R177">
        <v>43.97</v>
      </c>
      <c r="S177">
        <v>43.97</v>
      </c>
      <c r="T177">
        <v>44.25</v>
      </c>
      <c r="U177">
        <v>44.53</v>
      </c>
      <c r="V177">
        <v>40.18</v>
      </c>
      <c r="W177">
        <v>40.22</v>
      </c>
      <c r="X177">
        <v>40.26</v>
      </c>
      <c r="Y177">
        <v>42.49</v>
      </c>
      <c r="Z177">
        <v>42.53</v>
      </c>
      <c r="AA177">
        <v>42.57</v>
      </c>
      <c r="AC177">
        <v>42.03</v>
      </c>
      <c r="AE177">
        <v>21.15</v>
      </c>
      <c r="AF177">
        <f t="shared" si="2"/>
        <v>1</v>
      </c>
    </row>
    <row r="178" spans="1:32" x14ac:dyDescent="0.25">
      <c r="A178" s="1">
        <v>39703</v>
      </c>
      <c r="B178">
        <v>36.47</v>
      </c>
      <c r="C178">
        <v>37.11</v>
      </c>
      <c r="D178">
        <v>38.33</v>
      </c>
      <c r="E178">
        <v>39.35</v>
      </c>
      <c r="F178">
        <v>39.68</v>
      </c>
      <c r="G178">
        <v>40.020000000000003</v>
      </c>
      <c r="H178">
        <v>32.119999999999997</v>
      </c>
      <c r="I178">
        <v>32.18</v>
      </c>
      <c r="J178">
        <v>32.25</v>
      </c>
      <c r="K178">
        <v>38.159999999999997</v>
      </c>
      <c r="L178">
        <v>38.28</v>
      </c>
      <c r="M178">
        <v>38.4</v>
      </c>
      <c r="P178">
        <v>42.07</v>
      </c>
      <c r="Q178">
        <v>42.7</v>
      </c>
      <c r="R178">
        <v>43.98</v>
      </c>
      <c r="S178">
        <v>45.77</v>
      </c>
      <c r="T178">
        <v>46.04</v>
      </c>
      <c r="U178">
        <v>46.32</v>
      </c>
      <c r="V178">
        <v>40.340000000000003</v>
      </c>
      <c r="W178">
        <v>40.369999999999997</v>
      </c>
      <c r="X178">
        <v>40.409999999999997</v>
      </c>
      <c r="Y178">
        <v>43.89</v>
      </c>
      <c r="Z178">
        <v>43.92</v>
      </c>
      <c r="AA178">
        <v>43.94</v>
      </c>
      <c r="AC178">
        <v>42.07</v>
      </c>
      <c r="AE178">
        <v>21.17</v>
      </c>
      <c r="AF178">
        <f t="shared" si="2"/>
        <v>1</v>
      </c>
    </row>
    <row r="179" spans="1:32" x14ac:dyDescent="0.25">
      <c r="A179" s="1">
        <v>39706</v>
      </c>
      <c r="B179">
        <v>35.04</v>
      </c>
      <c r="C179">
        <v>35.65</v>
      </c>
      <c r="D179">
        <v>36.82</v>
      </c>
      <c r="E179">
        <v>37.409999999999997</v>
      </c>
      <c r="F179">
        <v>37.729999999999997</v>
      </c>
      <c r="G179">
        <v>38.049999999999997</v>
      </c>
      <c r="H179">
        <v>30.78</v>
      </c>
      <c r="I179">
        <v>30.85</v>
      </c>
      <c r="J179">
        <v>30.91</v>
      </c>
      <c r="K179">
        <v>36.340000000000003</v>
      </c>
      <c r="L179">
        <v>36.450000000000003</v>
      </c>
      <c r="M179">
        <v>36.57</v>
      </c>
      <c r="P179">
        <v>42.07</v>
      </c>
      <c r="Q179">
        <v>42.71</v>
      </c>
      <c r="R179">
        <v>44</v>
      </c>
      <c r="S179">
        <v>44.15</v>
      </c>
      <c r="T179">
        <v>44.43</v>
      </c>
      <c r="U179">
        <v>44.71</v>
      </c>
      <c r="V179">
        <v>40.17</v>
      </c>
      <c r="W179">
        <v>40.21</v>
      </c>
      <c r="X179">
        <v>40.25</v>
      </c>
      <c r="Y179">
        <v>42.29</v>
      </c>
      <c r="Z179">
        <v>42.33</v>
      </c>
      <c r="AA179">
        <v>42.36</v>
      </c>
      <c r="AC179">
        <v>42.07</v>
      </c>
      <c r="AE179">
        <v>21.17</v>
      </c>
      <c r="AF179">
        <f t="shared" si="2"/>
        <v>2</v>
      </c>
    </row>
    <row r="180" spans="1:32" x14ac:dyDescent="0.25">
      <c r="A180" s="1">
        <v>39707</v>
      </c>
      <c r="B180">
        <v>34.020000000000003</v>
      </c>
      <c r="C180">
        <v>34.630000000000003</v>
      </c>
      <c r="D180">
        <v>35.76</v>
      </c>
      <c r="E180">
        <v>36.1</v>
      </c>
      <c r="F180">
        <v>36.409999999999997</v>
      </c>
      <c r="G180">
        <v>36.72</v>
      </c>
      <c r="H180">
        <v>29.65</v>
      </c>
      <c r="I180">
        <v>29.71</v>
      </c>
      <c r="J180">
        <v>29.77</v>
      </c>
      <c r="K180">
        <v>35.89</v>
      </c>
      <c r="L180">
        <v>36.01</v>
      </c>
      <c r="M180">
        <v>36.119999999999997</v>
      </c>
      <c r="P180">
        <v>42.09</v>
      </c>
      <c r="Q180">
        <v>42.77</v>
      </c>
      <c r="R180">
        <v>44.1</v>
      </c>
      <c r="S180">
        <v>45.22</v>
      </c>
      <c r="T180">
        <v>45.54</v>
      </c>
      <c r="U180">
        <v>45.86</v>
      </c>
      <c r="V180">
        <v>40.07</v>
      </c>
      <c r="W180">
        <v>40.130000000000003</v>
      </c>
      <c r="X180">
        <v>40.18</v>
      </c>
      <c r="Y180">
        <v>48.22</v>
      </c>
      <c r="Z180">
        <v>48.31</v>
      </c>
      <c r="AA180">
        <v>48.39</v>
      </c>
      <c r="AC180">
        <v>42.09</v>
      </c>
      <c r="AE180">
        <v>21.18</v>
      </c>
      <c r="AF180">
        <f t="shared" si="2"/>
        <v>1</v>
      </c>
    </row>
    <row r="181" spans="1:32" x14ac:dyDescent="0.25">
      <c r="A181" s="1">
        <v>39708</v>
      </c>
      <c r="B181">
        <v>33.61</v>
      </c>
      <c r="C181">
        <v>34.200000000000003</v>
      </c>
      <c r="D181">
        <v>35.32</v>
      </c>
      <c r="E181">
        <v>34.799999999999997</v>
      </c>
      <c r="F181">
        <v>35.1</v>
      </c>
      <c r="G181">
        <v>35.4</v>
      </c>
      <c r="H181">
        <v>28.65</v>
      </c>
      <c r="I181">
        <v>28.71</v>
      </c>
      <c r="J181">
        <v>28.77</v>
      </c>
      <c r="K181">
        <v>34.81</v>
      </c>
      <c r="L181">
        <v>34.93</v>
      </c>
      <c r="M181">
        <v>35.04</v>
      </c>
      <c r="P181">
        <v>42.19</v>
      </c>
      <c r="Q181">
        <v>42.87</v>
      </c>
      <c r="R181">
        <v>44.21</v>
      </c>
      <c r="S181">
        <v>45.37</v>
      </c>
      <c r="T181">
        <v>45.7</v>
      </c>
      <c r="U181">
        <v>46.02</v>
      </c>
      <c r="V181">
        <v>40.270000000000003</v>
      </c>
      <c r="W181">
        <v>40.33</v>
      </c>
      <c r="X181">
        <v>40.39</v>
      </c>
      <c r="Y181">
        <v>47.78</v>
      </c>
      <c r="Z181">
        <v>47.86</v>
      </c>
      <c r="AA181">
        <v>47.94</v>
      </c>
      <c r="AC181">
        <v>42.19</v>
      </c>
      <c r="AE181">
        <v>21.2</v>
      </c>
      <c r="AF181">
        <f t="shared" si="2"/>
        <v>1</v>
      </c>
    </row>
    <row r="182" spans="1:32" x14ac:dyDescent="0.25">
      <c r="A182" s="1">
        <v>39709</v>
      </c>
      <c r="B182">
        <v>33.22</v>
      </c>
      <c r="C182">
        <v>33.81</v>
      </c>
      <c r="D182">
        <v>34.92</v>
      </c>
      <c r="E182">
        <v>34.22</v>
      </c>
      <c r="F182">
        <v>34.520000000000003</v>
      </c>
      <c r="G182">
        <v>34.82</v>
      </c>
      <c r="H182">
        <v>28.02</v>
      </c>
      <c r="I182">
        <v>28.09</v>
      </c>
      <c r="J182">
        <v>28.15</v>
      </c>
      <c r="K182">
        <v>34.47</v>
      </c>
      <c r="L182">
        <v>34.58</v>
      </c>
      <c r="M182">
        <v>34.69</v>
      </c>
      <c r="P182">
        <v>42.22</v>
      </c>
      <c r="Q182">
        <v>42.86</v>
      </c>
      <c r="R182">
        <v>44.14</v>
      </c>
      <c r="S182">
        <v>45.87</v>
      </c>
      <c r="T182">
        <v>46.14</v>
      </c>
      <c r="U182">
        <v>46.42</v>
      </c>
      <c r="V182">
        <v>40.28</v>
      </c>
      <c r="W182">
        <v>40.31</v>
      </c>
      <c r="X182">
        <v>40.340000000000003</v>
      </c>
      <c r="Y182">
        <v>43.32</v>
      </c>
      <c r="Z182">
        <v>43.34</v>
      </c>
      <c r="AA182">
        <v>43.37</v>
      </c>
      <c r="AC182">
        <v>42.22</v>
      </c>
      <c r="AE182">
        <v>21.21</v>
      </c>
      <c r="AF182">
        <f t="shared" si="2"/>
        <v>1</v>
      </c>
    </row>
    <row r="183" spans="1:32" x14ac:dyDescent="0.25">
      <c r="A183" s="1">
        <v>39710</v>
      </c>
      <c r="B183">
        <v>35.54</v>
      </c>
      <c r="C183">
        <v>36.17</v>
      </c>
      <c r="D183">
        <v>37.35</v>
      </c>
      <c r="E183">
        <v>38.119999999999997</v>
      </c>
      <c r="F183">
        <v>38.450000000000003</v>
      </c>
      <c r="G183">
        <v>38.78</v>
      </c>
      <c r="H183">
        <v>30.75</v>
      </c>
      <c r="I183">
        <v>30.82</v>
      </c>
      <c r="J183">
        <v>30.89</v>
      </c>
      <c r="K183">
        <v>37.56</v>
      </c>
      <c r="L183">
        <v>37.68</v>
      </c>
      <c r="M183">
        <v>37.799999999999997</v>
      </c>
      <c r="P183">
        <v>42.22</v>
      </c>
      <c r="Q183">
        <v>42.9</v>
      </c>
      <c r="R183">
        <v>44.24</v>
      </c>
      <c r="S183">
        <v>45.88</v>
      </c>
      <c r="T183">
        <v>46.2</v>
      </c>
      <c r="U183">
        <v>46.53</v>
      </c>
      <c r="V183">
        <v>40.69</v>
      </c>
      <c r="W183">
        <v>40.74</v>
      </c>
      <c r="X183">
        <v>40.799999999999997</v>
      </c>
      <c r="Y183">
        <v>47.62</v>
      </c>
      <c r="Z183">
        <v>47.7</v>
      </c>
      <c r="AA183">
        <v>47.78</v>
      </c>
      <c r="AC183">
        <v>42.22</v>
      </c>
      <c r="AE183">
        <v>21.23</v>
      </c>
      <c r="AF183">
        <f t="shared" si="2"/>
        <v>1</v>
      </c>
    </row>
    <row r="184" spans="1:32" x14ac:dyDescent="0.25">
      <c r="A184" s="1">
        <v>39713</v>
      </c>
      <c r="B184">
        <v>35.01</v>
      </c>
      <c r="C184">
        <v>35.64</v>
      </c>
      <c r="D184">
        <v>36.81</v>
      </c>
      <c r="E184">
        <v>37.130000000000003</v>
      </c>
      <c r="F184">
        <v>37.46</v>
      </c>
      <c r="G184">
        <v>37.78</v>
      </c>
      <c r="H184">
        <v>29.96</v>
      </c>
      <c r="I184">
        <v>30.02</v>
      </c>
      <c r="J184">
        <v>30.09</v>
      </c>
      <c r="K184">
        <v>36.51</v>
      </c>
      <c r="L184">
        <v>36.630000000000003</v>
      </c>
      <c r="M184">
        <v>36.75</v>
      </c>
      <c r="P184">
        <v>42.27</v>
      </c>
      <c r="Q184">
        <v>42.92</v>
      </c>
      <c r="R184">
        <v>44.23</v>
      </c>
      <c r="S184">
        <v>43.61</v>
      </c>
      <c r="T184">
        <v>43.89</v>
      </c>
      <c r="U184">
        <v>44.17</v>
      </c>
      <c r="V184">
        <v>39.729999999999997</v>
      </c>
      <c r="W184">
        <v>39.770000000000003</v>
      </c>
      <c r="X184">
        <v>39.82</v>
      </c>
      <c r="Y184">
        <v>42.99</v>
      </c>
      <c r="Z184">
        <v>43.04</v>
      </c>
      <c r="AA184">
        <v>43.08</v>
      </c>
      <c r="AC184">
        <v>42.27</v>
      </c>
      <c r="AE184">
        <v>21.24</v>
      </c>
      <c r="AF184">
        <f t="shared" si="2"/>
        <v>1</v>
      </c>
    </row>
    <row r="185" spans="1:32" x14ac:dyDescent="0.25">
      <c r="A185" s="1">
        <v>39714</v>
      </c>
      <c r="B185">
        <v>34.26</v>
      </c>
      <c r="C185">
        <v>34.869999999999997</v>
      </c>
      <c r="D185">
        <v>36.020000000000003</v>
      </c>
      <c r="E185">
        <v>36.229999999999997</v>
      </c>
      <c r="F185">
        <v>36.549999999999997</v>
      </c>
      <c r="G185">
        <v>36.869999999999997</v>
      </c>
      <c r="H185">
        <v>29.18</v>
      </c>
      <c r="I185">
        <v>29.24</v>
      </c>
      <c r="J185">
        <v>29.31</v>
      </c>
      <c r="K185">
        <v>35.86</v>
      </c>
      <c r="L185">
        <v>35.979999999999997</v>
      </c>
      <c r="M185">
        <v>36.1</v>
      </c>
      <c r="P185">
        <v>42.27</v>
      </c>
      <c r="Q185">
        <v>42.94</v>
      </c>
      <c r="R185">
        <v>44.26</v>
      </c>
      <c r="S185">
        <v>44.71</v>
      </c>
      <c r="T185">
        <v>45.01</v>
      </c>
      <c r="U185">
        <v>45.31</v>
      </c>
      <c r="V185">
        <v>40.57</v>
      </c>
      <c r="W185">
        <v>40.619999999999997</v>
      </c>
      <c r="X185">
        <v>40.659999999999997</v>
      </c>
      <c r="Y185">
        <v>45.57</v>
      </c>
      <c r="Z185">
        <v>45.63</v>
      </c>
      <c r="AA185">
        <v>45.69</v>
      </c>
      <c r="AC185">
        <v>42.27</v>
      </c>
      <c r="AE185">
        <v>21.25</v>
      </c>
      <c r="AF185">
        <f t="shared" si="2"/>
        <v>1</v>
      </c>
    </row>
    <row r="186" spans="1:32" x14ac:dyDescent="0.25">
      <c r="A186" s="1">
        <v>39715</v>
      </c>
      <c r="B186">
        <v>34.36</v>
      </c>
      <c r="C186">
        <v>34.97</v>
      </c>
      <c r="D186">
        <v>36.119999999999997</v>
      </c>
      <c r="E186">
        <v>36.229999999999997</v>
      </c>
      <c r="F186">
        <v>36.549999999999997</v>
      </c>
      <c r="G186">
        <v>36.869999999999997</v>
      </c>
      <c r="H186">
        <v>29.16</v>
      </c>
      <c r="I186">
        <v>29.22</v>
      </c>
      <c r="J186">
        <v>29.29</v>
      </c>
      <c r="K186">
        <v>36.31</v>
      </c>
      <c r="L186">
        <v>36.43</v>
      </c>
      <c r="M186">
        <v>36.549999999999997</v>
      </c>
      <c r="P186">
        <v>42.28</v>
      </c>
      <c r="Q186">
        <v>42.93</v>
      </c>
      <c r="R186">
        <v>44.24</v>
      </c>
      <c r="S186">
        <v>44.14</v>
      </c>
      <c r="T186">
        <v>44.42</v>
      </c>
      <c r="U186">
        <v>44.7</v>
      </c>
      <c r="V186">
        <v>40.56</v>
      </c>
      <c r="W186">
        <v>40.6</v>
      </c>
      <c r="X186">
        <v>40.64</v>
      </c>
      <c r="Y186">
        <v>43.04</v>
      </c>
      <c r="Z186">
        <v>43.08</v>
      </c>
      <c r="AA186">
        <v>43.12</v>
      </c>
      <c r="AC186">
        <v>42.28</v>
      </c>
      <c r="AE186">
        <v>21.26</v>
      </c>
      <c r="AF186">
        <f t="shared" si="2"/>
        <v>1</v>
      </c>
    </row>
    <row r="187" spans="1:32" x14ac:dyDescent="0.25">
      <c r="A187" s="1">
        <v>39716</v>
      </c>
      <c r="B187">
        <v>35.19</v>
      </c>
      <c r="C187">
        <v>35.82</v>
      </c>
      <c r="D187">
        <v>37</v>
      </c>
      <c r="E187">
        <v>37.19</v>
      </c>
      <c r="F187">
        <v>37.51</v>
      </c>
      <c r="G187">
        <v>37.840000000000003</v>
      </c>
      <c r="H187">
        <v>30.12</v>
      </c>
      <c r="I187">
        <v>30.19</v>
      </c>
      <c r="J187">
        <v>30.25</v>
      </c>
      <c r="K187">
        <v>36.96</v>
      </c>
      <c r="L187">
        <v>37.090000000000003</v>
      </c>
      <c r="M187">
        <v>37.21</v>
      </c>
      <c r="P187">
        <v>42.29</v>
      </c>
      <c r="Q187">
        <v>42.98</v>
      </c>
      <c r="R187">
        <v>44.32</v>
      </c>
      <c r="S187">
        <v>45.64</v>
      </c>
      <c r="T187">
        <v>45.97</v>
      </c>
      <c r="U187">
        <v>46.3</v>
      </c>
      <c r="V187">
        <v>40.58</v>
      </c>
      <c r="W187">
        <v>40.64</v>
      </c>
      <c r="X187">
        <v>40.700000000000003</v>
      </c>
      <c r="Y187">
        <v>47.97</v>
      </c>
      <c r="Z187">
        <v>48.05</v>
      </c>
      <c r="AA187">
        <v>48.14</v>
      </c>
      <c r="AC187">
        <v>42.29</v>
      </c>
      <c r="AE187">
        <v>21.26</v>
      </c>
      <c r="AF187">
        <f t="shared" si="2"/>
        <v>2</v>
      </c>
    </row>
    <row r="188" spans="1:32" x14ac:dyDescent="0.25">
      <c r="A188" s="1">
        <v>39717</v>
      </c>
      <c r="B188">
        <v>35.01</v>
      </c>
      <c r="C188">
        <v>35.630000000000003</v>
      </c>
      <c r="D188">
        <v>36.81</v>
      </c>
      <c r="E188">
        <v>37</v>
      </c>
      <c r="F188">
        <v>37.33</v>
      </c>
      <c r="G188">
        <v>37.659999999999997</v>
      </c>
      <c r="H188">
        <v>29.96</v>
      </c>
      <c r="I188">
        <v>30.02</v>
      </c>
      <c r="J188">
        <v>30.09</v>
      </c>
      <c r="K188">
        <v>35.729999999999997</v>
      </c>
      <c r="L188">
        <v>35.86</v>
      </c>
      <c r="M188">
        <v>35.979999999999997</v>
      </c>
      <c r="P188">
        <v>42.32</v>
      </c>
      <c r="Q188">
        <v>43</v>
      </c>
      <c r="R188">
        <v>44.34</v>
      </c>
      <c r="S188">
        <v>45.4</v>
      </c>
      <c r="T188">
        <v>45.72</v>
      </c>
      <c r="U188">
        <v>46.04</v>
      </c>
      <c r="V188">
        <v>40.06</v>
      </c>
      <c r="W188">
        <v>40.11</v>
      </c>
      <c r="X188">
        <v>40.159999999999997</v>
      </c>
      <c r="Y188">
        <v>48.44</v>
      </c>
      <c r="Z188">
        <v>48.52</v>
      </c>
      <c r="AA188">
        <v>48.6</v>
      </c>
      <c r="AC188">
        <v>42.32</v>
      </c>
      <c r="AE188">
        <v>21.32</v>
      </c>
      <c r="AF188">
        <f t="shared" si="2"/>
        <v>1</v>
      </c>
    </row>
    <row r="189" spans="1:32" x14ac:dyDescent="0.25">
      <c r="A189" s="1">
        <v>39720</v>
      </c>
      <c r="B189">
        <v>33.42</v>
      </c>
      <c r="C189">
        <v>34.01</v>
      </c>
      <c r="D189">
        <v>35.14</v>
      </c>
      <c r="E189">
        <v>35.43</v>
      </c>
      <c r="F189">
        <v>35.74</v>
      </c>
      <c r="G189">
        <v>36.06</v>
      </c>
      <c r="H189">
        <v>28.6</v>
      </c>
      <c r="I189">
        <v>28.67</v>
      </c>
      <c r="J189">
        <v>28.73</v>
      </c>
      <c r="K189">
        <v>32.94</v>
      </c>
      <c r="L189">
        <v>33.049999999999997</v>
      </c>
      <c r="M189">
        <v>33.159999999999997</v>
      </c>
      <c r="P189">
        <v>42.32</v>
      </c>
      <c r="Q189">
        <v>43</v>
      </c>
      <c r="R189">
        <v>44.35</v>
      </c>
      <c r="S189">
        <v>45.79</v>
      </c>
      <c r="T189">
        <v>46.12</v>
      </c>
      <c r="U189">
        <v>46.45</v>
      </c>
      <c r="V189">
        <v>40.65</v>
      </c>
      <c r="W189">
        <v>40.71</v>
      </c>
      <c r="X189">
        <v>40.770000000000003</v>
      </c>
      <c r="Y189">
        <v>48.04</v>
      </c>
      <c r="Z189">
        <v>48.12</v>
      </c>
      <c r="AA189">
        <v>48.21</v>
      </c>
      <c r="AC189">
        <v>42.32</v>
      </c>
      <c r="AE189">
        <v>21.33</v>
      </c>
      <c r="AF189">
        <f t="shared" si="2"/>
        <v>1</v>
      </c>
    </row>
    <row r="190" spans="1:32" x14ac:dyDescent="0.25">
      <c r="A190" s="1">
        <v>39721</v>
      </c>
      <c r="B190">
        <v>33.700000000000003</v>
      </c>
      <c r="C190">
        <v>34.31</v>
      </c>
      <c r="D190">
        <v>35.44</v>
      </c>
      <c r="E190">
        <v>35.340000000000003</v>
      </c>
      <c r="F190">
        <v>35.65</v>
      </c>
      <c r="G190">
        <v>35.96</v>
      </c>
      <c r="H190">
        <v>28.51</v>
      </c>
      <c r="I190">
        <v>28.57</v>
      </c>
      <c r="J190">
        <v>28.64</v>
      </c>
      <c r="K190">
        <v>33.89</v>
      </c>
      <c r="L190">
        <v>34.01</v>
      </c>
      <c r="M190">
        <v>34.119999999999997</v>
      </c>
      <c r="P190">
        <v>42.33</v>
      </c>
      <c r="Q190">
        <v>43</v>
      </c>
      <c r="R190">
        <v>44.32</v>
      </c>
      <c r="S190">
        <v>45.39</v>
      </c>
      <c r="T190">
        <v>45.69</v>
      </c>
      <c r="U190">
        <v>46</v>
      </c>
      <c r="V190">
        <v>40.94</v>
      </c>
      <c r="W190">
        <v>40.99</v>
      </c>
      <c r="X190">
        <v>41.03</v>
      </c>
      <c r="Y190">
        <v>45.5</v>
      </c>
      <c r="Z190">
        <v>45.56</v>
      </c>
      <c r="AA190">
        <v>45.62</v>
      </c>
      <c r="AC190">
        <v>42.33</v>
      </c>
      <c r="AE190">
        <v>21.38</v>
      </c>
      <c r="AF190">
        <f t="shared" si="2"/>
        <v>1</v>
      </c>
    </row>
    <row r="191" spans="1:32" x14ac:dyDescent="0.25">
      <c r="A191" s="1">
        <v>39722</v>
      </c>
      <c r="B191">
        <v>33.799999999999997</v>
      </c>
      <c r="C191">
        <v>34.409999999999997</v>
      </c>
      <c r="D191">
        <v>35.54</v>
      </c>
      <c r="E191">
        <v>35.42</v>
      </c>
      <c r="F191">
        <v>35.729999999999997</v>
      </c>
      <c r="G191">
        <v>36.049999999999997</v>
      </c>
      <c r="H191">
        <v>28.61</v>
      </c>
      <c r="I191">
        <v>28.67</v>
      </c>
      <c r="J191">
        <v>28.74</v>
      </c>
      <c r="K191">
        <v>33.130000000000003</v>
      </c>
      <c r="L191">
        <v>33.24</v>
      </c>
      <c r="M191">
        <v>33.35</v>
      </c>
      <c r="P191">
        <v>42.45</v>
      </c>
      <c r="Q191">
        <v>43.1</v>
      </c>
      <c r="R191">
        <v>44.41</v>
      </c>
      <c r="S191">
        <v>44.04</v>
      </c>
      <c r="T191">
        <v>44.32</v>
      </c>
      <c r="U191">
        <v>44.6</v>
      </c>
      <c r="V191">
        <v>40.58</v>
      </c>
      <c r="W191">
        <v>40.619999999999997</v>
      </c>
      <c r="X191">
        <v>40.659999999999997</v>
      </c>
      <c r="Y191">
        <v>43.2</v>
      </c>
      <c r="Z191">
        <v>43.24</v>
      </c>
      <c r="AA191">
        <v>43.28</v>
      </c>
      <c r="AC191">
        <v>42.45</v>
      </c>
      <c r="AE191">
        <v>21.38</v>
      </c>
      <c r="AF191">
        <f t="shared" si="2"/>
        <v>2</v>
      </c>
    </row>
    <row r="192" spans="1:32" x14ac:dyDescent="0.25">
      <c r="A192" s="1">
        <v>39723</v>
      </c>
      <c r="B192">
        <v>33.28</v>
      </c>
      <c r="C192">
        <v>33.869999999999997</v>
      </c>
      <c r="D192">
        <v>34.99</v>
      </c>
      <c r="E192">
        <v>35.04</v>
      </c>
      <c r="F192">
        <v>35.35</v>
      </c>
      <c r="G192">
        <v>35.67</v>
      </c>
      <c r="H192">
        <v>28.29</v>
      </c>
      <c r="I192">
        <v>28.35</v>
      </c>
      <c r="J192">
        <v>28.41</v>
      </c>
      <c r="K192">
        <v>31.45</v>
      </c>
      <c r="L192">
        <v>31.56</v>
      </c>
      <c r="M192">
        <v>31.66</v>
      </c>
      <c r="P192">
        <v>42.51</v>
      </c>
      <c r="Q192">
        <v>43.12</v>
      </c>
      <c r="R192">
        <v>44.39</v>
      </c>
      <c r="S192">
        <v>47.03</v>
      </c>
      <c r="T192">
        <v>47.29</v>
      </c>
      <c r="U192">
        <v>47.54</v>
      </c>
      <c r="V192">
        <v>41.19</v>
      </c>
      <c r="W192">
        <v>41.21</v>
      </c>
      <c r="X192">
        <v>41.23</v>
      </c>
      <c r="Y192">
        <v>42.75</v>
      </c>
      <c r="Z192">
        <v>42.76</v>
      </c>
      <c r="AA192">
        <v>42.77</v>
      </c>
      <c r="AC192">
        <v>42.51</v>
      </c>
      <c r="AE192">
        <v>21.39</v>
      </c>
      <c r="AF192">
        <f t="shared" si="2"/>
        <v>1</v>
      </c>
    </row>
    <row r="193" spans="1:32" x14ac:dyDescent="0.25">
      <c r="A193" s="1">
        <v>39724</v>
      </c>
      <c r="B193">
        <v>33.51</v>
      </c>
      <c r="C193">
        <v>34.11</v>
      </c>
      <c r="D193">
        <v>35.24</v>
      </c>
      <c r="E193">
        <v>35.17</v>
      </c>
      <c r="F193">
        <v>35.479999999999997</v>
      </c>
      <c r="G193">
        <v>35.799999999999997</v>
      </c>
      <c r="H193">
        <v>28.52</v>
      </c>
      <c r="I193">
        <v>28.58</v>
      </c>
      <c r="J193">
        <v>28.65</v>
      </c>
      <c r="K193">
        <v>32.380000000000003</v>
      </c>
      <c r="L193">
        <v>32.5</v>
      </c>
      <c r="M193">
        <v>32.61</v>
      </c>
      <c r="P193">
        <v>42.51</v>
      </c>
      <c r="Q193">
        <v>43.19</v>
      </c>
      <c r="R193">
        <v>44.54</v>
      </c>
      <c r="S193">
        <v>46.08</v>
      </c>
      <c r="T193">
        <v>46.41</v>
      </c>
      <c r="U193">
        <v>46.74</v>
      </c>
      <c r="V193">
        <v>40.770000000000003</v>
      </c>
      <c r="W193">
        <v>40.83</v>
      </c>
      <c r="X193">
        <v>40.89</v>
      </c>
      <c r="Y193">
        <v>48.21</v>
      </c>
      <c r="Z193">
        <v>48.3</v>
      </c>
      <c r="AA193">
        <v>48.38</v>
      </c>
      <c r="AC193">
        <v>42.51</v>
      </c>
      <c r="AE193">
        <v>21.43</v>
      </c>
      <c r="AF193">
        <f t="shared" si="2"/>
        <v>1</v>
      </c>
    </row>
    <row r="194" spans="1:32" x14ac:dyDescent="0.25">
      <c r="A194" s="1">
        <v>39727</v>
      </c>
      <c r="B194">
        <v>31.36</v>
      </c>
      <c r="C194">
        <v>31.92</v>
      </c>
      <c r="D194">
        <v>32.979999999999997</v>
      </c>
      <c r="E194">
        <v>31.8</v>
      </c>
      <c r="F194">
        <v>32.090000000000003</v>
      </c>
      <c r="G194">
        <v>32.369999999999997</v>
      </c>
      <c r="H194">
        <v>25.9</v>
      </c>
      <c r="I194">
        <v>25.96</v>
      </c>
      <c r="J194">
        <v>26.02</v>
      </c>
      <c r="K194">
        <v>29.51</v>
      </c>
      <c r="L194">
        <v>29.61</v>
      </c>
      <c r="M194">
        <v>29.71</v>
      </c>
      <c r="P194">
        <v>42.52</v>
      </c>
      <c r="Q194">
        <v>43.14</v>
      </c>
      <c r="R194">
        <v>44.42</v>
      </c>
      <c r="S194">
        <v>46.34</v>
      </c>
      <c r="T194">
        <v>46.59</v>
      </c>
      <c r="U194">
        <v>46.85</v>
      </c>
      <c r="V194">
        <v>40.75</v>
      </c>
      <c r="W194">
        <v>40.78</v>
      </c>
      <c r="X194">
        <v>40.799999999999997</v>
      </c>
      <c r="Y194">
        <v>42.15</v>
      </c>
      <c r="Z194">
        <v>42.16</v>
      </c>
      <c r="AA194">
        <v>42.18</v>
      </c>
      <c r="AC194">
        <v>42.52</v>
      </c>
      <c r="AE194">
        <v>21.44</v>
      </c>
      <c r="AF194">
        <f t="shared" si="2"/>
        <v>1</v>
      </c>
    </row>
    <row r="195" spans="1:32" x14ac:dyDescent="0.25">
      <c r="A195" s="1">
        <v>39728</v>
      </c>
      <c r="B195">
        <v>30.58</v>
      </c>
      <c r="C195">
        <v>31.13</v>
      </c>
      <c r="D195">
        <v>32.159999999999997</v>
      </c>
      <c r="E195">
        <v>31.13</v>
      </c>
      <c r="F195">
        <v>31.41</v>
      </c>
      <c r="G195">
        <v>31.69</v>
      </c>
      <c r="H195">
        <v>25.47</v>
      </c>
      <c r="I195">
        <v>25.53</v>
      </c>
      <c r="J195">
        <v>25.59</v>
      </c>
      <c r="K195">
        <v>27.71</v>
      </c>
      <c r="L195">
        <v>27.81</v>
      </c>
      <c r="M195">
        <v>27.9</v>
      </c>
      <c r="P195">
        <v>42.52</v>
      </c>
      <c r="Q195">
        <v>43.16</v>
      </c>
      <c r="R195">
        <v>44.46</v>
      </c>
      <c r="S195">
        <v>45.73</v>
      </c>
      <c r="T195">
        <v>46</v>
      </c>
      <c r="U195">
        <v>46.28</v>
      </c>
      <c r="V195">
        <v>40.22</v>
      </c>
      <c r="W195">
        <v>40.26</v>
      </c>
      <c r="X195">
        <v>40.29</v>
      </c>
      <c r="Y195">
        <v>42.93</v>
      </c>
      <c r="Z195">
        <v>42.95</v>
      </c>
      <c r="AA195">
        <v>42.98</v>
      </c>
      <c r="AC195">
        <v>42.52</v>
      </c>
      <c r="AE195">
        <v>21.45</v>
      </c>
      <c r="AF195">
        <f t="shared" si="2"/>
        <v>1</v>
      </c>
    </row>
    <row r="196" spans="1:32" x14ac:dyDescent="0.25">
      <c r="A196" s="1">
        <v>39729</v>
      </c>
      <c r="B196">
        <v>29.42</v>
      </c>
      <c r="C196">
        <v>29.94</v>
      </c>
      <c r="D196">
        <v>30.94</v>
      </c>
      <c r="E196">
        <v>29.09</v>
      </c>
      <c r="F196">
        <v>29.35</v>
      </c>
      <c r="G196">
        <v>29.61</v>
      </c>
      <c r="H196">
        <v>23.86</v>
      </c>
      <c r="I196">
        <v>23.91</v>
      </c>
      <c r="J196">
        <v>23.97</v>
      </c>
      <c r="K196">
        <v>26.72</v>
      </c>
      <c r="L196">
        <v>26.82</v>
      </c>
      <c r="M196">
        <v>26.91</v>
      </c>
      <c r="P196">
        <v>42.54</v>
      </c>
      <c r="Q196">
        <v>43.23</v>
      </c>
      <c r="R196">
        <v>44.57</v>
      </c>
      <c r="S196">
        <v>45.88</v>
      </c>
      <c r="T196">
        <v>46.2</v>
      </c>
      <c r="U196">
        <v>46.53</v>
      </c>
      <c r="V196">
        <v>40.950000000000003</v>
      </c>
      <c r="W196">
        <v>41</v>
      </c>
      <c r="X196">
        <v>41.06</v>
      </c>
      <c r="Y196">
        <v>48.07</v>
      </c>
      <c r="Z196">
        <v>48.15</v>
      </c>
      <c r="AA196">
        <v>48.23</v>
      </c>
      <c r="AC196">
        <v>42.54</v>
      </c>
      <c r="AE196">
        <v>21.45</v>
      </c>
      <c r="AF196">
        <f t="shared" ref="AF196:AF259" si="3">IF(AE196=AE195,AF195+1,1)</f>
        <v>2</v>
      </c>
    </row>
    <row r="197" spans="1:32" x14ac:dyDescent="0.25">
      <c r="A197" s="1">
        <v>39730</v>
      </c>
      <c r="B197">
        <v>29.01</v>
      </c>
      <c r="C197">
        <v>29.53</v>
      </c>
      <c r="D197">
        <v>30.51</v>
      </c>
      <c r="E197">
        <v>28.03</v>
      </c>
      <c r="F197">
        <v>28.29</v>
      </c>
      <c r="G197">
        <v>28.54</v>
      </c>
      <c r="H197">
        <v>23.49</v>
      </c>
      <c r="I197">
        <v>23.54</v>
      </c>
      <c r="J197">
        <v>23.6</v>
      </c>
      <c r="K197">
        <v>25.67</v>
      </c>
      <c r="L197">
        <v>25.76</v>
      </c>
      <c r="M197">
        <v>25.86</v>
      </c>
      <c r="P197">
        <v>42.64</v>
      </c>
      <c r="Q197">
        <v>43.33</v>
      </c>
      <c r="R197">
        <v>44.68</v>
      </c>
      <c r="S197">
        <v>46.09</v>
      </c>
      <c r="T197">
        <v>46.41</v>
      </c>
      <c r="U197">
        <v>46.74</v>
      </c>
      <c r="V197">
        <v>41.02</v>
      </c>
      <c r="W197">
        <v>41.08</v>
      </c>
      <c r="X197">
        <v>41.13</v>
      </c>
      <c r="Y197">
        <v>48.37</v>
      </c>
      <c r="Z197">
        <v>48.45</v>
      </c>
      <c r="AA197">
        <v>48.53</v>
      </c>
      <c r="AC197">
        <v>42.64</v>
      </c>
      <c r="AE197">
        <v>21.45</v>
      </c>
      <c r="AF197">
        <f t="shared" si="3"/>
        <v>3</v>
      </c>
    </row>
    <row r="198" spans="1:32" x14ac:dyDescent="0.25">
      <c r="A198" s="1">
        <v>39731</v>
      </c>
      <c r="B198">
        <v>26.56</v>
      </c>
      <c r="C198">
        <v>27.04</v>
      </c>
      <c r="D198">
        <v>27.94</v>
      </c>
      <c r="E198">
        <v>25.77</v>
      </c>
      <c r="F198">
        <v>26</v>
      </c>
      <c r="G198">
        <v>26.23</v>
      </c>
      <c r="H198">
        <v>21.38</v>
      </c>
      <c r="I198">
        <v>21.43</v>
      </c>
      <c r="J198">
        <v>21.48</v>
      </c>
      <c r="K198">
        <v>25.01</v>
      </c>
      <c r="L198">
        <v>25.1</v>
      </c>
      <c r="M198">
        <v>25.19</v>
      </c>
      <c r="P198">
        <v>42.66</v>
      </c>
      <c r="Q198">
        <v>43.33</v>
      </c>
      <c r="R198">
        <v>44.67</v>
      </c>
      <c r="S198">
        <v>45.23</v>
      </c>
      <c r="T198">
        <v>45.54</v>
      </c>
      <c r="U198">
        <v>45.85</v>
      </c>
      <c r="V198">
        <v>40.97</v>
      </c>
      <c r="W198">
        <v>41.02</v>
      </c>
      <c r="X198">
        <v>41.07</v>
      </c>
      <c r="Y198">
        <v>46.27</v>
      </c>
      <c r="Z198">
        <v>46.34</v>
      </c>
      <c r="AA198">
        <v>46.41</v>
      </c>
      <c r="AC198">
        <v>42.66</v>
      </c>
      <c r="AE198">
        <v>21.47</v>
      </c>
      <c r="AF198">
        <f t="shared" si="3"/>
        <v>1</v>
      </c>
    </row>
    <row r="199" spans="1:32" x14ac:dyDescent="0.25">
      <c r="A199" s="1">
        <v>39734</v>
      </c>
      <c r="B199">
        <v>27.75</v>
      </c>
      <c r="C199">
        <v>28.25</v>
      </c>
      <c r="D199">
        <v>29.19</v>
      </c>
      <c r="E199">
        <v>27.25</v>
      </c>
      <c r="F199">
        <v>27.5</v>
      </c>
      <c r="G199">
        <v>27.75</v>
      </c>
      <c r="H199">
        <v>22.31</v>
      </c>
      <c r="I199">
        <v>22.36</v>
      </c>
      <c r="J199">
        <v>22.41</v>
      </c>
      <c r="K199">
        <v>28.34</v>
      </c>
      <c r="L199">
        <v>28.44</v>
      </c>
      <c r="M199">
        <v>28.54</v>
      </c>
      <c r="P199">
        <v>42.68</v>
      </c>
      <c r="Q199">
        <v>43.3</v>
      </c>
      <c r="R199">
        <v>44.59</v>
      </c>
      <c r="S199">
        <v>46.39</v>
      </c>
      <c r="T199">
        <v>46.65</v>
      </c>
      <c r="U199">
        <v>46.91</v>
      </c>
      <c r="V199">
        <v>41.23</v>
      </c>
      <c r="W199">
        <v>41.26</v>
      </c>
      <c r="X199">
        <v>41.29</v>
      </c>
      <c r="Y199">
        <v>42.51</v>
      </c>
      <c r="Z199">
        <v>42.52</v>
      </c>
      <c r="AA199">
        <v>42.53</v>
      </c>
      <c r="AC199">
        <v>42.68</v>
      </c>
      <c r="AE199">
        <v>21.48</v>
      </c>
      <c r="AF199">
        <f t="shared" si="3"/>
        <v>1</v>
      </c>
    </row>
    <row r="200" spans="1:32" x14ac:dyDescent="0.25">
      <c r="A200" s="1">
        <v>39735</v>
      </c>
      <c r="B200">
        <v>28.94</v>
      </c>
      <c r="C200">
        <v>29.46</v>
      </c>
      <c r="D200">
        <v>30.44</v>
      </c>
      <c r="E200">
        <v>28.96</v>
      </c>
      <c r="F200">
        <v>29.22</v>
      </c>
      <c r="G200">
        <v>29.48</v>
      </c>
      <c r="H200">
        <v>23.44</v>
      </c>
      <c r="I200">
        <v>23.49</v>
      </c>
      <c r="J200">
        <v>23.55</v>
      </c>
      <c r="K200">
        <v>28.9</v>
      </c>
      <c r="L200">
        <v>29</v>
      </c>
      <c r="M200">
        <v>29.11</v>
      </c>
      <c r="P200">
        <v>42.7</v>
      </c>
      <c r="Q200">
        <v>43.36</v>
      </c>
      <c r="R200">
        <v>44.68</v>
      </c>
      <c r="S200">
        <v>44.9</v>
      </c>
      <c r="T200">
        <v>45.19</v>
      </c>
      <c r="U200">
        <v>45.48</v>
      </c>
      <c r="V200">
        <v>41.2</v>
      </c>
      <c r="W200">
        <v>41.24</v>
      </c>
      <c r="X200">
        <v>41.28</v>
      </c>
      <c r="Y200">
        <v>42.94</v>
      </c>
      <c r="Z200">
        <v>42.98</v>
      </c>
      <c r="AA200">
        <v>43.02</v>
      </c>
      <c r="AC200">
        <v>42.7</v>
      </c>
      <c r="AE200">
        <v>21.52</v>
      </c>
      <c r="AF200">
        <f t="shared" si="3"/>
        <v>1</v>
      </c>
    </row>
    <row r="201" spans="1:32" x14ac:dyDescent="0.25">
      <c r="A201" s="1">
        <v>39736</v>
      </c>
      <c r="B201">
        <v>27.09</v>
      </c>
      <c r="C201">
        <v>27.58</v>
      </c>
      <c r="D201">
        <v>28.5</v>
      </c>
      <c r="E201">
        <v>26.8</v>
      </c>
      <c r="F201">
        <v>27.05</v>
      </c>
      <c r="G201">
        <v>27.29</v>
      </c>
      <c r="H201">
        <v>21.96</v>
      </c>
      <c r="I201">
        <v>22.01</v>
      </c>
      <c r="J201">
        <v>22.06</v>
      </c>
      <c r="K201">
        <v>26</v>
      </c>
      <c r="L201">
        <v>26.1</v>
      </c>
      <c r="M201">
        <v>26.19</v>
      </c>
      <c r="P201">
        <v>42.7</v>
      </c>
      <c r="Q201">
        <v>43.39</v>
      </c>
      <c r="R201">
        <v>44.74</v>
      </c>
      <c r="S201">
        <v>45.8</v>
      </c>
      <c r="T201">
        <v>46.12</v>
      </c>
      <c r="U201">
        <v>46.45</v>
      </c>
      <c r="V201">
        <v>40.49</v>
      </c>
      <c r="W201">
        <v>40.549999999999997</v>
      </c>
      <c r="X201">
        <v>40.6</v>
      </c>
      <c r="Y201">
        <v>48.87</v>
      </c>
      <c r="Z201">
        <v>48.95</v>
      </c>
      <c r="AA201">
        <v>49.03</v>
      </c>
      <c r="AC201">
        <v>42.7</v>
      </c>
      <c r="AE201">
        <v>21.53</v>
      </c>
      <c r="AF201">
        <f t="shared" si="3"/>
        <v>1</v>
      </c>
    </row>
    <row r="202" spans="1:32" x14ac:dyDescent="0.25">
      <c r="A202" s="1">
        <v>39737</v>
      </c>
      <c r="B202">
        <v>25.71</v>
      </c>
      <c r="C202">
        <v>26.17</v>
      </c>
      <c r="D202">
        <v>27.04</v>
      </c>
      <c r="E202">
        <v>24.73</v>
      </c>
      <c r="F202">
        <v>24.95</v>
      </c>
      <c r="G202">
        <v>25.18</v>
      </c>
      <c r="H202">
        <v>20.079999999999998</v>
      </c>
      <c r="I202">
        <v>20.13</v>
      </c>
      <c r="J202">
        <v>20.18</v>
      </c>
      <c r="K202">
        <v>24.95</v>
      </c>
      <c r="L202">
        <v>25.04</v>
      </c>
      <c r="M202">
        <v>25.13</v>
      </c>
      <c r="P202">
        <v>42.72</v>
      </c>
      <c r="Q202">
        <v>43.38</v>
      </c>
      <c r="R202">
        <v>44.7</v>
      </c>
      <c r="S202">
        <v>44.33</v>
      </c>
      <c r="T202">
        <v>44.61</v>
      </c>
      <c r="U202">
        <v>44.9</v>
      </c>
      <c r="V202">
        <v>40.64</v>
      </c>
      <c r="W202">
        <v>40.68</v>
      </c>
      <c r="X202">
        <v>40.729999999999997</v>
      </c>
      <c r="Y202">
        <v>43.57</v>
      </c>
      <c r="Z202">
        <v>43.62</v>
      </c>
      <c r="AA202">
        <v>43.66</v>
      </c>
      <c r="AC202">
        <v>42.72</v>
      </c>
      <c r="AE202">
        <v>21.57</v>
      </c>
      <c r="AF202">
        <f t="shared" si="3"/>
        <v>1</v>
      </c>
    </row>
    <row r="203" spans="1:32" x14ac:dyDescent="0.25">
      <c r="A203" s="1">
        <v>39738</v>
      </c>
      <c r="B203">
        <v>24.79</v>
      </c>
      <c r="C203">
        <v>25.24</v>
      </c>
      <c r="D203">
        <v>26.08</v>
      </c>
      <c r="E203">
        <v>23.37</v>
      </c>
      <c r="F203">
        <v>23.59</v>
      </c>
      <c r="G203">
        <v>23.8</v>
      </c>
      <c r="H203">
        <v>19.09</v>
      </c>
      <c r="I203">
        <v>19.13</v>
      </c>
      <c r="J203">
        <v>19.18</v>
      </c>
      <c r="K203">
        <v>25.04</v>
      </c>
      <c r="L203">
        <v>25.14</v>
      </c>
      <c r="M203">
        <v>25.23</v>
      </c>
      <c r="P203">
        <v>42.74</v>
      </c>
      <c r="Q203">
        <v>43.4</v>
      </c>
      <c r="R203">
        <v>44.73</v>
      </c>
      <c r="S203">
        <v>44.73</v>
      </c>
      <c r="T203">
        <v>45.02</v>
      </c>
      <c r="U203">
        <v>45.31</v>
      </c>
      <c r="V203">
        <v>40.53</v>
      </c>
      <c r="W203">
        <v>40.58</v>
      </c>
      <c r="X203">
        <v>40.619999999999997</v>
      </c>
      <c r="Y203">
        <v>43.59</v>
      </c>
      <c r="Z203">
        <v>43.64</v>
      </c>
      <c r="AA203">
        <v>43.68</v>
      </c>
      <c r="AC203">
        <v>42.74</v>
      </c>
      <c r="AE203">
        <v>21.58</v>
      </c>
      <c r="AF203">
        <f t="shared" si="3"/>
        <v>1</v>
      </c>
    </row>
    <row r="204" spans="1:32" x14ac:dyDescent="0.25">
      <c r="A204" s="1">
        <v>39741</v>
      </c>
      <c r="B204">
        <v>25.22</v>
      </c>
      <c r="C204">
        <v>25.68</v>
      </c>
      <c r="D204">
        <v>26.54</v>
      </c>
      <c r="E204">
        <v>23.63</v>
      </c>
      <c r="F204">
        <v>23.85</v>
      </c>
      <c r="G204">
        <v>24.07</v>
      </c>
      <c r="H204">
        <v>19.48</v>
      </c>
      <c r="I204">
        <v>19.53</v>
      </c>
      <c r="J204">
        <v>19.579999999999998</v>
      </c>
      <c r="K204">
        <v>26.41</v>
      </c>
      <c r="L204">
        <v>26.5</v>
      </c>
      <c r="M204">
        <v>26.6</v>
      </c>
      <c r="P204">
        <v>42.78</v>
      </c>
      <c r="Q204">
        <v>43.46</v>
      </c>
      <c r="R204">
        <v>44.81</v>
      </c>
      <c r="S204">
        <v>45.13</v>
      </c>
      <c r="T204">
        <v>45.45</v>
      </c>
      <c r="U204">
        <v>45.76</v>
      </c>
      <c r="V204">
        <v>40.85</v>
      </c>
      <c r="W204">
        <v>40.9</v>
      </c>
      <c r="X204">
        <v>40.950000000000003</v>
      </c>
      <c r="Y204">
        <v>46.2</v>
      </c>
      <c r="Z204">
        <v>46.27</v>
      </c>
      <c r="AA204">
        <v>46.34</v>
      </c>
      <c r="AC204">
        <v>42.78</v>
      </c>
      <c r="AE204">
        <v>21.59</v>
      </c>
      <c r="AF204">
        <f t="shared" si="3"/>
        <v>1</v>
      </c>
    </row>
    <row r="205" spans="1:32" x14ac:dyDescent="0.25">
      <c r="A205" s="1">
        <v>39742</v>
      </c>
      <c r="B205">
        <v>25.38</v>
      </c>
      <c r="C205">
        <v>25.84</v>
      </c>
      <c r="D205">
        <v>26.7</v>
      </c>
      <c r="E205">
        <v>23.64</v>
      </c>
      <c r="F205">
        <v>23.85</v>
      </c>
      <c r="G205">
        <v>24.07</v>
      </c>
      <c r="H205">
        <v>19.59</v>
      </c>
      <c r="I205">
        <v>19.64</v>
      </c>
      <c r="J205">
        <v>19.690000000000001</v>
      </c>
      <c r="K205">
        <v>26.77</v>
      </c>
      <c r="L205">
        <v>26.88</v>
      </c>
      <c r="M205">
        <v>26.98</v>
      </c>
      <c r="P205">
        <v>42.79</v>
      </c>
      <c r="Q205">
        <v>43.42</v>
      </c>
      <c r="R205">
        <v>44.71</v>
      </c>
      <c r="S205">
        <v>46.06</v>
      </c>
      <c r="T205">
        <v>46.32</v>
      </c>
      <c r="U205">
        <v>46.58</v>
      </c>
      <c r="V205">
        <v>41.18</v>
      </c>
      <c r="W205">
        <v>41.2</v>
      </c>
      <c r="X205">
        <v>41.23</v>
      </c>
      <c r="Y205">
        <v>42.75</v>
      </c>
      <c r="Z205">
        <v>42.76</v>
      </c>
      <c r="AA205">
        <v>42.78</v>
      </c>
      <c r="AC205">
        <v>42.79</v>
      </c>
      <c r="AE205">
        <v>21.6</v>
      </c>
      <c r="AF205">
        <f t="shared" si="3"/>
        <v>1</v>
      </c>
    </row>
    <row r="206" spans="1:32" x14ac:dyDescent="0.25">
      <c r="A206" s="1">
        <v>39743</v>
      </c>
      <c r="B206">
        <v>24.09</v>
      </c>
      <c r="C206">
        <v>24.52</v>
      </c>
      <c r="D206">
        <v>25.34</v>
      </c>
      <c r="E206">
        <v>22.69</v>
      </c>
      <c r="F206">
        <v>22.9</v>
      </c>
      <c r="G206">
        <v>23.11</v>
      </c>
      <c r="H206">
        <v>18.71</v>
      </c>
      <c r="I206">
        <v>18.75</v>
      </c>
      <c r="J206">
        <v>18.8</v>
      </c>
      <c r="K206">
        <v>25.49</v>
      </c>
      <c r="L206">
        <v>25.59</v>
      </c>
      <c r="M206">
        <v>25.68</v>
      </c>
      <c r="P206">
        <v>42.88</v>
      </c>
      <c r="Q206">
        <v>43.5</v>
      </c>
      <c r="R206">
        <v>44.77</v>
      </c>
      <c r="S206">
        <v>49.94</v>
      </c>
      <c r="T206">
        <v>50.2</v>
      </c>
      <c r="U206">
        <v>50.47</v>
      </c>
      <c r="V206">
        <v>41.38</v>
      </c>
      <c r="W206">
        <v>41.4</v>
      </c>
      <c r="X206">
        <v>41.42</v>
      </c>
      <c r="Y206">
        <v>43.37</v>
      </c>
      <c r="Z206">
        <v>43.37</v>
      </c>
      <c r="AA206">
        <v>43.38</v>
      </c>
      <c r="AC206">
        <v>42.88</v>
      </c>
      <c r="AE206">
        <v>21.6</v>
      </c>
      <c r="AF206">
        <f t="shared" si="3"/>
        <v>2</v>
      </c>
    </row>
    <row r="207" spans="1:32" x14ac:dyDescent="0.25">
      <c r="A207" s="1">
        <v>39744</v>
      </c>
      <c r="B207">
        <v>23.59</v>
      </c>
      <c r="C207">
        <v>24.02</v>
      </c>
      <c r="D207">
        <v>24.82</v>
      </c>
      <c r="E207">
        <v>22.45</v>
      </c>
      <c r="F207">
        <v>22.65</v>
      </c>
      <c r="G207">
        <v>22.86</v>
      </c>
      <c r="H207">
        <v>18.34</v>
      </c>
      <c r="I207">
        <v>18.39</v>
      </c>
      <c r="J207">
        <v>18.43</v>
      </c>
      <c r="K207">
        <v>25.39</v>
      </c>
      <c r="L207">
        <v>25.48</v>
      </c>
      <c r="M207">
        <v>25.58</v>
      </c>
      <c r="P207">
        <v>42.88</v>
      </c>
      <c r="Q207">
        <v>43.56</v>
      </c>
      <c r="R207">
        <v>44.91</v>
      </c>
      <c r="S207">
        <v>45.37</v>
      </c>
      <c r="T207">
        <v>45.69</v>
      </c>
      <c r="U207">
        <v>46</v>
      </c>
      <c r="V207">
        <v>41.08</v>
      </c>
      <c r="W207">
        <v>41.13</v>
      </c>
      <c r="X207">
        <v>41.19</v>
      </c>
      <c r="Y207">
        <v>46.6</v>
      </c>
      <c r="Z207">
        <v>46.67</v>
      </c>
      <c r="AA207">
        <v>46.74</v>
      </c>
      <c r="AC207">
        <v>42.88</v>
      </c>
      <c r="AE207">
        <v>21.64</v>
      </c>
      <c r="AF207">
        <f t="shared" si="3"/>
        <v>1</v>
      </c>
    </row>
    <row r="208" spans="1:32" x14ac:dyDescent="0.25">
      <c r="A208" s="1">
        <v>39745</v>
      </c>
      <c r="B208">
        <v>23.07</v>
      </c>
      <c r="C208">
        <v>23.49</v>
      </c>
      <c r="D208">
        <v>24.28</v>
      </c>
      <c r="E208">
        <v>22</v>
      </c>
      <c r="F208">
        <v>22.2</v>
      </c>
      <c r="G208">
        <v>22.41</v>
      </c>
      <c r="H208">
        <v>17.84</v>
      </c>
      <c r="I208">
        <v>17.88</v>
      </c>
      <c r="J208">
        <v>17.93</v>
      </c>
      <c r="K208">
        <v>24.91</v>
      </c>
      <c r="L208">
        <v>25.01</v>
      </c>
      <c r="M208">
        <v>25.1</v>
      </c>
      <c r="P208">
        <v>42.91</v>
      </c>
      <c r="Q208">
        <v>43.57</v>
      </c>
      <c r="R208">
        <v>44.9</v>
      </c>
      <c r="S208">
        <v>44.76</v>
      </c>
      <c r="T208">
        <v>45.05</v>
      </c>
      <c r="U208">
        <v>45.34</v>
      </c>
      <c r="V208">
        <v>40.53</v>
      </c>
      <c r="W208">
        <v>40.57</v>
      </c>
      <c r="X208">
        <v>40.61</v>
      </c>
      <c r="Y208">
        <v>43.3</v>
      </c>
      <c r="Z208">
        <v>43.34</v>
      </c>
      <c r="AA208">
        <v>43.39</v>
      </c>
      <c r="AC208">
        <v>42.91</v>
      </c>
      <c r="AE208">
        <v>21.65</v>
      </c>
      <c r="AF208">
        <f t="shared" si="3"/>
        <v>1</v>
      </c>
    </row>
    <row r="209" spans="1:32" x14ac:dyDescent="0.25">
      <c r="A209" s="1">
        <v>39748</v>
      </c>
      <c r="B209">
        <v>22.24</v>
      </c>
      <c r="C209">
        <v>22.64</v>
      </c>
      <c r="D209">
        <v>23.4</v>
      </c>
      <c r="E209">
        <v>20.99</v>
      </c>
      <c r="F209">
        <v>21.18</v>
      </c>
      <c r="G209">
        <v>21.38</v>
      </c>
      <c r="H209">
        <v>17.350000000000001</v>
      </c>
      <c r="I209">
        <v>17.39</v>
      </c>
      <c r="J209">
        <v>17.43</v>
      </c>
      <c r="K209">
        <v>22.48</v>
      </c>
      <c r="L209">
        <v>22.57</v>
      </c>
      <c r="M209">
        <v>22.65</v>
      </c>
      <c r="P209">
        <v>42.98</v>
      </c>
      <c r="Q209">
        <v>43.66</v>
      </c>
      <c r="R209">
        <v>45.01</v>
      </c>
      <c r="S209">
        <v>46.03</v>
      </c>
      <c r="T209">
        <v>46.34</v>
      </c>
      <c r="U209">
        <v>46.65</v>
      </c>
      <c r="V209">
        <v>41.35</v>
      </c>
      <c r="W209">
        <v>41.4</v>
      </c>
      <c r="X209">
        <v>41.45</v>
      </c>
      <c r="Y209">
        <v>45.59</v>
      </c>
      <c r="Z209">
        <v>45.66</v>
      </c>
      <c r="AA209">
        <v>45.72</v>
      </c>
      <c r="AC209">
        <v>42.98</v>
      </c>
      <c r="AE209">
        <v>21.66</v>
      </c>
      <c r="AF209">
        <f t="shared" si="3"/>
        <v>1</v>
      </c>
    </row>
    <row r="210" spans="1:32" x14ac:dyDescent="0.25">
      <c r="A210" s="1">
        <v>39749</v>
      </c>
      <c r="B210">
        <v>22.53</v>
      </c>
      <c r="C210">
        <v>22.94</v>
      </c>
      <c r="D210">
        <v>23.7</v>
      </c>
      <c r="E210">
        <v>21.52</v>
      </c>
      <c r="F210">
        <v>21.72</v>
      </c>
      <c r="G210">
        <v>21.92</v>
      </c>
      <c r="H210">
        <v>17.77</v>
      </c>
      <c r="I210">
        <v>17.82</v>
      </c>
      <c r="J210">
        <v>17.86</v>
      </c>
      <c r="K210">
        <v>22.48</v>
      </c>
      <c r="L210">
        <v>22.57</v>
      </c>
      <c r="M210">
        <v>22.65</v>
      </c>
      <c r="P210">
        <v>42.98</v>
      </c>
      <c r="Q210">
        <v>43.66</v>
      </c>
      <c r="R210">
        <v>45.01</v>
      </c>
      <c r="S210">
        <v>45.75</v>
      </c>
      <c r="T210">
        <v>46.06</v>
      </c>
      <c r="U210">
        <v>46.38</v>
      </c>
      <c r="V210">
        <v>41.31</v>
      </c>
      <c r="W210">
        <v>41.37</v>
      </c>
      <c r="X210">
        <v>41.42</v>
      </c>
      <c r="Y210">
        <v>46.52</v>
      </c>
      <c r="Z210">
        <v>46.59</v>
      </c>
      <c r="AA210">
        <v>46.65</v>
      </c>
      <c r="AC210">
        <v>42.98</v>
      </c>
      <c r="AE210">
        <v>21.66</v>
      </c>
      <c r="AF210">
        <f t="shared" si="3"/>
        <v>2</v>
      </c>
    </row>
    <row r="211" spans="1:32" x14ac:dyDescent="0.25">
      <c r="A211" s="1">
        <v>39750</v>
      </c>
      <c r="B211">
        <v>23.68</v>
      </c>
      <c r="C211">
        <v>24.11</v>
      </c>
      <c r="D211">
        <v>24.91</v>
      </c>
      <c r="E211">
        <v>22.17</v>
      </c>
      <c r="F211">
        <v>22.37</v>
      </c>
      <c r="G211">
        <v>22.58</v>
      </c>
      <c r="H211">
        <v>18.13</v>
      </c>
      <c r="I211">
        <v>18.18</v>
      </c>
      <c r="J211">
        <v>18.22</v>
      </c>
      <c r="K211">
        <v>23.7</v>
      </c>
      <c r="L211">
        <v>23.79</v>
      </c>
      <c r="M211">
        <v>23.88</v>
      </c>
      <c r="P211">
        <v>43.02</v>
      </c>
      <c r="Q211">
        <v>43.7</v>
      </c>
      <c r="R211">
        <v>45.05</v>
      </c>
      <c r="S211">
        <v>46.23</v>
      </c>
      <c r="T211">
        <v>46.55</v>
      </c>
      <c r="U211">
        <v>46.86</v>
      </c>
      <c r="V211">
        <v>41.78</v>
      </c>
      <c r="W211">
        <v>41.83</v>
      </c>
      <c r="X211">
        <v>41.88</v>
      </c>
      <c r="Y211">
        <v>45.74</v>
      </c>
      <c r="Z211">
        <v>45.81</v>
      </c>
      <c r="AA211">
        <v>45.87</v>
      </c>
      <c r="AC211">
        <v>43.02</v>
      </c>
      <c r="AE211">
        <v>21.68</v>
      </c>
      <c r="AF211">
        <f t="shared" si="3"/>
        <v>1</v>
      </c>
    </row>
    <row r="212" spans="1:32" x14ac:dyDescent="0.25">
      <c r="A212" s="1">
        <v>39751</v>
      </c>
      <c r="B212">
        <v>24.22</v>
      </c>
      <c r="C212">
        <v>24.66</v>
      </c>
      <c r="D212">
        <v>25.49</v>
      </c>
      <c r="E212">
        <v>23.16</v>
      </c>
      <c r="F212">
        <v>23.37</v>
      </c>
      <c r="G212">
        <v>23.59</v>
      </c>
      <c r="H212">
        <v>18.940000000000001</v>
      </c>
      <c r="I212">
        <v>18.989999999999998</v>
      </c>
      <c r="J212">
        <v>19.03</v>
      </c>
      <c r="K212">
        <v>24.66</v>
      </c>
      <c r="L212">
        <v>24.75</v>
      </c>
      <c r="M212">
        <v>24.85</v>
      </c>
      <c r="P212">
        <v>43.03</v>
      </c>
      <c r="Q212">
        <v>43.65</v>
      </c>
      <c r="R212">
        <v>44.94</v>
      </c>
      <c r="S212">
        <v>47.2</v>
      </c>
      <c r="T212">
        <v>47.46</v>
      </c>
      <c r="U212">
        <v>47.72</v>
      </c>
      <c r="V212">
        <v>41.88</v>
      </c>
      <c r="W212">
        <v>41.91</v>
      </c>
      <c r="X212">
        <v>41.93</v>
      </c>
      <c r="Y212">
        <v>43.21</v>
      </c>
      <c r="Z212">
        <v>43.22</v>
      </c>
      <c r="AA212">
        <v>43.23</v>
      </c>
      <c r="AC212">
        <v>43.03</v>
      </c>
      <c r="AE212">
        <v>21.72</v>
      </c>
      <c r="AF212">
        <f t="shared" si="3"/>
        <v>1</v>
      </c>
    </row>
    <row r="213" spans="1:32" x14ac:dyDescent="0.25">
      <c r="A213" s="1">
        <v>39752</v>
      </c>
      <c r="B213">
        <v>24.82</v>
      </c>
      <c r="C213">
        <v>25.27</v>
      </c>
      <c r="D213">
        <v>26.11</v>
      </c>
      <c r="E213">
        <v>23.77</v>
      </c>
      <c r="F213">
        <v>23.99</v>
      </c>
      <c r="G213">
        <v>24.22</v>
      </c>
      <c r="H213">
        <v>19.649999999999999</v>
      </c>
      <c r="I213">
        <v>19.7</v>
      </c>
      <c r="J213">
        <v>19.75</v>
      </c>
      <c r="K213">
        <v>25.98</v>
      </c>
      <c r="L213">
        <v>26.09</v>
      </c>
      <c r="M213">
        <v>26.19</v>
      </c>
      <c r="P213">
        <v>43.05</v>
      </c>
      <c r="Q213">
        <v>43.71</v>
      </c>
      <c r="R213">
        <v>45.04</v>
      </c>
      <c r="S213">
        <v>45.11</v>
      </c>
      <c r="T213">
        <v>45.4</v>
      </c>
      <c r="U213">
        <v>45.69</v>
      </c>
      <c r="V213">
        <v>40.9</v>
      </c>
      <c r="W213">
        <v>40.94</v>
      </c>
      <c r="X213">
        <v>40.98</v>
      </c>
      <c r="Y213">
        <v>43.99</v>
      </c>
      <c r="Z213">
        <v>44.03</v>
      </c>
      <c r="AA213">
        <v>44.08</v>
      </c>
      <c r="AC213">
        <v>43.05</v>
      </c>
      <c r="AE213">
        <v>21.77</v>
      </c>
      <c r="AF213">
        <f t="shared" si="3"/>
        <v>1</v>
      </c>
    </row>
    <row r="214" spans="1:32" x14ac:dyDescent="0.25">
      <c r="A214" s="1">
        <v>39755</v>
      </c>
      <c r="B214">
        <v>25.05</v>
      </c>
      <c r="C214">
        <v>25.5</v>
      </c>
      <c r="D214">
        <v>26.36</v>
      </c>
      <c r="E214">
        <v>24</v>
      </c>
      <c r="F214">
        <v>24.23</v>
      </c>
      <c r="G214">
        <v>24.45</v>
      </c>
      <c r="H214">
        <v>19.87</v>
      </c>
      <c r="I214">
        <v>19.920000000000002</v>
      </c>
      <c r="J214">
        <v>19.97</v>
      </c>
      <c r="K214">
        <v>26.01</v>
      </c>
      <c r="L214">
        <v>26.11</v>
      </c>
      <c r="M214">
        <v>26.22</v>
      </c>
      <c r="P214">
        <v>43.07</v>
      </c>
      <c r="Q214">
        <v>43.75</v>
      </c>
      <c r="R214">
        <v>45.11</v>
      </c>
      <c r="S214">
        <v>45.98</v>
      </c>
      <c r="T214">
        <v>46.29</v>
      </c>
      <c r="U214">
        <v>46.62</v>
      </c>
      <c r="V214">
        <v>41.35</v>
      </c>
      <c r="W214">
        <v>41.4</v>
      </c>
      <c r="X214">
        <v>41.46</v>
      </c>
      <c r="Y214">
        <v>47.65</v>
      </c>
      <c r="Z214">
        <v>47.72</v>
      </c>
      <c r="AA214">
        <v>47.79</v>
      </c>
      <c r="AC214">
        <v>43.07</v>
      </c>
      <c r="AE214">
        <v>21.79</v>
      </c>
      <c r="AF214">
        <f t="shared" si="3"/>
        <v>1</v>
      </c>
    </row>
    <row r="215" spans="1:32" x14ac:dyDescent="0.25">
      <c r="A215" s="1">
        <v>39756</v>
      </c>
      <c r="B215">
        <v>26.31</v>
      </c>
      <c r="C215">
        <v>26.8</v>
      </c>
      <c r="D215">
        <v>27.69</v>
      </c>
      <c r="E215">
        <v>25.46</v>
      </c>
      <c r="F215">
        <v>25.69</v>
      </c>
      <c r="G215">
        <v>25.93</v>
      </c>
      <c r="H215">
        <v>21.15</v>
      </c>
      <c r="I215">
        <v>21.2</v>
      </c>
      <c r="J215">
        <v>21.26</v>
      </c>
      <c r="K215">
        <v>28.23</v>
      </c>
      <c r="L215">
        <v>28.34</v>
      </c>
      <c r="M215">
        <v>28.45</v>
      </c>
      <c r="P215">
        <v>43.16</v>
      </c>
      <c r="Q215">
        <v>43.78</v>
      </c>
      <c r="R215">
        <v>45.06</v>
      </c>
      <c r="S215">
        <v>49.84</v>
      </c>
      <c r="T215">
        <v>50.1</v>
      </c>
      <c r="U215">
        <v>50.37</v>
      </c>
      <c r="V215">
        <v>41.66</v>
      </c>
      <c r="W215">
        <v>41.69</v>
      </c>
      <c r="X215">
        <v>41.71</v>
      </c>
      <c r="Y215">
        <v>43.31</v>
      </c>
      <c r="Z215">
        <v>43.32</v>
      </c>
      <c r="AA215">
        <v>43.32</v>
      </c>
      <c r="AC215">
        <v>43.16</v>
      </c>
      <c r="AE215">
        <v>21.79</v>
      </c>
      <c r="AF215">
        <f t="shared" si="3"/>
        <v>2</v>
      </c>
    </row>
    <row r="216" spans="1:32" x14ac:dyDescent="0.25">
      <c r="A216" s="1">
        <v>39757</v>
      </c>
      <c r="B216">
        <v>25.61</v>
      </c>
      <c r="C216">
        <v>26.08</v>
      </c>
      <c r="D216">
        <v>26.96</v>
      </c>
      <c r="E216">
        <v>24.19</v>
      </c>
      <c r="F216">
        <v>24.42</v>
      </c>
      <c r="G216">
        <v>24.64</v>
      </c>
      <c r="H216">
        <v>20.04</v>
      </c>
      <c r="I216">
        <v>20.09</v>
      </c>
      <c r="J216">
        <v>20.14</v>
      </c>
      <c r="K216">
        <v>26.84</v>
      </c>
      <c r="L216">
        <v>26.95</v>
      </c>
      <c r="M216">
        <v>27.06</v>
      </c>
      <c r="P216">
        <v>43.18</v>
      </c>
      <c r="Q216">
        <v>43.81</v>
      </c>
      <c r="R216">
        <v>45.1</v>
      </c>
      <c r="S216">
        <v>47.53</v>
      </c>
      <c r="T216">
        <v>47.79</v>
      </c>
      <c r="U216">
        <v>48.06</v>
      </c>
      <c r="V216">
        <v>41.3</v>
      </c>
      <c r="W216">
        <v>41.33</v>
      </c>
      <c r="X216">
        <v>41.35</v>
      </c>
      <c r="Y216">
        <v>43.02</v>
      </c>
      <c r="Z216">
        <v>43.03</v>
      </c>
      <c r="AA216">
        <v>43.05</v>
      </c>
      <c r="AC216">
        <v>43.18</v>
      </c>
      <c r="AE216">
        <v>21.81</v>
      </c>
      <c r="AF216">
        <f t="shared" si="3"/>
        <v>1</v>
      </c>
    </row>
    <row r="217" spans="1:32" x14ac:dyDescent="0.25">
      <c r="A217" s="1">
        <v>39758</v>
      </c>
      <c r="B217">
        <v>24.83</v>
      </c>
      <c r="C217">
        <v>25.28</v>
      </c>
      <c r="D217">
        <v>26.13</v>
      </c>
      <c r="E217">
        <v>23.28</v>
      </c>
      <c r="F217">
        <v>23.5</v>
      </c>
      <c r="G217">
        <v>23.72</v>
      </c>
      <c r="H217">
        <v>19.440000000000001</v>
      </c>
      <c r="I217">
        <v>19.489999999999998</v>
      </c>
      <c r="J217">
        <v>19.54</v>
      </c>
      <c r="K217">
        <v>24.99</v>
      </c>
      <c r="L217">
        <v>25.09</v>
      </c>
      <c r="M217">
        <v>25.19</v>
      </c>
      <c r="P217">
        <v>43.2</v>
      </c>
      <c r="Q217">
        <v>43.83</v>
      </c>
      <c r="R217">
        <v>45.12</v>
      </c>
      <c r="S217">
        <v>47.57</v>
      </c>
      <c r="T217">
        <v>47.84</v>
      </c>
      <c r="U217">
        <v>48.1</v>
      </c>
      <c r="V217">
        <v>41.47</v>
      </c>
      <c r="W217">
        <v>41.49</v>
      </c>
      <c r="X217">
        <v>41.52</v>
      </c>
      <c r="Y217">
        <v>43.05</v>
      </c>
      <c r="Z217">
        <v>43.07</v>
      </c>
      <c r="AA217">
        <v>43.08</v>
      </c>
      <c r="AC217">
        <v>43.2</v>
      </c>
      <c r="AE217">
        <v>21.81</v>
      </c>
      <c r="AF217">
        <f t="shared" si="3"/>
        <v>2</v>
      </c>
    </row>
    <row r="218" spans="1:32" x14ac:dyDescent="0.25">
      <c r="A218" s="1">
        <v>39759</v>
      </c>
      <c r="B218">
        <v>25.21</v>
      </c>
      <c r="C218">
        <v>25.68</v>
      </c>
      <c r="D218">
        <v>26.54</v>
      </c>
      <c r="E218">
        <v>23.71</v>
      </c>
      <c r="F218">
        <v>23.93</v>
      </c>
      <c r="G218">
        <v>24.15</v>
      </c>
      <c r="H218">
        <v>19.7</v>
      </c>
      <c r="I218">
        <v>19.75</v>
      </c>
      <c r="J218">
        <v>19.8</v>
      </c>
      <c r="K218">
        <v>26.01</v>
      </c>
      <c r="L218">
        <v>26.12</v>
      </c>
      <c r="M218">
        <v>26.22</v>
      </c>
      <c r="P218">
        <v>43.25</v>
      </c>
      <c r="Q218">
        <v>43.95</v>
      </c>
      <c r="R218">
        <v>45.31</v>
      </c>
      <c r="S218">
        <v>46.91</v>
      </c>
      <c r="T218">
        <v>47.24</v>
      </c>
      <c r="U218">
        <v>47.57</v>
      </c>
      <c r="V218">
        <v>41.69</v>
      </c>
      <c r="W218">
        <v>41.75</v>
      </c>
      <c r="X218">
        <v>41.81</v>
      </c>
      <c r="Y218">
        <v>48.87</v>
      </c>
      <c r="Z218">
        <v>48.95</v>
      </c>
      <c r="AA218">
        <v>49.02</v>
      </c>
      <c r="AC218">
        <v>43.25</v>
      </c>
      <c r="AE218">
        <v>21.87</v>
      </c>
      <c r="AF218">
        <f t="shared" si="3"/>
        <v>1</v>
      </c>
    </row>
    <row r="219" spans="1:32" x14ac:dyDescent="0.25">
      <c r="A219" s="1">
        <v>39762</v>
      </c>
      <c r="B219">
        <v>25.28</v>
      </c>
      <c r="C219">
        <v>25.75</v>
      </c>
      <c r="D219">
        <v>26.61</v>
      </c>
      <c r="E219">
        <v>23.46</v>
      </c>
      <c r="F219">
        <v>23.68</v>
      </c>
      <c r="G219">
        <v>23.9</v>
      </c>
      <c r="H219">
        <v>19.53</v>
      </c>
      <c r="I219">
        <v>19.579999999999998</v>
      </c>
      <c r="J219">
        <v>19.63</v>
      </c>
      <c r="K219">
        <v>26.58</v>
      </c>
      <c r="L219">
        <v>26.69</v>
      </c>
      <c r="M219">
        <v>26.8</v>
      </c>
      <c r="P219">
        <v>43.32</v>
      </c>
      <c r="Q219">
        <v>43.97</v>
      </c>
      <c r="R219">
        <v>45.28</v>
      </c>
      <c r="S219">
        <v>47.45</v>
      </c>
      <c r="T219">
        <v>47.73</v>
      </c>
      <c r="U219">
        <v>48.01</v>
      </c>
      <c r="V219">
        <v>41.25</v>
      </c>
      <c r="W219">
        <v>41.28</v>
      </c>
      <c r="X219">
        <v>41.31</v>
      </c>
      <c r="Y219">
        <v>43.75</v>
      </c>
      <c r="Z219">
        <v>43.77</v>
      </c>
      <c r="AA219">
        <v>43.79</v>
      </c>
      <c r="AC219">
        <v>43.32</v>
      </c>
      <c r="AE219">
        <v>21.87</v>
      </c>
      <c r="AF219">
        <f t="shared" si="3"/>
        <v>2</v>
      </c>
    </row>
    <row r="220" spans="1:32" x14ac:dyDescent="0.25">
      <c r="A220" s="1">
        <v>39764</v>
      </c>
      <c r="B220">
        <v>24.23</v>
      </c>
      <c r="C220">
        <v>24.68</v>
      </c>
      <c r="D220">
        <v>25.51</v>
      </c>
      <c r="E220">
        <v>21.59</v>
      </c>
      <c r="F220">
        <v>21.79</v>
      </c>
      <c r="G220">
        <v>22</v>
      </c>
      <c r="H220">
        <v>18.350000000000001</v>
      </c>
      <c r="I220">
        <v>18.399999999999999</v>
      </c>
      <c r="J220">
        <v>18.440000000000001</v>
      </c>
      <c r="K220">
        <v>24.26</v>
      </c>
      <c r="L220">
        <v>24.35</v>
      </c>
      <c r="M220">
        <v>24.45</v>
      </c>
      <c r="P220">
        <v>43.34</v>
      </c>
      <c r="Q220">
        <v>43.96</v>
      </c>
      <c r="R220">
        <v>45.25</v>
      </c>
      <c r="S220">
        <v>48.3</v>
      </c>
      <c r="T220">
        <v>48.56</v>
      </c>
      <c r="U220">
        <v>48.82</v>
      </c>
      <c r="V220">
        <v>42.27</v>
      </c>
      <c r="W220">
        <v>42.3</v>
      </c>
      <c r="X220">
        <v>42.32</v>
      </c>
      <c r="Y220">
        <v>42.16</v>
      </c>
      <c r="Z220">
        <v>42.16</v>
      </c>
      <c r="AA220">
        <v>42.17</v>
      </c>
      <c r="AC220">
        <v>43.34</v>
      </c>
      <c r="AE220">
        <v>21.88</v>
      </c>
      <c r="AF220">
        <f t="shared" si="3"/>
        <v>1</v>
      </c>
    </row>
    <row r="221" spans="1:32" x14ac:dyDescent="0.25">
      <c r="A221" s="1">
        <v>39765</v>
      </c>
      <c r="B221">
        <v>23.23</v>
      </c>
      <c r="C221">
        <v>23.66</v>
      </c>
      <c r="D221">
        <v>24.46</v>
      </c>
      <c r="E221">
        <v>20.93</v>
      </c>
      <c r="F221">
        <v>21.13</v>
      </c>
      <c r="G221">
        <v>21.33</v>
      </c>
      <c r="H221">
        <v>17.850000000000001</v>
      </c>
      <c r="I221">
        <v>17.899999999999999</v>
      </c>
      <c r="J221">
        <v>17.95</v>
      </c>
      <c r="K221">
        <v>24.49</v>
      </c>
      <c r="L221">
        <v>24.59</v>
      </c>
      <c r="M221">
        <v>24.69</v>
      </c>
      <c r="P221">
        <v>43.41</v>
      </c>
      <c r="Q221">
        <v>44.1</v>
      </c>
      <c r="R221">
        <v>45.46</v>
      </c>
      <c r="S221">
        <v>45.93</v>
      </c>
      <c r="T221">
        <v>46.25</v>
      </c>
      <c r="U221">
        <v>46.57</v>
      </c>
      <c r="V221">
        <v>41.55</v>
      </c>
      <c r="W221">
        <v>41.61</v>
      </c>
      <c r="X221">
        <v>41.66</v>
      </c>
      <c r="Y221">
        <v>47.13</v>
      </c>
      <c r="Z221">
        <v>47.2</v>
      </c>
      <c r="AA221">
        <v>47.27</v>
      </c>
      <c r="AC221">
        <v>43.41</v>
      </c>
      <c r="AE221">
        <v>21.92</v>
      </c>
      <c r="AF221">
        <f t="shared" si="3"/>
        <v>1</v>
      </c>
    </row>
    <row r="222" spans="1:32" x14ac:dyDescent="0.25">
      <c r="A222" s="1">
        <v>39766</v>
      </c>
      <c r="B222">
        <v>23.54</v>
      </c>
      <c r="C222">
        <v>23.98</v>
      </c>
      <c r="D222">
        <v>24.78</v>
      </c>
      <c r="E222">
        <v>21.25</v>
      </c>
      <c r="F222">
        <v>21.45</v>
      </c>
      <c r="G222">
        <v>21.65</v>
      </c>
      <c r="H222">
        <v>18.18</v>
      </c>
      <c r="I222">
        <v>18.22</v>
      </c>
      <c r="J222">
        <v>18.27</v>
      </c>
      <c r="K222">
        <v>24.12</v>
      </c>
      <c r="L222">
        <v>24.21</v>
      </c>
      <c r="M222">
        <v>24.31</v>
      </c>
      <c r="P222">
        <v>43.41</v>
      </c>
      <c r="Q222">
        <v>44.11</v>
      </c>
      <c r="R222">
        <v>45.48</v>
      </c>
      <c r="S222">
        <v>46.76</v>
      </c>
      <c r="T222">
        <v>47.09</v>
      </c>
      <c r="U222">
        <v>47.41</v>
      </c>
      <c r="V222">
        <v>41.66</v>
      </c>
      <c r="W222">
        <v>41.71</v>
      </c>
      <c r="X222">
        <v>41.76</v>
      </c>
      <c r="Y222">
        <v>48.35</v>
      </c>
      <c r="Z222">
        <v>48.42</v>
      </c>
      <c r="AA222">
        <v>48.5</v>
      </c>
      <c r="AC222">
        <v>43.41</v>
      </c>
      <c r="AE222">
        <v>21.92</v>
      </c>
      <c r="AF222">
        <f t="shared" si="3"/>
        <v>2</v>
      </c>
    </row>
    <row r="223" spans="1:32" x14ac:dyDescent="0.25">
      <c r="A223" s="1">
        <v>39769</v>
      </c>
      <c r="B223">
        <v>22.82</v>
      </c>
      <c r="C223">
        <v>23.25</v>
      </c>
      <c r="D223">
        <v>24.03</v>
      </c>
      <c r="E223">
        <v>20.78</v>
      </c>
      <c r="F223">
        <v>20.97</v>
      </c>
      <c r="G223">
        <v>21.17</v>
      </c>
      <c r="H223">
        <v>17.510000000000002</v>
      </c>
      <c r="I223">
        <v>17.559999999999999</v>
      </c>
      <c r="J223">
        <v>17.61</v>
      </c>
      <c r="K223">
        <v>23.76</v>
      </c>
      <c r="L223">
        <v>23.86</v>
      </c>
      <c r="M223">
        <v>23.96</v>
      </c>
      <c r="P223">
        <v>43.51</v>
      </c>
      <c r="Q223">
        <v>44.2</v>
      </c>
      <c r="R223">
        <v>45.57</v>
      </c>
      <c r="S223">
        <v>46.66</v>
      </c>
      <c r="T223">
        <v>46.98</v>
      </c>
      <c r="U223">
        <v>47.3</v>
      </c>
      <c r="V223">
        <v>42.19</v>
      </c>
      <c r="W223">
        <v>42.24</v>
      </c>
      <c r="X223">
        <v>42.29</v>
      </c>
      <c r="Y223">
        <v>45.99</v>
      </c>
      <c r="Z223">
        <v>46.05</v>
      </c>
      <c r="AA223">
        <v>46.12</v>
      </c>
      <c r="AC223">
        <v>43.51</v>
      </c>
      <c r="AE223">
        <v>21.93</v>
      </c>
      <c r="AF223">
        <f t="shared" si="3"/>
        <v>1</v>
      </c>
    </row>
    <row r="224" spans="1:32" x14ac:dyDescent="0.25">
      <c r="A224" s="1">
        <v>39770</v>
      </c>
      <c r="B224">
        <v>22.32</v>
      </c>
      <c r="C224">
        <v>22.73</v>
      </c>
      <c r="D224">
        <v>23.49</v>
      </c>
      <c r="E224">
        <v>20.6</v>
      </c>
      <c r="F224">
        <v>20.79</v>
      </c>
      <c r="G224">
        <v>20.99</v>
      </c>
      <c r="H224">
        <v>17.489999999999998</v>
      </c>
      <c r="I224">
        <v>17.53</v>
      </c>
      <c r="J224">
        <v>17.579999999999998</v>
      </c>
      <c r="K224">
        <v>23.86</v>
      </c>
      <c r="L224">
        <v>23.96</v>
      </c>
      <c r="M224">
        <v>24.05</v>
      </c>
      <c r="P224">
        <v>43.55</v>
      </c>
      <c r="Q224">
        <v>44.18</v>
      </c>
      <c r="R224">
        <v>45.48</v>
      </c>
      <c r="S224">
        <v>48.55</v>
      </c>
      <c r="T224">
        <v>48.81</v>
      </c>
      <c r="U224">
        <v>49.07</v>
      </c>
      <c r="V224">
        <v>42.38</v>
      </c>
      <c r="W224">
        <v>42.4</v>
      </c>
      <c r="X224">
        <v>42.42</v>
      </c>
      <c r="Y224">
        <v>43.26</v>
      </c>
      <c r="Z224">
        <v>43.26</v>
      </c>
      <c r="AA224">
        <v>43.27</v>
      </c>
      <c r="AC224">
        <v>43.55</v>
      </c>
      <c r="AE224">
        <v>21.96</v>
      </c>
      <c r="AF224">
        <f t="shared" si="3"/>
        <v>1</v>
      </c>
    </row>
    <row r="225" spans="1:32" x14ac:dyDescent="0.25">
      <c r="A225" s="1">
        <v>39771</v>
      </c>
      <c r="B225">
        <v>21.88</v>
      </c>
      <c r="C225">
        <v>22.29</v>
      </c>
      <c r="D225">
        <v>23.04</v>
      </c>
      <c r="E225">
        <v>19.579999999999998</v>
      </c>
      <c r="F225">
        <v>19.77</v>
      </c>
      <c r="G225">
        <v>19.96</v>
      </c>
      <c r="H225">
        <v>16.64</v>
      </c>
      <c r="I225">
        <v>16.690000000000001</v>
      </c>
      <c r="J225">
        <v>16.73</v>
      </c>
      <c r="K225">
        <v>22.15</v>
      </c>
      <c r="L225">
        <v>22.24</v>
      </c>
      <c r="M225">
        <v>22.34</v>
      </c>
      <c r="P225">
        <v>43.58</v>
      </c>
      <c r="Q225">
        <v>44.2</v>
      </c>
      <c r="R225">
        <v>45.5</v>
      </c>
      <c r="S225">
        <v>49.99</v>
      </c>
      <c r="T225">
        <v>50.26</v>
      </c>
      <c r="U225">
        <v>50.52</v>
      </c>
      <c r="V225">
        <v>41.64</v>
      </c>
      <c r="W225">
        <v>41.66</v>
      </c>
      <c r="X225">
        <v>41.68</v>
      </c>
      <c r="Y225">
        <v>43.2</v>
      </c>
      <c r="Z225">
        <v>43.21</v>
      </c>
      <c r="AA225">
        <v>43.21</v>
      </c>
      <c r="AC225">
        <v>43.58</v>
      </c>
      <c r="AE225">
        <v>21.99</v>
      </c>
      <c r="AF225">
        <f t="shared" si="3"/>
        <v>1</v>
      </c>
    </row>
    <row r="226" spans="1:32" x14ac:dyDescent="0.25">
      <c r="A226" s="1">
        <v>39772</v>
      </c>
      <c r="B226">
        <v>20.82</v>
      </c>
      <c r="C226">
        <v>21.21</v>
      </c>
      <c r="D226">
        <v>21.92</v>
      </c>
      <c r="E226">
        <v>18.760000000000002</v>
      </c>
      <c r="F226">
        <v>18.940000000000001</v>
      </c>
      <c r="G226">
        <v>19.12</v>
      </c>
      <c r="H226">
        <v>16.04</v>
      </c>
      <c r="I226">
        <v>16.079999999999998</v>
      </c>
      <c r="J226">
        <v>16.12</v>
      </c>
      <c r="K226">
        <v>20.62</v>
      </c>
      <c r="L226">
        <v>20.71</v>
      </c>
      <c r="M226">
        <v>20.8</v>
      </c>
      <c r="P226">
        <v>43.65</v>
      </c>
      <c r="Q226">
        <v>44.28</v>
      </c>
      <c r="R226">
        <v>45.59</v>
      </c>
      <c r="S226">
        <v>47.85</v>
      </c>
      <c r="T226">
        <v>48.11</v>
      </c>
      <c r="U226">
        <v>48.37</v>
      </c>
      <c r="V226">
        <v>42.07</v>
      </c>
      <c r="W226">
        <v>42.1</v>
      </c>
      <c r="X226">
        <v>42.12</v>
      </c>
      <c r="Y226">
        <v>43.39</v>
      </c>
      <c r="Z226">
        <v>43.4</v>
      </c>
      <c r="AA226">
        <v>43.41</v>
      </c>
      <c r="AC226">
        <v>43.65</v>
      </c>
      <c r="AE226">
        <v>22</v>
      </c>
      <c r="AF226">
        <f t="shared" si="3"/>
        <v>1</v>
      </c>
    </row>
    <row r="227" spans="1:32" x14ac:dyDescent="0.25">
      <c r="A227" s="1">
        <v>39773</v>
      </c>
      <c r="B227">
        <v>21.17</v>
      </c>
      <c r="C227">
        <v>21.57</v>
      </c>
      <c r="D227">
        <v>22.29</v>
      </c>
      <c r="E227">
        <v>18.97</v>
      </c>
      <c r="F227">
        <v>19.149999999999999</v>
      </c>
      <c r="G227">
        <v>19.329999999999998</v>
      </c>
      <c r="H227">
        <v>16.309999999999999</v>
      </c>
      <c r="I227">
        <v>16.350000000000001</v>
      </c>
      <c r="J227">
        <v>16.39</v>
      </c>
      <c r="K227">
        <v>20.329999999999998</v>
      </c>
      <c r="L227">
        <v>20.41</v>
      </c>
      <c r="M227">
        <v>20.5</v>
      </c>
      <c r="P227">
        <v>43.83</v>
      </c>
      <c r="Q227">
        <v>44.46</v>
      </c>
      <c r="R227">
        <v>45.77</v>
      </c>
      <c r="S227">
        <v>48.04</v>
      </c>
      <c r="T227">
        <v>48.3</v>
      </c>
      <c r="U227">
        <v>48.56</v>
      </c>
      <c r="V227">
        <v>42.22</v>
      </c>
      <c r="W227">
        <v>42.25</v>
      </c>
      <c r="X227">
        <v>42.27</v>
      </c>
      <c r="Y227">
        <v>43.88</v>
      </c>
      <c r="Z227">
        <v>43.89</v>
      </c>
      <c r="AA227">
        <v>43.9</v>
      </c>
      <c r="AC227">
        <v>43.83</v>
      </c>
      <c r="AE227">
        <v>22</v>
      </c>
      <c r="AF227">
        <f t="shared" si="3"/>
        <v>2</v>
      </c>
    </row>
    <row r="228" spans="1:32" x14ac:dyDescent="0.25">
      <c r="A228" s="1">
        <v>39776</v>
      </c>
      <c r="B228">
        <v>22.57</v>
      </c>
      <c r="C228">
        <v>22.99</v>
      </c>
      <c r="D228">
        <v>23.77</v>
      </c>
      <c r="E228">
        <v>21.12</v>
      </c>
      <c r="F228">
        <v>21.32</v>
      </c>
      <c r="G228">
        <v>21.53</v>
      </c>
      <c r="H228">
        <v>18.12</v>
      </c>
      <c r="I228">
        <v>18.170000000000002</v>
      </c>
      <c r="J228">
        <v>18.21</v>
      </c>
      <c r="K228">
        <v>22.54</v>
      </c>
      <c r="L228">
        <v>22.64</v>
      </c>
      <c r="M228">
        <v>22.74</v>
      </c>
      <c r="P228">
        <v>44.01</v>
      </c>
      <c r="Q228">
        <v>44.65</v>
      </c>
      <c r="R228">
        <v>45.97</v>
      </c>
      <c r="S228">
        <v>48.27</v>
      </c>
      <c r="T228">
        <v>48.54</v>
      </c>
      <c r="U228">
        <v>48.81</v>
      </c>
      <c r="V228">
        <v>42.49</v>
      </c>
      <c r="W228">
        <v>42.52</v>
      </c>
      <c r="X228">
        <v>42.54</v>
      </c>
      <c r="Y228">
        <v>43.85</v>
      </c>
      <c r="Z228">
        <v>43.86</v>
      </c>
      <c r="AA228">
        <v>43.87</v>
      </c>
      <c r="AC228">
        <v>44.01</v>
      </c>
      <c r="AE228">
        <v>22</v>
      </c>
      <c r="AF228">
        <f t="shared" si="3"/>
        <v>3</v>
      </c>
    </row>
    <row r="229" spans="1:32" x14ac:dyDescent="0.25">
      <c r="A229" s="1">
        <v>39777</v>
      </c>
      <c r="B229">
        <v>22.78</v>
      </c>
      <c r="C229">
        <v>23.21</v>
      </c>
      <c r="D229">
        <v>23.99</v>
      </c>
      <c r="E229">
        <v>21.58</v>
      </c>
      <c r="F229">
        <v>21.79</v>
      </c>
      <c r="G229">
        <v>22</v>
      </c>
      <c r="H229">
        <v>18.2</v>
      </c>
      <c r="I229">
        <v>18.239999999999998</v>
      </c>
      <c r="J229">
        <v>18.29</v>
      </c>
      <c r="K229">
        <v>23.11</v>
      </c>
      <c r="L229">
        <v>23.21</v>
      </c>
      <c r="M229">
        <v>23.31</v>
      </c>
      <c r="P229">
        <v>44.03</v>
      </c>
      <c r="Q229">
        <v>44.68</v>
      </c>
      <c r="R229">
        <v>46.02</v>
      </c>
      <c r="S229">
        <v>48.39</v>
      </c>
      <c r="T229">
        <v>48.67</v>
      </c>
      <c r="U229">
        <v>48.96</v>
      </c>
      <c r="V229">
        <v>42.08</v>
      </c>
      <c r="W229">
        <v>42.11</v>
      </c>
      <c r="X229">
        <v>42.15</v>
      </c>
      <c r="Y229">
        <v>44.73</v>
      </c>
      <c r="Z229">
        <v>44.75</v>
      </c>
      <c r="AA229">
        <v>44.77</v>
      </c>
      <c r="AC229">
        <v>44.03</v>
      </c>
      <c r="AE229">
        <v>22.01</v>
      </c>
      <c r="AF229">
        <f t="shared" si="3"/>
        <v>1</v>
      </c>
    </row>
    <row r="230" spans="1:32" x14ac:dyDescent="0.25">
      <c r="A230" s="1">
        <v>39778</v>
      </c>
      <c r="B230">
        <v>22.81</v>
      </c>
      <c r="C230">
        <v>23.23</v>
      </c>
      <c r="D230">
        <v>24.02</v>
      </c>
      <c r="E230">
        <v>21.23</v>
      </c>
      <c r="F230">
        <v>21.44</v>
      </c>
      <c r="G230">
        <v>21.64</v>
      </c>
      <c r="H230">
        <v>17.93</v>
      </c>
      <c r="I230">
        <v>17.98</v>
      </c>
      <c r="J230">
        <v>18.03</v>
      </c>
      <c r="K230">
        <v>23.49</v>
      </c>
      <c r="L230">
        <v>23.59</v>
      </c>
      <c r="M230">
        <v>23.69</v>
      </c>
      <c r="P230">
        <v>44.11</v>
      </c>
      <c r="Q230">
        <v>44.76</v>
      </c>
      <c r="R230">
        <v>46.09</v>
      </c>
      <c r="S230">
        <v>47.61</v>
      </c>
      <c r="T230">
        <v>47.87</v>
      </c>
      <c r="U230">
        <v>48.14</v>
      </c>
      <c r="V230">
        <v>42.26</v>
      </c>
      <c r="W230">
        <v>42.29</v>
      </c>
      <c r="X230">
        <v>42.32</v>
      </c>
      <c r="Y230">
        <v>44.33</v>
      </c>
      <c r="Z230">
        <v>44.34</v>
      </c>
      <c r="AA230">
        <v>44.35</v>
      </c>
      <c r="AC230">
        <v>44.11</v>
      </c>
      <c r="AE230">
        <v>22.02</v>
      </c>
      <c r="AF230">
        <f t="shared" si="3"/>
        <v>1</v>
      </c>
    </row>
    <row r="231" spans="1:32" x14ac:dyDescent="0.25">
      <c r="A231" s="1">
        <v>39779</v>
      </c>
      <c r="B231">
        <v>23.21</v>
      </c>
      <c r="C231">
        <v>23.64</v>
      </c>
      <c r="D231">
        <v>24.44</v>
      </c>
      <c r="E231">
        <v>22.03</v>
      </c>
      <c r="F231">
        <v>22.24</v>
      </c>
      <c r="G231">
        <v>22.45</v>
      </c>
      <c r="H231">
        <v>18.45</v>
      </c>
      <c r="I231">
        <v>18.5</v>
      </c>
      <c r="J231">
        <v>18.55</v>
      </c>
      <c r="K231">
        <v>24.2</v>
      </c>
      <c r="L231">
        <v>24.31</v>
      </c>
      <c r="M231">
        <v>24.41</v>
      </c>
      <c r="P231">
        <v>44.36</v>
      </c>
      <c r="Q231">
        <v>45.02</v>
      </c>
      <c r="R231">
        <v>46.36</v>
      </c>
      <c r="S231">
        <v>49.17</v>
      </c>
      <c r="T231">
        <v>49.46</v>
      </c>
      <c r="U231">
        <v>49.75</v>
      </c>
      <c r="V231">
        <v>42.7</v>
      </c>
      <c r="W231">
        <v>42.73</v>
      </c>
      <c r="X231">
        <v>42.77</v>
      </c>
      <c r="Y231">
        <v>45.07</v>
      </c>
      <c r="Z231">
        <v>45.09</v>
      </c>
      <c r="AA231">
        <v>45.11</v>
      </c>
      <c r="AC231">
        <v>44.36</v>
      </c>
      <c r="AE231">
        <v>22.02</v>
      </c>
      <c r="AF231">
        <f t="shared" si="3"/>
        <v>2</v>
      </c>
    </row>
    <row r="232" spans="1:32" x14ac:dyDescent="0.25">
      <c r="A232" s="1">
        <v>39780</v>
      </c>
      <c r="B232">
        <v>23.12</v>
      </c>
      <c r="C232">
        <v>23.55</v>
      </c>
      <c r="D232">
        <v>24.35</v>
      </c>
      <c r="E232">
        <v>22.2</v>
      </c>
      <c r="F232">
        <v>22.42</v>
      </c>
      <c r="G232">
        <v>22.63</v>
      </c>
      <c r="H232">
        <v>18.489999999999998</v>
      </c>
      <c r="I232">
        <v>18.54</v>
      </c>
      <c r="J232">
        <v>18.59</v>
      </c>
      <c r="K232">
        <v>24.25</v>
      </c>
      <c r="L232">
        <v>24.35</v>
      </c>
      <c r="M232">
        <v>24.45</v>
      </c>
      <c r="P232">
        <v>44.4</v>
      </c>
      <c r="Q232">
        <v>45.05</v>
      </c>
      <c r="R232">
        <v>46.38</v>
      </c>
      <c r="S232">
        <v>48.75</v>
      </c>
      <c r="T232">
        <v>49.02</v>
      </c>
      <c r="U232">
        <v>49.29</v>
      </c>
      <c r="V232">
        <v>42.52</v>
      </c>
      <c r="W232">
        <v>42.55</v>
      </c>
      <c r="X232">
        <v>42.58</v>
      </c>
      <c r="Y232">
        <v>44.19</v>
      </c>
      <c r="Z232">
        <v>44.21</v>
      </c>
      <c r="AA232">
        <v>44.22</v>
      </c>
      <c r="AC232">
        <v>44.4</v>
      </c>
      <c r="AE232">
        <v>22.03</v>
      </c>
      <c r="AF232">
        <f t="shared" si="3"/>
        <v>1</v>
      </c>
    </row>
    <row r="233" spans="1:32" x14ac:dyDescent="0.25">
      <c r="A233" s="1">
        <v>39783</v>
      </c>
      <c r="B233">
        <v>22.23</v>
      </c>
      <c r="C233">
        <v>22.64</v>
      </c>
      <c r="D233">
        <v>23.41</v>
      </c>
      <c r="E233">
        <v>21.45</v>
      </c>
      <c r="F233">
        <v>21.66</v>
      </c>
      <c r="G233">
        <v>21.87</v>
      </c>
      <c r="H233">
        <v>17.91</v>
      </c>
      <c r="I233">
        <v>17.96</v>
      </c>
      <c r="J233">
        <v>18.010000000000002</v>
      </c>
      <c r="K233">
        <v>22.51</v>
      </c>
      <c r="L233">
        <v>22.61</v>
      </c>
      <c r="M233">
        <v>22.71</v>
      </c>
      <c r="P233">
        <v>44.4</v>
      </c>
      <c r="Q233">
        <v>45.05</v>
      </c>
      <c r="R233">
        <v>46.39</v>
      </c>
      <c r="S233">
        <v>48.22</v>
      </c>
      <c r="T233">
        <v>48.49</v>
      </c>
      <c r="U233">
        <v>48.77</v>
      </c>
      <c r="V233">
        <v>42.04</v>
      </c>
      <c r="W233">
        <v>42.07</v>
      </c>
      <c r="X233">
        <v>42.1</v>
      </c>
      <c r="Y233">
        <v>44.49</v>
      </c>
      <c r="Z233">
        <v>44.5</v>
      </c>
      <c r="AA233">
        <v>44.52</v>
      </c>
      <c r="AC233">
        <v>44.4</v>
      </c>
      <c r="AE233">
        <v>22.03</v>
      </c>
      <c r="AF233">
        <f t="shared" si="3"/>
        <v>2</v>
      </c>
    </row>
    <row r="234" spans="1:32" x14ac:dyDescent="0.25">
      <c r="A234" s="1">
        <v>39784</v>
      </c>
      <c r="B234">
        <v>22.35</v>
      </c>
      <c r="C234">
        <v>22.77</v>
      </c>
      <c r="D234">
        <v>23.54</v>
      </c>
      <c r="E234">
        <v>21.6</v>
      </c>
      <c r="F234">
        <v>21.81</v>
      </c>
      <c r="G234">
        <v>22.02</v>
      </c>
      <c r="H234">
        <v>18.010000000000002</v>
      </c>
      <c r="I234">
        <v>18.059999999999999</v>
      </c>
      <c r="J234">
        <v>18.11</v>
      </c>
      <c r="K234">
        <v>22.84</v>
      </c>
      <c r="L234">
        <v>22.94</v>
      </c>
      <c r="M234">
        <v>23.04</v>
      </c>
      <c r="P234">
        <v>44.44</v>
      </c>
      <c r="Q234">
        <v>45.1</v>
      </c>
      <c r="R234">
        <v>46.44</v>
      </c>
      <c r="S234">
        <v>49.26</v>
      </c>
      <c r="T234">
        <v>49.55</v>
      </c>
      <c r="U234">
        <v>49.84</v>
      </c>
      <c r="V234">
        <v>42.86</v>
      </c>
      <c r="W234">
        <v>42.9</v>
      </c>
      <c r="X234">
        <v>42.93</v>
      </c>
      <c r="Y234">
        <v>45.13</v>
      </c>
      <c r="Z234">
        <v>45.15</v>
      </c>
      <c r="AA234">
        <v>45.18</v>
      </c>
      <c r="AC234">
        <v>44.44</v>
      </c>
      <c r="AE234">
        <v>22.06</v>
      </c>
      <c r="AF234">
        <f t="shared" si="3"/>
        <v>1</v>
      </c>
    </row>
    <row r="235" spans="1:32" x14ac:dyDescent="0.25">
      <c r="A235" s="1">
        <v>39785</v>
      </c>
      <c r="B235">
        <v>22.27</v>
      </c>
      <c r="C235">
        <v>22.69</v>
      </c>
      <c r="D235">
        <v>23.46</v>
      </c>
      <c r="E235">
        <v>21.39</v>
      </c>
      <c r="F235">
        <v>21.6</v>
      </c>
      <c r="G235">
        <v>21.81</v>
      </c>
      <c r="H235">
        <v>17.899999999999999</v>
      </c>
      <c r="I235">
        <v>17.95</v>
      </c>
      <c r="J235">
        <v>18</v>
      </c>
      <c r="K235">
        <v>22.8</v>
      </c>
      <c r="L235">
        <v>22.9</v>
      </c>
      <c r="M235">
        <v>23</v>
      </c>
      <c r="P235">
        <v>44.58</v>
      </c>
      <c r="Q235">
        <v>45.24</v>
      </c>
      <c r="R235">
        <v>46.59</v>
      </c>
      <c r="S235">
        <v>48.83</v>
      </c>
      <c r="T235">
        <v>49.12</v>
      </c>
      <c r="U235">
        <v>49.4</v>
      </c>
      <c r="V235">
        <v>42.52</v>
      </c>
      <c r="W235">
        <v>42.56</v>
      </c>
      <c r="X235">
        <v>42.59</v>
      </c>
      <c r="Y235">
        <v>44.56</v>
      </c>
      <c r="Z235">
        <v>44.58</v>
      </c>
      <c r="AA235">
        <v>44.6</v>
      </c>
      <c r="AC235">
        <v>44.58</v>
      </c>
      <c r="AE235">
        <v>22.09</v>
      </c>
      <c r="AF235">
        <f t="shared" si="3"/>
        <v>1</v>
      </c>
    </row>
    <row r="236" spans="1:32" x14ac:dyDescent="0.25">
      <c r="A236" s="1">
        <v>39786</v>
      </c>
      <c r="B236">
        <v>22.7</v>
      </c>
      <c r="C236">
        <v>23.12</v>
      </c>
      <c r="D236">
        <v>23.91</v>
      </c>
      <c r="E236">
        <v>22.19</v>
      </c>
      <c r="F236">
        <v>22.41</v>
      </c>
      <c r="G236">
        <v>22.63</v>
      </c>
      <c r="H236">
        <v>18.510000000000002</v>
      </c>
      <c r="I236">
        <v>18.559999999999999</v>
      </c>
      <c r="J236">
        <v>18.61</v>
      </c>
      <c r="K236">
        <v>22.78</v>
      </c>
      <c r="L236">
        <v>22.88</v>
      </c>
      <c r="M236">
        <v>22.98</v>
      </c>
      <c r="P236">
        <v>44.59</v>
      </c>
      <c r="Q236">
        <v>45.23</v>
      </c>
      <c r="R236">
        <v>46.55</v>
      </c>
      <c r="S236">
        <v>51.61</v>
      </c>
      <c r="T236">
        <v>51.88</v>
      </c>
      <c r="U236">
        <v>52.15</v>
      </c>
      <c r="V236">
        <v>42.81</v>
      </c>
      <c r="W236">
        <v>42.83</v>
      </c>
      <c r="X236">
        <v>42.85</v>
      </c>
      <c r="Y236">
        <v>44.67</v>
      </c>
      <c r="Z236">
        <v>44.68</v>
      </c>
      <c r="AA236">
        <v>44.68</v>
      </c>
      <c r="AC236">
        <v>44.59</v>
      </c>
      <c r="AE236">
        <v>22.12</v>
      </c>
      <c r="AF236">
        <f t="shared" si="3"/>
        <v>1</v>
      </c>
    </row>
    <row r="237" spans="1:32" x14ac:dyDescent="0.25">
      <c r="A237" s="1">
        <v>39787</v>
      </c>
      <c r="B237">
        <v>22.14</v>
      </c>
      <c r="C237">
        <v>22.56</v>
      </c>
      <c r="D237">
        <v>23.32</v>
      </c>
      <c r="E237">
        <v>21.24</v>
      </c>
      <c r="F237">
        <v>21.45</v>
      </c>
      <c r="G237">
        <v>21.66</v>
      </c>
      <c r="H237">
        <v>17.86</v>
      </c>
      <c r="I237">
        <v>17.899999999999999</v>
      </c>
      <c r="J237">
        <v>17.95</v>
      </c>
      <c r="K237">
        <v>21.93</v>
      </c>
      <c r="L237">
        <v>22.03</v>
      </c>
      <c r="M237">
        <v>22.12</v>
      </c>
      <c r="P237">
        <v>44.63</v>
      </c>
      <c r="Q237">
        <v>45.3</v>
      </c>
      <c r="R237">
        <v>46.65</v>
      </c>
      <c r="S237">
        <v>48.95</v>
      </c>
      <c r="T237">
        <v>49.24</v>
      </c>
      <c r="U237">
        <v>49.52</v>
      </c>
      <c r="V237">
        <v>42.63</v>
      </c>
      <c r="W237">
        <v>42.66</v>
      </c>
      <c r="X237">
        <v>42.69</v>
      </c>
      <c r="Y237">
        <v>45.2</v>
      </c>
      <c r="Z237">
        <v>45.23</v>
      </c>
      <c r="AA237">
        <v>45.25</v>
      </c>
      <c r="AC237">
        <v>44.63</v>
      </c>
      <c r="AE237">
        <v>22.14</v>
      </c>
      <c r="AF237">
        <f t="shared" si="3"/>
        <v>1</v>
      </c>
    </row>
    <row r="238" spans="1:32" x14ac:dyDescent="0.25">
      <c r="A238" s="1">
        <v>39790</v>
      </c>
      <c r="B238">
        <v>22.68</v>
      </c>
      <c r="C238">
        <v>23.1</v>
      </c>
      <c r="D238">
        <v>23.89</v>
      </c>
      <c r="E238">
        <v>21.26</v>
      </c>
      <c r="F238">
        <v>21.47</v>
      </c>
      <c r="G238">
        <v>21.68</v>
      </c>
      <c r="H238">
        <v>17.829999999999998</v>
      </c>
      <c r="I238">
        <v>17.88</v>
      </c>
      <c r="J238">
        <v>17.93</v>
      </c>
      <c r="K238">
        <v>23.05</v>
      </c>
      <c r="L238">
        <v>23.15</v>
      </c>
      <c r="M238">
        <v>23.26</v>
      </c>
      <c r="P238">
        <v>44.67</v>
      </c>
      <c r="Q238">
        <v>45.33</v>
      </c>
      <c r="R238">
        <v>46.68</v>
      </c>
      <c r="S238">
        <v>48.56</v>
      </c>
      <c r="T238">
        <v>48.84</v>
      </c>
      <c r="U238">
        <v>49.11</v>
      </c>
      <c r="V238">
        <v>42.56</v>
      </c>
      <c r="W238">
        <v>42.59</v>
      </c>
      <c r="X238">
        <v>42.62</v>
      </c>
      <c r="Y238">
        <v>44.82</v>
      </c>
      <c r="Z238">
        <v>44.83</v>
      </c>
      <c r="AA238">
        <v>44.85</v>
      </c>
      <c r="AC238">
        <v>44.67</v>
      </c>
      <c r="AE238">
        <v>22.15</v>
      </c>
      <c r="AF238">
        <f t="shared" si="3"/>
        <v>1</v>
      </c>
    </row>
    <row r="239" spans="1:32" x14ac:dyDescent="0.25">
      <c r="A239" s="1">
        <v>39791</v>
      </c>
      <c r="B239">
        <v>23.17</v>
      </c>
      <c r="C239">
        <v>23.61</v>
      </c>
      <c r="D239">
        <v>24.41</v>
      </c>
      <c r="E239">
        <v>22.02</v>
      </c>
      <c r="F239">
        <v>22.23</v>
      </c>
      <c r="G239">
        <v>22.45</v>
      </c>
      <c r="H239">
        <v>18.37</v>
      </c>
      <c r="I239">
        <v>18.420000000000002</v>
      </c>
      <c r="J239">
        <v>18.47</v>
      </c>
      <c r="K239">
        <v>23.91</v>
      </c>
      <c r="L239">
        <v>24.01</v>
      </c>
      <c r="M239">
        <v>24.12</v>
      </c>
      <c r="P239">
        <v>45.01</v>
      </c>
      <c r="Q239">
        <v>45.68</v>
      </c>
      <c r="R239">
        <v>47.03</v>
      </c>
      <c r="S239">
        <v>49.05</v>
      </c>
      <c r="T239">
        <v>49.33</v>
      </c>
      <c r="U239">
        <v>49.61</v>
      </c>
      <c r="V239">
        <v>42.84</v>
      </c>
      <c r="W239">
        <v>42.87</v>
      </c>
      <c r="X239">
        <v>42.9</v>
      </c>
      <c r="Y239">
        <v>45.1</v>
      </c>
      <c r="Z239">
        <v>45.11</v>
      </c>
      <c r="AA239">
        <v>45.13</v>
      </c>
      <c r="AC239">
        <v>45.01</v>
      </c>
      <c r="AE239">
        <v>22.17</v>
      </c>
      <c r="AF239">
        <f t="shared" si="3"/>
        <v>1</v>
      </c>
    </row>
    <row r="240" spans="1:32" x14ac:dyDescent="0.25">
      <c r="A240" s="1">
        <v>39792</v>
      </c>
      <c r="B240">
        <v>23.28</v>
      </c>
      <c r="C240">
        <v>23.72</v>
      </c>
      <c r="D240">
        <v>24.52</v>
      </c>
      <c r="E240">
        <v>22.36</v>
      </c>
      <c r="F240">
        <v>22.58</v>
      </c>
      <c r="G240">
        <v>22.8</v>
      </c>
      <c r="H240">
        <v>18.62</v>
      </c>
      <c r="I240">
        <v>18.670000000000002</v>
      </c>
      <c r="J240">
        <v>18.72</v>
      </c>
      <c r="K240">
        <v>24.82</v>
      </c>
      <c r="L240">
        <v>24.93</v>
      </c>
      <c r="M240">
        <v>25.04</v>
      </c>
      <c r="P240">
        <v>45.07</v>
      </c>
      <c r="Q240">
        <v>45.73</v>
      </c>
      <c r="R240">
        <v>47.09</v>
      </c>
      <c r="S240">
        <v>48.96</v>
      </c>
      <c r="T240">
        <v>49.24</v>
      </c>
      <c r="U240">
        <v>49.52</v>
      </c>
      <c r="V240">
        <v>42.83</v>
      </c>
      <c r="W240">
        <v>42.86</v>
      </c>
      <c r="X240">
        <v>42.89</v>
      </c>
      <c r="Y240">
        <v>44.7</v>
      </c>
      <c r="Z240">
        <v>44.72</v>
      </c>
      <c r="AA240">
        <v>44.73</v>
      </c>
      <c r="AC240">
        <v>45.07</v>
      </c>
      <c r="AE240">
        <v>22.19</v>
      </c>
      <c r="AF240">
        <f t="shared" si="3"/>
        <v>1</v>
      </c>
    </row>
    <row r="241" spans="1:32" x14ac:dyDescent="0.25">
      <c r="A241" s="1">
        <v>39793</v>
      </c>
      <c r="B241">
        <v>23.21</v>
      </c>
      <c r="C241">
        <v>23.65</v>
      </c>
      <c r="D241">
        <v>24.46</v>
      </c>
      <c r="E241">
        <v>22.39</v>
      </c>
      <c r="F241">
        <v>22.61</v>
      </c>
      <c r="G241">
        <v>22.83</v>
      </c>
      <c r="H241">
        <v>18.690000000000001</v>
      </c>
      <c r="I241">
        <v>18.739999999999998</v>
      </c>
      <c r="J241">
        <v>18.79</v>
      </c>
      <c r="K241">
        <v>24.29</v>
      </c>
      <c r="L241">
        <v>24.4</v>
      </c>
      <c r="M241">
        <v>24.51</v>
      </c>
      <c r="P241">
        <v>45.11</v>
      </c>
      <c r="Q241">
        <v>45.78</v>
      </c>
      <c r="R241">
        <v>47.15</v>
      </c>
      <c r="S241">
        <v>49.28</v>
      </c>
      <c r="T241">
        <v>49.57</v>
      </c>
      <c r="U241">
        <v>49.85</v>
      </c>
      <c r="V241">
        <v>42.91</v>
      </c>
      <c r="W241">
        <v>42.95</v>
      </c>
      <c r="X241">
        <v>42.98</v>
      </c>
      <c r="Y241">
        <v>44.91</v>
      </c>
      <c r="Z241">
        <v>44.93</v>
      </c>
      <c r="AA241">
        <v>44.95</v>
      </c>
      <c r="AC241">
        <v>45.11</v>
      </c>
      <c r="AE241">
        <v>22.2</v>
      </c>
      <c r="AF241">
        <f t="shared" si="3"/>
        <v>1</v>
      </c>
    </row>
    <row r="242" spans="1:32" x14ac:dyDescent="0.25">
      <c r="A242" s="1">
        <v>39794</v>
      </c>
      <c r="B242">
        <v>22.69</v>
      </c>
      <c r="C242">
        <v>23.12</v>
      </c>
      <c r="D242">
        <v>23.9</v>
      </c>
      <c r="E242">
        <v>21.77</v>
      </c>
      <c r="F242">
        <v>21.99</v>
      </c>
      <c r="G242">
        <v>22.2</v>
      </c>
      <c r="H242">
        <v>18.37</v>
      </c>
      <c r="I242">
        <v>18.43</v>
      </c>
      <c r="J242">
        <v>18.48</v>
      </c>
      <c r="K242">
        <v>23.71</v>
      </c>
      <c r="L242">
        <v>23.81</v>
      </c>
      <c r="M242">
        <v>23.92</v>
      </c>
      <c r="P242">
        <v>45.37</v>
      </c>
      <c r="Q242">
        <v>46.04</v>
      </c>
      <c r="R242">
        <v>47.41</v>
      </c>
      <c r="S242">
        <v>49.07</v>
      </c>
      <c r="T242">
        <v>49.35</v>
      </c>
      <c r="U242">
        <v>49.64</v>
      </c>
      <c r="V242">
        <v>42.95</v>
      </c>
      <c r="W242">
        <v>42.98</v>
      </c>
      <c r="X242">
        <v>43.01</v>
      </c>
      <c r="Y242">
        <v>45.07</v>
      </c>
      <c r="Z242">
        <v>45.09</v>
      </c>
      <c r="AA242">
        <v>45.1</v>
      </c>
      <c r="AC242">
        <v>45.37</v>
      </c>
      <c r="AE242">
        <v>22.2</v>
      </c>
      <c r="AF242">
        <f t="shared" si="3"/>
        <v>2</v>
      </c>
    </row>
    <row r="243" spans="1:32" x14ac:dyDescent="0.25">
      <c r="A243" s="1">
        <v>39797</v>
      </c>
      <c r="B243">
        <v>22.95</v>
      </c>
      <c r="C243">
        <v>23.38</v>
      </c>
      <c r="D243">
        <v>24.18</v>
      </c>
      <c r="E243">
        <v>21.87</v>
      </c>
      <c r="F243">
        <v>22.09</v>
      </c>
      <c r="G243">
        <v>22.31</v>
      </c>
      <c r="H243">
        <v>18.53</v>
      </c>
      <c r="I243">
        <v>18.59</v>
      </c>
      <c r="J243">
        <v>18.64</v>
      </c>
      <c r="K243">
        <v>23.89</v>
      </c>
      <c r="L243">
        <v>23.99</v>
      </c>
      <c r="M243">
        <v>24.1</v>
      </c>
      <c r="P243">
        <v>45.37</v>
      </c>
      <c r="Q243">
        <v>46.04</v>
      </c>
      <c r="R243">
        <v>47.41</v>
      </c>
      <c r="S243">
        <v>49.28</v>
      </c>
      <c r="T243">
        <v>49.56</v>
      </c>
      <c r="U243">
        <v>49.85</v>
      </c>
      <c r="V243">
        <v>43.06</v>
      </c>
      <c r="W243">
        <v>43.09</v>
      </c>
      <c r="X243">
        <v>43.12</v>
      </c>
      <c r="Y243">
        <v>45.18</v>
      </c>
      <c r="Z243">
        <v>45.19</v>
      </c>
      <c r="AA243">
        <v>45.21</v>
      </c>
      <c r="AC243">
        <v>45.37</v>
      </c>
      <c r="AE243">
        <v>22.2</v>
      </c>
      <c r="AF243">
        <f t="shared" si="3"/>
        <v>3</v>
      </c>
    </row>
    <row r="244" spans="1:32" x14ac:dyDescent="0.25">
      <c r="A244" s="1">
        <v>39798</v>
      </c>
      <c r="B244">
        <v>23.28</v>
      </c>
      <c r="C244">
        <v>23.72</v>
      </c>
      <c r="D244">
        <v>24.53</v>
      </c>
      <c r="E244">
        <v>22.27</v>
      </c>
      <c r="F244">
        <v>22.49</v>
      </c>
      <c r="G244">
        <v>22.71</v>
      </c>
      <c r="H244">
        <v>18.91</v>
      </c>
      <c r="I244">
        <v>18.96</v>
      </c>
      <c r="J244">
        <v>19.010000000000002</v>
      </c>
      <c r="K244">
        <v>24.52</v>
      </c>
      <c r="L244">
        <v>24.64</v>
      </c>
      <c r="M244">
        <v>24.75</v>
      </c>
      <c r="P244">
        <v>45.92</v>
      </c>
      <c r="Q244">
        <v>46.58</v>
      </c>
      <c r="R244">
        <v>47.94</v>
      </c>
      <c r="S244">
        <v>53.25</v>
      </c>
      <c r="T244">
        <v>53.53</v>
      </c>
      <c r="U244">
        <v>53.81</v>
      </c>
      <c r="V244">
        <v>44.11</v>
      </c>
      <c r="W244">
        <v>44.14</v>
      </c>
      <c r="X244">
        <v>44.16</v>
      </c>
      <c r="Y244">
        <v>45.87</v>
      </c>
      <c r="Z244">
        <v>45.88</v>
      </c>
      <c r="AA244">
        <v>45.89</v>
      </c>
      <c r="AC244">
        <v>45.92</v>
      </c>
      <c r="AE244">
        <v>22.23</v>
      </c>
      <c r="AF244">
        <f t="shared" si="3"/>
        <v>1</v>
      </c>
    </row>
    <row r="245" spans="1:32" x14ac:dyDescent="0.25">
      <c r="A245" s="1">
        <v>39799</v>
      </c>
      <c r="B245">
        <v>23.22</v>
      </c>
      <c r="C245">
        <v>23.66</v>
      </c>
      <c r="D245">
        <v>24.47</v>
      </c>
      <c r="E245">
        <v>22.57</v>
      </c>
      <c r="F245">
        <v>22.79</v>
      </c>
      <c r="G245">
        <v>23.02</v>
      </c>
      <c r="H245">
        <v>19.059999999999999</v>
      </c>
      <c r="I245">
        <v>19.12</v>
      </c>
      <c r="J245">
        <v>19.170000000000002</v>
      </c>
      <c r="K245">
        <v>24.8</v>
      </c>
      <c r="L245">
        <v>24.91</v>
      </c>
      <c r="M245">
        <v>25.02</v>
      </c>
      <c r="P245">
        <v>46.19</v>
      </c>
      <c r="Q245">
        <v>46.85</v>
      </c>
      <c r="R245">
        <v>48.22</v>
      </c>
      <c r="S245">
        <v>53.47</v>
      </c>
      <c r="T245">
        <v>53.75</v>
      </c>
      <c r="U245">
        <v>54.03</v>
      </c>
      <c r="V245">
        <v>43.93</v>
      </c>
      <c r="W245">
        <v>43.95</v>
      </c>
      <c r="X245">
        <v>43.97</v>
      </c>
      <c r="Y245">
        <v>45.58</v>
      </c>
      <c r="Z245">
        <v>45.58</v>
      </c>
      <c r="AA245">
        <v>45.59</v>
      </c>
      <c r="AC245">
        <v>46.19</v>
      </c>
      <c r="AE245">
        <v>22.23</v>
      </c>
      <c r="AF245">
        <f t="shared" si="3"/>
        <v>2</v>
      </c>
    </row>
    <row r="246" spans="1:32" x14ac:dyDescent="0.25">
      <c r="A246" s="1">
        <v>39800</v>
      </c>
      <c r="B246">
        <v>22.98</v>
      </c>
      <c r="C246">
        <v>23.42</v>
      </c>
      <c r="D246">
        <v>24.21</v>
      </c>
      <c r="E246">
        <v>22.31</v>
      </c>
      <c r="F246">
        <v>22.53</v>
      </c>
      <c r="G246">
        <v>22.76</v>
      </c>
      <c r="H246">
        <v>18.88</v>
      </c>
      <c r="I246">
        <v>18.93</v>
      </c>
      <c r="J246">
        <v>18.98</v>
      </c>
      <c r="K246">
        <v>24.36</v>
      </c>
      <c r="L246">
        <v>24.47</v>
      </c>
      <c r="M246">
        <v>24.58</v>
      </c>
      <c r="P246">
        <v>46.78</v>
      </c>
      <c r="Q246">
        <v>47.44</v>
      </c>
      <c r="R246">
        <v>48.83</v>
      </c>
      <c r="S246">
        <v>54.31</v>
      </c>
      <c r="T246">
        <v>54.59</v>
      </c>
      <c r="U246">
        <v>54.88</v>
      </c>
      <c r="V246">
        <v>44.44</v>
      </c>
      <c r="W246">
        <v>44.46</v>
      </c>
      <c r="X246">
        <v>44.48</v>
      </c>
      <c r="Y246">
        <v>46.23</v>
      </c>
      <c r="Z246">
        <v>46.23</v>
      </c>
      <c r="AA246">
        <v>46.24</v>
      </c>
      <c r="AC246">
        <v>46.78</v>
      </c>
      <c r="AE246">
        <v>22.24</v>
      </c>
      <c r="AF246">
        <f t="shared" si="3"/>
        <v>1</v>
      </c>
    </row>
    <row r="247" spans="1:32" x14ac:dyDescent="0.25">
      <c r="A247" s="1">
        <v>39801</v>
      </c>
      <c r="B247">
        <v>22.83</v>
      </c>
      <c r="C247">
        <v>23.27</v>
      </c>
      <c r="D247">
        <v>24.06</v>
      </c>
      <c r="E247">
        <v>22.3</v>
      </c>
      <c r="F247">
        <v>22.52</v>
      </c>
      <c r="G247">
        <v>22.75</v>
      </c>
      <c r="H247">
        <v>18.670000000000002</v>
      </c>
      <c r="I247">
        <v>18.72</v>
      </c>
      <c r="J247">
        <v>18.77</v>
      </c>
      <c r="K247">
        <v>23.71</v>
      </c>
      <c r="L247">
        <v>23.82</v>
      </c>
      <c r="M247">
        <v>23.92</v>
      </c>
      <c r="P247">
        <v>48.08</v>
      </c>
      <c r="Q247">
        <v>48.76</v>
      </c>
      <c r="R247">
        <v>50.19</v>
      </c>
      <c r="S247">
        <v>55.41</v>
      </c>
      <c r="T247">
        <v>55.7</v>
      </c>
      <c r="U247">
        <v>55.99</v>
      </c>
      <c r="V247">
        <v>45.34</v>
      </c>
      <c r="W247">
        <v>45.36</v>
      </c>
      <c r="X247">
        <v>45.38</v>
      </c>
      <c r="Y247">
        <v>47.85</v>
      </c>
      <c r="Z247">
        <v>47.85</v>
      </c>
      <c r="AA247">
        <v>47.86</v>
      </c>
      <c r="AC247">
        <v>48.08</v>
      </c>
      <c r="AE247">
        <v>22.24</v>
      </c>
      <c r="AF247">
        <f t="shared" si="3"/>
        <v>2</v>
      </c>
    </row>
    <row r="248" spans="1:32" x14ac:dyDescent="0.25">
      <c r="A248" s="1">
        <v>39804</v>
      </c>
      <c r="B248">
        <v>22.62</v>
      </c>
      <c r="C248">
        <v>23.05</v>
      </c>
      <c r="D248">
        <v>23.84</v>
      </c>
      <c r="E248">
        <v>22.3</v>
      </c>
      <c r="F248">
        <v>22.52</v>
      </c>
      <c r="G248">
        <v>22.75</v>
      </c>
      <c r="H248">
        <v>18.690000000000001</v>
      </c>
      <c r="I248">
        <v>18.739999999999998</v>
      </c>
      <c r="J248">
        <v>18.79</v>
      </c>
      <c r="K248">
        <v>23</v>
      </c>
      <c r="L248">
        <v>23.11</v>
      </c>
      <c r="M248">
        <v>23.22</v>
      </c>
      <c r="P248">
        <v>48.97</v>
      </c>
      <c r="Q248">
        <v>49.66</v>
      </c>
      <c r="R248">
        <v>51.11</v>
      </c>
      <c r="S248">
        <v>56.19</v>
      </c>
      <c r="T248">
        <v>56.48</v>
      </c>
      <c r="U248">
        <v>56.77</v>
      </c>
      <c r="V248">
        <v>46.52</v>
      </c>
      <c r="W248">
        <v>46.54</v>
      </c>
      <c r="X248">
        <v>46.56</v>
      </c>
      <c r="Y248">
        <v>48.25</v>
      </c>
      <c r="Z248">
        <v>48.26</v>
      </c>
      <c r="AA248">
        <v>48.26</v>
      </c>
      <c r="AC248">
        <v>48.97</v>
      </c>
      <c r="AE248">
        <v>22.24</v>
      </c>
      <c r="AF248">
        <f t="shared" si="3"/>
        <v>3</v>
      </c>
    </row>
    <row r="249" spans="1:32" x14ac:dyDescent="0.25">
      <c r="A249" s="1">
        <v>39805</v>
      </c>
      <c r="B249">
        <v>22.7</v>
      </c>
      <c r="C249">
        <v>23.13</v>
      </c>
      <c r="D249">
        <v>23.92</v>
      </c>
      <c r="E249">
        <v>22.71</v>
      </c>
      <c r="F249">
        <v>22.94</v>
      </c>
      <c r="G249">
        <v>23.17</v>
      </c>
      <c r="H249">
        <v>18.899999999999999</v>
      </c>
      <c r="I249">
        <v>18.96</v>
      </c>
      <c r="J249">
        <v>19.010000000000002</v>
      </c>
      <c r="K249">
        <v>23.32</v>
      </c>
      <c r="L249">
        <v>23.43</v>
      </c>
      <c r="M249">
        <v>23.54</v>
      </c>
      <c r="P249">
        <v>49.17</v>
      </c>
      <c r="Q249">
        <v>49.87</v>
      </c>
      <c r="R249">
        <v>51.32</v>
      </c>
      <c r="S249">
        <v>56.65</v>
      </c>
      <c r="T249">
        <v>56.94</v>
      </c>
      <c r="U249">
        <v>57.24</v>
      </c>
      <c r="V249">
        <v>46.76</v>
      </c>
      <c r="W249">
        <v>46.78</v>
      </c>
      <c r="X249">
        <v>46.8</v>
      </c>
      <c r="Y249">
        <v>48.69</v>
      </c>
      <c r="Z249">
        <v>48.69</v>
      </c>
      <c r="AA249">
        <v>48.69</v>
      </c>
      <c r="AC249">
        <v>49.17</v>
      </c>
      <c r="AE249">
        <v>22.27</v>
      </c>
      <c r="AF249">
        <f t="shared" si="3"/>
        <v>1</v>
      </c>
    </row>
    <row r="250" spans="1:32" x14ac:dyDescent="0.25">
      <c r="A250" s="1">
        <v>39811</v>
      </c>
      <c r="B250">
        <v>22.84</v>
      </c>
      <c r="C250">
        <v>23.28</v>
      </c>
      <c r="D250">
        <v>24.08</v>
      </c>
      <c r="E250">
        <v>23.14</v>
      </c>
      <c r="F250">
        <v>23.37</v>
      </c>
      <c r="G250">
        <v>23.61</v>
      </c>
      <c r="H250">
        <v>19.13</v>
      </c>
      <c r="I250">
        <v>19.190000000000001</v>
      </c>
      <c r="J250">
        <v>19.239999999999998</v>
      </c>
      <c r="K250">
        <v>23.85</v>
      </c>
      <c r="L250">
        <v>23.96</v>
      </c>
      <c r="M250">
        <v>24.08</v>
      </c>
      <c r="P250">
        <v>49.68</v>
      </c>
      <c r="Q250">
        <v>50.39</v>
      </c>
      <c r="R250">
        <v>51.85</v>
      </c>
      <c r="S250">
        <v>56.86</v>
      </c>
      <c r="T250">
        <v>57.15</v>
      </c>
      <c r="U250">
        <v>57.44</v>
      </c>
      <c r="V250">
        <v>47.14</v>
      </c>
      <c r="W250">
        <v>47.16</v>
      </c>
      <c r="X250">
        <v>47.17</v>
      </c>
      <c r="Y250">
        <v>49.27</v>
      </c>
      <c r="Z250">
        <v>49.28</v>
      </c>
      <c r="AA250">
        <v>49.28</v>
      </c>
      <c r="AC250">
        <v>49.68</v>
      </c>
      <c r="AE250">
        <v>22.27</v>
      </c>
      <c r="AF250">
        <f t="shared" si="3"/>
        <v>2</v>
      </c>
    </row>
    <row r="251" spans="1:32" x14ac:dyDescent="0.25">
      <c r="A251" s="1">
        <v>39812</v>
      </c>
      <c r="B251">
        <v>22.94</v>
      </c>
      <c r="C251">
        <v>23.37</v>
      </c>
      <c r="D251">
        <v>24.18</v>
      </c>
      <c r="E251">
        <v>22.95</v>
      </c>
      <c r="F251">
        <v>23.18</v>
      </c>
      <c r="G251">
        <v>23.41</v>
      </c>
      <c r="H251">
        <v>19</v>
      </c>
      <c r="I251">
        <v>19.05</v>
      </c>
      <c r="J251">
        <v>19.11</v>
      </c>
      <c r="K251">
        <v>24.12</v>
      </c>
      <c r="L251">
        <v>24.23</v>
      </c>
      <c r="M251">
        <v>24.35</v>
      </c>
      <c r="P251">
        <v>50.42</v>
      </c>
      <c r="Q251">
        <v>51.13</v>
      </c>
      <c r="R251">
        <v>52.62</v>
      </c>
      <c r="S251">
        <v>57.92</v>
      </c>
      <c r="T251">
        <v>58.22</v>
      </c>
      <c r="U251">
        <v>58.51</v>
      </c>
      <c r="V251">
        <v>48.04</v>
      </c>
      <c r="W251">
        <v>48.06</v>
      </c>
      <c r="X251">
        <v>48.08</v>
      </c>
      <c r="Y251">
        <v>50.07</v>
      </c>
      <c r="Z251">
        <v>50.07</v>
      </c>
      <c r="AA251">
        <v>50.07</v>
      </c>
      <c r="AC251">
        <v>50.42</v>
      </c>
      <c r="AE251">
        <v>22.29</v>
      </c>
      <c r="AF251">
        <f t="shared" si="3"/>
        <v>1</v>
      </c>
    </row>
    <row r="252" spans="1:32" x14ac:dyDescent="0.25">
      <c r="A252" s="1">
        <v>39813</v>
      </c>
      <c r="B252">
        <v>23.08</v>
      </c>
      <c r="C252">
        <v>23.52</v>
      </c>
      <c r="D252">
        <v>24.33</v>
      </c>
      <c r="E252">
        <v>23.23</v>
      </c>
      <c r="F252">
        <v>23.46</v>
      </c>
      <c r="G252">
        <v>23.7</v>
      </c>
      <c r="H252">
        <v>19.190000000000001</v>
      </c>
      <c r="I252">
        <v>19.239999999999998</v>
      </c>
      <c r="J252">
        <v>19.3</v>
      </c>
      <c r="K252">
        <v>24.66</v>
      </c>
      <c r="L252">
        <v>24.77</v>
      </c>
      <c r="M252">
        <v>24.89</v>
      </c>
      <c r="P252">
        <v>50.9</v>
      </c>
      <c r="Q252">
        <v>51.62</v>
      </c>
      <c r="R252">
        <v>53.12</v>
      </c>
      <c r="S252">
        <v>58.66</v>
      </c>
      <c r="T252">
        <v>58.96</v>
      </c>
      <c r="U252">
        <v>59.26</v>
      </c>
      <c r="V252">
        <v>48.15</v>
      </c>
      <c r="W252">
        <v>48.17</v>
      </c>
      <c r="X252">
        <v>48.19</v>
      </c>
      <c r="Y252">
        <v>50.23</v>
      </c>
      <c r="Z252">
        <v>50.23</v>
      </c>
      <c r="AA252">
        <v>50.23</v>
      </c>
      <c r="AC252">
        <v>50.9</v>
      </c>
      <c r="AE252">
        <v>22.29</v>
      </c>
      <c r="AF252">
        <f t="shared" si="3"/>
        <v>2</v>
      </c>
    </row>
    <row r="253" spans="1:32" x14ac:dyDescent="0.25">
      <c r="AC253" cm="1">
        <f t="array" ref="AC253:AC503">Q2:Q252</f>
        <v>21.21</v>
      </c>
      <c r="AE253">
        <v>22.3</v>
      </c>
      <c r="AF253">
        <f t="shared" si="3"/>
        <v>1</v>
      </c>
    </row>
    <row r="254" spans="1:32" x14ac:dyDescent="0.25">
      <c r="AC254">
        <v>21.57</v>
      </c>
      <c r="AE254">
        <v>22.3</v>
      </c>
      <c r="AF254">
        <f t="shared" si="3"/>
        <v>2</v>
      </c>
    </row>
    <row r="255" spans="1:32" x14ac:dyDescent="0.25">
      <c r="AC255">
        <v>22.29</v>
      </c>
      <c r="AE255">
        <v>22.31</v>
      </c>
      <c r="AF255">
        <f t="shared" si="3"/>
        <v>1</v>
      </c>
    </row>
    <row r="256" spans="1:32" x14ac:dyDescent="0.25">
      <c r="AC256">
        <v>22.56</v>
      </c>
      <c r="AE256">
        <v>22.31</v>
      </c>
      <c r="AF256">
        <f t="shared" si="3"/>
        <v>2</v>
      </c>
    </row>
    <row r="257" spans="29:32" x14ac:dyDescent="0.25">
      <c r="AC257">
        <v>22.64</v>
      </c>
      <c r="AE257">
        <v>22.31</v>
      </c>
      <c r="AF257">
        <f t="shared" si="3"/>
        <v>3</v>
      </c>
    </row>
    <row r="258" spans="29:32" x14ac:dyDescent="0.25">
      <c r="AC258">
        <v>22.64</v>
      </c>
      <c r="AE258">
        <v>22.32</v>
      </c>
      <c r="AF258">
        <f t="shared" si="3"/>
        <v>1</v>
      </c>
    </row>
    <row r="259" spans="29:32" x14ac:dyDescent="0.25">
      <c r="AC259">
        <v>22.69</v>
      </c>
      <c r="AE259">
        <v>22.34</v>
      </c>
      <c r="AF259">
        <f t="shared" si="3"/>
        <v>1</v>
      </c>
    </row>
    <row r="260" spans="29:32" x14ac:dyDescent="0.25">
      <c r="AC260">
        <v>22.73</v>
      </c>
      <c r="AE260">
        <v>22.35</v>
      </c>
      <c r="AF260">
        <f t="shared" ref="AF260:AF323" si="4">IF(AE260=AE259,AF259+1,1)</f>
        <v>1</v>
      </c>
    </row>
    <row r="261" spans="29:32" x14ac:dyDescent="0.25">
      <c r="AC261">
        <v>22.77</v>
      </c>
      <c r="AE261">
        <v>22.36</v>
      </c>
      <c r="AF261">
        <f t="shared" si="4"/>
        <v>1</v>
      </c>
    </row>
    <row r="262" spans="29:32" x14ac:dyDescent="0.25">
      <c r="AC262">
        <v>22.94</v>
      </c>
      <c r="AE262">
        <v>22.36</v>
      </c>
      <c r="AF262">
        <f t="shared" si="4"/>
        <v>2</v>
      </c>
    </row>
    <row r="263" spans="29:32" x14ac:dyDescent="0.25">
      <c r="AC263">
        <v>22.99</v>
      </c>
      <c r="AE263">
        <v>22.37</v>
      </c>
      <c r="AF263">
        <f t="shared" si="4"/>
        <v>1</v>
      </c>
    </row>
    <row r="264" spans="29:32" x14ac:dyDescent="0.25">
      <c r="AC264">
        <v>23.05</v>
      </c>
      <c r="AE264">
        <v>22.39</v>
      </c>
      <c r="AF264">
        <f t="shared" si="4"/>
        <v>1</v>
      </c>
    </row>
    <row r="265" spans="29:32" x14ac:dyDescent="0.25">
      <c r="AC265">
        <v>23.1</v>
      </c>
      <c r="AE265">
        <v>22.41</v>
      </c>
      <c r="AF265">
        <f t="shared" si="4"/>
        <v>1</v>
      </c>
    </row>
    <row r="266" spans="29:32" x14ac:dyDescent="0.25">
      <c r="AC266">
        <v>23.12</v>
      </c>
      <c r="AE266">
        <v>22.41</v>
      </c>
      <c r="AF266">
        <f t="shared" si="4"/>
        <v>2</v>
      </c>
    </row>
    <row r="267" spans="29:32" x14ac:dyDescent="0.25">
      <c r="AC267">
        <v>23.12</v>
      </c>
      <c r="AE267">
        <v>22.41</v>
      </c>
      <c r="AF267">
        <f t="shared" si="4"/>
        <v>3</v>
      </c>
    </row>
    <row r="268" spans="29:32" x14ac:dyDescent="0.25">
      <c r="AC268">
        <v>23.13</v>
      </c>
      <c r="AE268">
        <v>22.42</v>
      </c>
      <c r="AF268">
        <f t="shared" si="4"/>
        <v>1</v>
      </c>
    </row>
    <row r="269" spans="29:32" x14ac:dyDescent="0.25">
      <c r="AC269">
        <v>23.21</v>
      </c>
      <c r="AE269">
        <v>22.45</v>
      </c>
      <c r="AF269">
        <f t="shared" si="4"/>
        <v>1</v>
      </c>
    </row>
    <row r="270" spans="29:32" x14ac:dyDescent="0.25">
      <c r="AC270">
        <v>23.23</v>
      </c>
      <c r="AE270">
        <v>22.45</v>
      </c>
      <c r="AF270">
        <f t="shared" si="4"/>
        <v>2</v>
      </c>
    </row>
    <row r="271" spans="29:32" x14ac:dyDescent="0.25">
      <c r="AC271">
        <v>23.25</v>
      </c>
      <c r="AE271">
        <v>22.45</v>
      </c>
      <c r="AF271">
        <f t="shared" si="4"/>
        <v>3</v>
      </c>
    </row>
    <row r="272" spans="29:32" x14ac:dyDescent="0.25">
      <c r="AC272">
        <v>23.27</v>
      </c>
      <c r="AE272">
        <v>22.48</v>
      </c>
      <c r="AF272">
        <f t="shared" si="4"/>
        <v>1</v>
      </c>
    </row>
    <row r="273" spans="29:32" x14ac:dyDescent="0.25">
      <c r="AC273">
        <v>23.28</v>
      </c>
      <c r="AE273">
        <v>22.48</v>
      </c>
      <c r="AF273">
        <f t="shared" si="4"/>
        <v>2</v>
      </c>
    </row>
    <row r="274" spans="29:32" x14ac:dyDescent="0.25">
      <c r="AC274">
        <v>23.37</v>
      </c>
      <c r="AE274">
        <v>22.49</v>
      </c>
      <c r="AF274">
        <f t="shared" si="4"/>
        <v>1</v>
      </c>
    </row>
    <row r="275" spans="29:32" x14ac:dyDescent="0.25">
      <c r="AC275">
        <v>23.38</v>
      </c>
      <c r="AE275">
        <v>22.51</v>
      </c>
      <c r="AF275">
        <f t="shared" si="4"/>
        <v>1</v>
      </c>
    </row>
    <row r="276" spans="29:32" x14ac:dyDescent="0.25">
      <c r="AC276">
        <v>23.42</v>
      </c>
      <c r="AE276">
        <v>22.52</v>
      </c>
      <c r="AF276">
        <f t="shared" si="4"/>
        <v>1</v>
      </c>
    </row>
    <row r="277" spans="29:32" x14ac:dyDescent="0.25">
      <c r="AC277">
        <v>23.49</v>
      </c>
      <c r="AE277">
        <v>22.52</v>
      </c>
      <c r="AF277">
        <f t="shared" si="4"/>
        <v>2</v>
      </c>
    </row>
    <row r="278" spans="29:32" x14ac:dyDescent="0.25">
      <c r="AC278">
        <v>23.52</v>
      </c>
      <c r="AE278">
        <v>22.53</v>
      </c>
      <c r="AF278">
        <f t="shared" si="4"/>
        <v>1</v>
      </c>
    </row>
    <row r="279" spans="29:32" x14ac:dyDescent="0.25">
      <c r="AC279">
        <v>23.55</v>
      </c>
      <c r="AE279">
        <v>22.53</v>
      </c>
      <c r="AF279">
        <f t="shared" si="4"/>
        <v>2</v>
      </c>
    </row>
    <row r="280" spans="29:32" x14ac:dyDescent="0.25">
      <c r="AC280">
        <v>23.61</v>
      </c>
      <c r="AE280">
        <v>22.54</v>
      </c>
      <c r="AF280">
        <f t="shared" si="4"/>
        <v>1</v>
      </c>
    </row>
    <row r="281" spans="29:32" x14ac:dyDescent="0.25">
      <c r="AC281">
        <v>23.64</v>
      </c>
      <c r="AE281">
        <v>22.56</v>
      </c>
      <c r="AF281">
        <f t="shared" si="4"/>
        <v>1</v>
      </c>
    </row>
    <row r="282" spans="29:32" x14ac:dyDescent="0.25">
      <c r="AC282">
        <v>23.65</v>
      </c>
      <c r="AE282">
        <v>22.57</v>
      </c>
      <c r="AF282">
        <f t="shared" si="4"/>
        <v>1</v>
      </c>
    </row>
    <row r="283" spans="29:32" x14ac:dyDescent="0.25">
      <c r="AC283">
        <v>23.66</v>
      </c>
      <c r="AE283">
        <v>22.57</v>
      </c>
      <c r="AF283">
        <f t="shared" si="4"/>
        <v>2</v>
      </c>
    </row>
    <row r="284" spans="29:32" x14ac:dyDescent="0.25">
      <c r="AC284">
        <v>23.66</v>
      </c>
      <c r="AE284">
        <v>22.57</v>
      </c>
      <c r="AF284">
        <f t="shared" si="4"/>
        <v>3</v>
      </c>
    </row>
    <row r="285" spans="29:32" x14ac:dyDescent="0.25">
      <c r="AC285">
        <v>23.72</v>
      </c>
      <c r="AE285">
        <v>22.57</v>
      </c>
      <c r="AF285">
        <f t="shared" si="4"/>
        <v>4</v>
      </c>
    </row>
    <row r="286" spans="29:32" x14ac:dyDescent="0.25">
      <c r="AC286">
        <v>23.72</v>
      </c>
      <c r="AE286">
        <v>22.58</v>
      </c>
      <c r="AF286">
        <f t="shared" si="4"/>
        <v>1</v>
      </c>
    </row>
    <row r="287" spans="29:32" x14ac:dyDescent="0.25">
      <c r="AC287">
        <v>23.98</v>
      </c>
      <c r="AE287">
        <v>22.58</v>
      </c>
      <c r="AF287">
        <f t="shared" si="4"/>
        <v>2</v>
      </c>
    </row>
    <row r="288" spans="29:32" x14ac:dyDescent="0.25">
      <c r="AC288">
        <v>24.02</v>
      </c>
      <c r="AE288">
        <v>22.61</v>
      </c>
      <c r="AF288">
        <f t="shared" si="4"/>
        <v>1</v>
      </c>
    </row>
    <row r="289" spans="29:32" x14ac:dyDescent="0.25">
      <c r="AC289">
        <v>24.11</v>
      </c>
      <c r="AE289">
        <v>22.61</v>
      </c>
      <c r="AF289">
        <f t="shared" si="4"/>
        <v>2</v>
      </c>
    </row>
    <row r="290" spans="29:32" x14ac:dyDescent="0.25">
      <c r="AC290">
        <v>24.52</v>
      </c>
      <c r="AE290">
        <v>22.62</v>
      </c>
      <c r="AF290">
        <f t="shared" si="4"/>
        <v>1</v>
      </c>
    </row>
    <row r="291" spans="29:32" x14ac:dyDescent="0.25">
      <c r="AC291">
        <v>24.66</v>
      </c>
      <c r="AE291">
        <v>22.63</v>
      </c>
      <c r="AF291">
        <f t="shared" si="4"/>
        <v>1</v>
      </c>
    </row>
    <row r="292" spans="29:32" x14ac:dyDescent="0.25">
      <c r="AC292">
        <v>24.68</v>
      </c>
      <c r="AE292">
        <v>22.63</v>
      </c>
      <c r="AF292">
        <f t="shared" si="4"/>
        <v>2</v>
      </c>
    </row>
    <row r="293" spans="29:32" x14ac:dyDescent="0.25">
      <c r="AC293">
        <v>25.24</v>
      </c>
      <c r="AE293">
        <v>22.64</v>
      </c>
      <c r="AF293">
        <f t="shared" si="4"/>
        <v>1</v>
      </c>
    </row>
    <row r="294" spans="29:32" x14ac:dyDescent="0.25">
      <c r="AC294">
        <v>25.27</v>
      </c>
      <c r="AE294">
        <v>22.64</v>
      </c>
      <c r="AF294">
        <f t="shared" si="4"/>
        <v>2</v>
      </c>
    </row>
    <row r="295" spans="29:32" x14ac:dyDescent="0.25">
      <c r="AC295">
        <v>25.28</v>
      </c>
      <c r="AE295">
        <v>22.64</v>
      </c>
      <c r="AF295">
        <f t="shared" si="4"/>
        <v>3</v>
      </c>
    </row>
    <row r="296" spans="29:32" x14ac:dyDescent="0.25">
      <c r="AC296">
        <v>25.5</v>
      </c>
      <c r="AE296">
        <v>22.65</v>
      </c>
      <c r="AF296">
        <f t="shared" si="4"/>
        <v>1</v>
      </c>
    </row>
    <row r="297" spans="29:32" x14ac:dyDescent="0.25">
      <c r="AC297">
        <v>25.68</v>
      </c>
      <c r="AE297">
        <v>22.65</v>
      </c>
      <c r="AF297">
        <f t="shared" si="4"/>
        <v>2</v>
      </c>
    </row>
    <row r="298" spans="29:32" x14ac:dyDescent="0.25">
      <c r="AC298">
        <v>25.68</v>
      </c>
      <c r="AE298">
        <v>22.65</v>
      </c>
      <c r="AF298">
        <f t="shared" si="4"/>
        <v>3</v>
      </c>
    </row>
    <row r="299" spans="29:32" x14ac:dyDescent="0.25">
      <c r="AC299">
        <v>25.75</v>
      </c>
      <c r="AE299">
        <v>22.68</v>
      </c>
      <c r="AF299">
        <f t="shared" si="4"/>
        <v>1</v>
      </c>
    </row>
    <row r="300" spans="29:32" x14ac:dyDescent="0.25">
      <c r="AC300">
        <v>25.84</v>
      </c>
      <c r="AE300">
        <v>22.69</v>
      </c>
      <c r="AF300">
        <f t="shared" si="4"/>
        <v>1</v>
      </c>
    </row>
    <row r="301" spans="29:32" x14ac:dyDescent="0.25">
      <c r="AC301">
        <v>26.08</v>
      </c>
      <c r="AE301">
        <v>22.69</v>
      </c>
      <c r="AF301">
        <f t="shared" si="4"/>
        <v>2</v>
      </c>
    </row>
    <row r="302" spans="29:32" x14ac:dyDescent="0.25">
      <c r="AC302">
        <v>26.17</v>
      </c>
      <c r="AE302">
        <v>22.69</v>
      </c>
      <c r="AF302">
        <f t="shared" si="4"/>
        <v>3</v>
      </c>
    </row>
    <row r="303" spans="29:32" x14ac:dyDescent="0.25">
      <c r="AC303">
        <v>26.8</v>
      </c>
      <c r="AE303">
        <v>22.7</v>
      </c>
      <c r="AF303">
        <f t="shared" si="4"/>
        <v>1</v>
      </c>
    </row>
    <row r="304" spans="29:32" x14ac:dyDescent="0.25">
      <c r="AC304">
        <v>27.04</v>
      </c>
      <c r="AE304">
        <v>22.7</v>
      </c>
      <c r="AF304">
        <f t="shared" si="4"/>
        <v>2</v>
      </c>
    </row>
    <row r="305" spans="29:32" x14ac:dyDescent="0.25">
      <c r="AC305">
        <v>27.58</v>
      </c>
      <c r="AE305">
        <v>22.71</v>
      </c>
      <c r="AF305">
        <f t="shared" si="4"/>
        <v>1</v>
      </c>
    </row>
    <row r="306" spans="29:32" x14ac:dyDescent="0.25">
      <c r="AC306">
        <v>28.25</v>
      </c>
      <c r="AE306">
        <v>22.71</v>
      </c>
      <c r="AF306">
        <f t="shared" si="4"/>
        <v>2</v>
      </c>
    </row>
    <row r="307" spans="29:32" x14ac:dyDescent="0.25">
      <c r="AC307">
        <v>29.46</v>
      </c>
      <c r="AE307">
        <v>22.71</v>
      </c>
      <c r="AF307">
        <f t="shared" si="4"/>
        <v>3</v>
      </c>
    </row>
    <row r="308" spans="29:32" x14ac:dyDescent="0.25">
      <c r="AC308">
        <v>29.53</v>
      </c>
      <c r="AE308">
        <v>22.73</v>
      </c>
      <c r="AF308">
        <f t="shared" si="4"/>
        <v>1</v>
      </c>
    </row>
    <row r="309" spans="29:32" x14ac:dyDescent="0.25">
      <c r="AC309">
        <v>29.94</v>
      </c>
      <c r="AE309">
        <v>22.74</v>
      </c>
      <c r="AF309">
        <f t="shared" si="4"/>
        <v>1</v>
      </c>
    </row>
    <row r="310" spans="29:32" x14ac:dyDescent="0.25">
      <c r="AC310">
        <v>31.13</v>
      </c>
      <c r="AE310">
        <v>22.75</v>
      </c>
      <c r="AF310">
        <f t="shared" si="4"/>
        <v>1</v>
      </c>
    </row>
    <row r="311" spans="29:32" x14ac:dyDescent="0.25">
      <c r="AC311">
        <v>31.92</v>
      </c>
      <c r="AE311">
        <v>22.75</v>
      </c>
      <c r="AF311">
        <f t="shared" si="4"/>
        <v>2</v>
      </c>
    </row>
    <row r="312" spans="29:32" x14ac:dyDescent="0.25">
      <c r="AC312">
        <v>33.81</v>
      </c>
      <c r="AE312">
        <v>22.76</v>
      </c>
      <c r="AF312">
        <f t="shared" si="4"/>
        <v>1</v>
      </c>
    </row>
    <row r="313" spans="29:32" x14ac:dyDescent="0.25">
      <c r="AC313">
        <v>33.869999999999997</v>
      </c>
      <c r="AE313">
        <v>22.77</v>
      </c>
      <c r="AF313">
        <f t="shared" si="4"/>
        <v>1</v>
      </c>
    </row>
    <row r="314" spans="29:32" x14ac:dyDescent="0.25">
      <c r="AC314">
        <v>34.01</v>
      </c>
      <c r="AE314">
        <v>22.78</v>
      </c>
      <c r="AF314">
        <f t="shared" si="4"/>
        <v>1</v>
      </c>
    </row>
    <row r="315" spans="29:32" x14ac:dyDescent="0.25">
      <c r="AC315">
        <v>34.11</v>
      </c>
      <c r="AE315">
        <v>22.78</v>
      </c>
      <c r="AF315">
        <f t="shared" si="4"/>
        <v>2</v>
      </c>
    </row>
    <row r="316" spans="29:32" x14ac:dyDescent="0.25">
      <c r="AC316">
        <v>34.200000000000003</v>
      </c>
      <c r="AE316">
        <v>22.79</v>
      </c>
      <c r="AF316">
        <f t="shared" si="4"/>
        <v>1</v>
      </c>
    </row>
    <row r="317" spans="29:32" x14ac:dyDescent="0.25">
      <c r="AC317">
        <v>34.31</v>
      </c>
      <c r="AE317">
        <v>22.8</v>
      </c>
      <c r="AF317">
        <f t="shared" si="4"/>
        <v>1</v>
      </c>
    </row>
    <row r="318" spans="29:32" x14ac:dyDescent="0.25">
      <c r="AC318">
        <v>34.299999999999997</v>
      </c>
      <c r="AE318">
        <v>22.8</v>
      </c>
      <c r="AF318">
        <f t="shared" si="4"/>
        <v>2</v>
      </c>
    </row>
    <row r="319" spans="29:32" x14ac:dyDescent="0.25">
      <c r="AC319">
        <v>34.33</v>
      </c>
      <c r="AE319">
        <v>22.81</v>
      </c>
      <c r="AF319">
        <f t="shared" si="4"/>
        <v>1</v>
      </c>
    </row>
    <row r="320" spans="29:32" x14ac:dyDescent="0.25">
      <c r="AC320">
        <v>34.409999999999997</v>
      </c>
      <c r="AE320">
        <v>22.82</v>
      </c>
      <c r="AF320">
        <f t="shared" si="4"/>
        <v>1</v>
      </c>
    </row>
    <row r="321" spans="29:32" x14ac:dyDescent="0.25">
      <c r="AC321">
        <v>34.630000000000003</v>
      </c>
      <c r="AE321">
        <v>22.83</v>
      </c>
      <c r="AF321">
        <f t="shared" si="4"/>
        <v>1</v>
      </c>
    </row>
    <row r="322" spans="29:32" x14ac:dyDescent="0.25">
      <c r="AC322">
        <v>34.869999999999997</v>
      </c>
      <c r="AE322">
        <v>22.83</v>
      </c>
      <c r="AF322">
        <f t="shared" si="4"/>
        <v>2</v>
      </c>
    </row>
    <row r="323" spans="29:32" x14ac:dyDescent="0.25">
      <c r="AC323">
        <v>34.97</v>
      </c>
      <c r="AE323">
        <v>22.84</v>
      </c>
      <c r="AF323">
        <f t="shared" si="4"/>
        <v>1</v>
      </c>
    </row>
    <row r="324" spans="29:32" x14ac:dyDescent="0.25">
      <c r="AC324">
        <v>35.03</v>
      </c>
      <c r="AE324">
        <v>22.84</v>
      </c>
      <c r="AF324">
        <f t="shared" ref="AF324:AF387" si="5">IF(AE324=AE323,AF323+1,1)</f>
        <v>2</v>
      </c>
    </row>
    <row r="325" spans="29:32" x14ac:dyDescent="0.25">
      <c r="AC325">
        <v>35.1</v>
      </c>
      <c r="AE325">
        <v>22.86</v>
      </c>
      <c r="AF325">
        <f t="shared" si="5"/>
        <v>1</v>
      </c>
    </row>
    <row r="326" spans="29:32" x14ac:dyDescent="0.25">
      <c r="AC326">
        <v>35.409999999999997</v>
      </c>
      <c r="AE326">
        <v>22.88</v>
      </c>
      <c r="AF326">
        <f t="shared" si="5"/>
        <v>1</v>
      </c>
    </row>
    <row r="327" spans="29:32" x14ac:dyDescent="0.25">
      <c r="AC327">
        <v>35.64</v>
      </c>
      <c r="AE327">
        <v>22.9</v>
      </c>
      <c r="AF327">
        <f t="shared" si="5"/>
        <v>1</v>
      </c>
    </row>
    <row r="328" spans="29:32" x14ac:dyDescent="0.25">
      <c r="AC328">
        <v>35.630000000000003</v>
      </c>
      <c r="AE328">
        <v>22.9</v>
      </c>
      <c r="AF328">
        <f t="shared" si="5"/>
        <v>2</v>
      </c>
    </row>
    <row r="329" spans="29:32" x14ac:dyDescent="0.25">
      <c r="AC329">
        <v>35.65</v>
      </c>
      <c r="AE329">
        <v>22.94</v>
      </c>
      <c r="AF329">
        <f t="shared" si="5"/>
        <v>1</v>
      </c>
    </row>
    <row r="330" spans="29:32" x14ac:dyDescent="0.25">
      <c r="AC330">
        <v>35.68</v>
      </c>
      <c r="AE330">
        <v>22.94</v>
      </c>
      <c r="AF330">
        <f t="shared" si="5"/>
        <v>2</v>
      </c>
    </row>
    <row r="331" spans="29:32" x14ac:dyDescent="0.25">
      <c r="AC331">
        <v>35.75</v>
      </c>
      <c r="AE331">
        <v>22.94</v>
      </c>
      <c r="AF331">
        <f t="shared" si="5"/>
        <v>3</v>
      </c>
    </row>
    <row r="332" spans="29:32" x14ac:dyDescent="0.25">
      <c r="AC332">
        <v>35.78</v>
      </c>
      <c r="AE332">
        <v>22.94</v>
      </c>
      <c r="AF332">
        <f t="shared" si="5"/>
        <v>4</v>
      </c>
    </row>
    <row r="333" spans="29:32" x14ac:dyDescent="0.25">
      <c r="AC333">
        <v>35.82</v>
      </c>
      <c r="AE333">
        <v>22.95</v>
      </c>
      <c r="AF333">
        <f t="shared" si="5"/>
        <v>1</v>
      </c>
    </row>
    <row r="334" spans="29:32" x14ac:dyDescent="0.25">
      <c r="AC334">
        <v>35.9</v>
      </c>
      <c r="AE334">
        <v>22.95</v>
      </c>
      <c r="AF334">
        <f t="shared" si="5"/>
        <v>2</v>
      </c>
    </row>
    <row r="335" spans="29:32" x14ac:dyDescent="0.25">
      <c r="AC335">
        <v>36.06</v>
      </c>
      <c r="AE335">
        <v>22.98</v>
      </c>
      <c r="AF335">
        <f t="shared" si="5"/>
        <v>1</v>
      </c>
    </row>
    <row r="336" spans="29:32" x14ac:dyDescent="0.25">
      <c r="AC336">
        <v>36.17</v>
      </c>
      <c r="AE336">
        <v>22.98</v>
      </c>
      <c r="AF336">
        <f t="shared" si="5"/>
        <v>2</v>
      </c>
    </row>
    <row r="337" spans="29:32" x14ac:dyDescent="0.25">
      <c r="AC337">
        <v>36.19</v>
      </c>
      <c r="AE337">
        <v>22.99</v>
      </c>
      <c r="AF337">
        <f t="shared" si="5"/>
        <v>1</v>
      </c>
    </row>
    <row r="338" spans="29:32" x14ac:dyDescent="0.25">
      <c r="AC338">
        <v>36.25</v>
      </c>
      <c r="AE338">
        <v>23</v>
      </c>
      <c r="AF338">
        <f t="shared" si="5"/>
        <v>1</v>
      </c>
    </row>
    <row r="339" spans="29:32" x14ac:dyDescent="0.25">
      <c r="AC339">
        <v>36.409999999999997</v>
      </c>
      <c r="AE339">
        <v>23</v>
      </c>
      <c r="AF339">
        <f t="shared" si="5"/>
        <v>2</v>
      </c>
    </row>
    <row r="340" spans="29:32" x14ac:dyDescent="0.25">
      <c r="AC340">
        <v>36.56</v>
      </c>
      <c r="AE340">
        <v>23.02</v>
      </c>
      <c r="AF340">
        <f t="shared" si="5"/>
        <v>1</v>
      </c>
    </row>
    <row r="341" spans="29:32" x14ac:dyDescent="0.25">
      <c r="AC341">
        <v>36.770000000000003</v>
      </c>
      <c r="AE341">
        <v>23.04</v>
      </c>
      <c r="AF341">
        <f t="shared" si="5"/>
        <v>1</v>
      </c>
    </row>
    <row r="342" spans="29:32" x14ac:dyDescent="0.25">
      <c r="AC342">
        <v>37.11</v>
      </c>
      <c r="AE342">
        <v>23.04</v>
      </c>
      <c r="AF342">
        <f t="shared" si="5"/>
        <v>2</v>
      </c>
    </row>
    <row r="343" spans="29:32" x14ac:dyDescent="0.25">
      <c r="AC343">
        <v>37.11</v>
      </c>
      <c r="AE343">
        <v>23.05</v>
      </c>
      <c r="AF343">
        <f t="shared" si="5"/>
        <v>1</v>
      </c>
    </row>
    <row r="344" spans="29:32" x14ac:dyDescent="0.25">
      <c r="AC344">
        <v>37.19</v>
      </c>
      <c r="AE344">
        <v>23.05</v>
      </c>
      <c r="AF344">
        <f t="shared" si="5"/>
        <v>2</v>
      </c>
    </row>
    <row r="345" spans="29:32" x14ac:dyDescent="0.25">
      <c r="AC345">
        <v>37.21</v>
      </c>
      <c r="AE345">
        <v>23.07</v>
      </c>
      <c r="AF345">
        <f t="shared" si="5"/>
        <v>1</v>
      </c>
    </row>
    <row r="346" spans="29:32" x14ac:dyDescent="0.25">
      <c r="AC346">
        <v>37.229999999999997</v>
      </c>
      <c r="AE346">
        <v>23.08</v>
      </c>
      <c r="AF346">
        <f t="shared" si="5"/>
        <v>1</v>
      </c>
    </row>
    <row r="347" spans="29:32" x14ac:dyDescent="0.25">
      <c r="AC347">
        <v>37.29</v>
      </c>
      <c r="AE347">
        <v>23.1</v>
      </c>
      <c r="AF347">
        <f t="shared" si="5"/>
        <v>1</v>
      </c>
    </row>
    <row r="348" spans="29:32" x14ac:dyDescent="0.25">
      <c r="AC348">
        <v>37.57</v>
      </c>
      <c r="AE348">
        <v>23.11</v>
      </c>
      <c r="AF348">
        <f t="shared" si="5"/>
        <v>1</v>
      </c>
    </row>
    <row r="349" spans="29:32" x14ac:dyDescent="0.25">
      <c r="AC349">
        <v>37.57</v>
      </c>
      <c r="AE349">
        <v>23.11</v>
      </c>
      <c r="AF349">
        <f t="shared" si="5"/>
        <v>2</v>
      </c>
    </row>
    <row r="350" spans="29:32" x14ac:dyDescent="0.25">
      <c r="AC350">
        <v>37.69</v>
      </c>
      <c r="AE350">
        <v>23.11</v>
      </c>
      <c r="AF350">
        <f t="shared" si="5"/>
        <v>3</v>
      </c>
    </row>
    <row r="351" spans="29:32" x14ac:dyDescent="0.25">
      <c r="AC351">
        <v>37.71</v>
      </c>
      <c r="AE351">
        <v>23.12</v>
      </c>
      <c r="AF351">
        <f t="shared" si="5"/>
        <v>1</v>
      </c>
    </row>
    <row r="352" spans="29:32" x14ac:dyDescent="0.25">
      <c r="AC352">
        <v>37.83</v>
      </c>
      <c r="AE352">
        <v>23.12</v>
      </c>
      <c r="AF352">
        <f t="shared" si="5"/>
        <v>2</v>
      </c>
    </row>
    <row r="353" spans="29:32" x14ac:dyDescent="0.25">
      <c r="AC353">
        <v>37.880000000000003</v>
      </c>
      <c r="AE353">
        <v>23.12</v>
      </c>
      <c r="AF353">
        <f t="shared" si="5"/>
        <v>3</v>
      </c>
    </row>
    <row r="354" spans="29:32" x14ac:dyDescent="0.25">
      <c r="AC354">
        <v>38.03</v>
      </c>
      <c r="AE354">
        <v>23.13</v>
      </c>
      <c r="AF354">
        <f t="shared" si="5"/>
        <v>1</v>
      </c>
    </row>
    <row r="355" spans="29:32" x14ac:dyDescent="0.25">
      <c r="AC355">
        <v>38.020000000000003</v>
      </c>
      <c r="AE355">
        <v>23.14</v>
      </c>
      <c r="AF355">
        <f t="shared" si="5"/>
        <v>1</v>
      </c>
    </row>
    <row r="356" spans="29:32" x14ac:dyDescent="0.25">
      <c r="AC356">
        <v>38.17</v>
      </c>
      <c r="AE356">
        <v>23.15</v>
      </c>
      <c r="AF356">
        <f t="shared" si="5"/>
        <v>1</v>
      </c>
    </row>
    <row r="357" spans="29:32" x14ac:dyDescent="0.25">
      <c r="AC357">
        <v>38.29</v>
      </c>
      <c r="AE357">
        <v>23.16</v>
      </c>
      <c r="AF357">
        <f t="shared" si="5"/>
        <v>1</v>
      </c>
    </row>
    <row r="358" spans="29:32" x14ac:dyDescent="0.25">
      <c r="AC358">
        <v>38.31</v>
      </c>
      <c r="AE358">
        <v>23.17</v>
      </c>
      <c r="AF358">
        <f t="shared" si="5"/>
        <v>1</v>
      </c>
    </row>
    <row r="359" spans="29:32" x14ac:dyDescent="0.25">
      <c r="AC359">
        <v>38.340000000000003</v>
      </c>
      <c r="AE359">
        <v>23.17</v>
      </c>
      <c r="AF359">
        <f t="shared" si="5"/>
        <v>2</v>
      </c>
    </row>
    <row r="360" spans="29:32" x14ac:dyDescent="0.25">
      <c r="AC360">
        <v>38.35</v>
      </c>
      <c r="AE360">
        <v>23.18</v>
      </c>
      <c r="AF360">
        <f t="shared" si="5"/>
        <v>1</v>
      </c>
    </row>
    <row r="361" spans="29:32" x14ac:dyDescent="0.25">
      <c r="AC361">
        <v>38.35</v>
      </c>
      <c r="AE361">
        <v>23.21</v>
      </c>
      <c r="AF361">
        <f t="shared" si="5"/>
        <v>1</v>
      </c>
    </row>
    <row r="362" spans="29:32" x14ac:dyDescent="0.25">
      <c r="AC362">
        <v>38.39</v>
      </c>
      <c r="AE362">
        <v>23.21</v>
      </c>
      <c r="AF362">
        <f t="shared" si="5"/>
        <v>2</v>
      </c>
    </row>
    <row r="363" spans="29:32" x14ac:dyDescent="0.25">
      <c r="AC363">
        <v>38.409999999999997</v>
      </c>
      <c r="AE363">
        <v>23.21</v>
      </c>
      <c r="AF363">
        <f t="shared" si="5"/>
        <v>3</v>
      </c>
    </row>
    <row r="364" spans="29:32" x14ac:dyDescent="0.25">
      <c r="AC364">
        <v>38.49</v>
      </c>
      <c r="AE364">
        <v>23.21</v>
      </c>
      <c r="AF364">
        <f t="shared" si="5"/>
        <v>4</v>
      </c>
    </row>
    <row r="365" spans="29:32" x14ac:dyDescent="0.25">
      <c r="AC365">
        <v>38.520000000000003</v>
      </c>
      <c r="AE365">
        <v>23.22</v>
      </c>
      <c r="AF365">
        <f t="shared" si="5"/>
        <v>1</v>
      </c>
    </row>
    <row r="366" spans="29:32" x14ac:dyDescent="0.25">
      <c r="AC366">
        <v>38.520000000000003</v>
      </c>
      <c r="AE366">
        <v>23.22</v>
      </c>
      <c r="AF366">
        <f t="shared" si="5"/>
        <v>2</v>
      </c>
    </row>
    <row r="367" spans="29:32" x14ac:dyDescent="0.25">
      <c r="AC367">
        <v>38.53</v>
      </c>
      <c r="AE367">
        <v>23.23</v>
      </c>
      <c r="AF367">
        <f t="shared" si="5"/>
        <v>1</v>
      </c>
    </row>
    <row r="368" spans="29:32" x14ac:dyDescent="0.25">
      <c r="AC368">
        <v>38.54</v>
      </c>
      <c r="AE368">
        <v>23.23</v>
      </c>
      <c r="AF368">
        <f t="shared" si="5"/>
        <v>2</v>
      </c>
    </row>
    <row r="369" spans="29:32" x14ac:dyDescent="0.25">
      <c r="AC369">
        <v>38.549999999999997</v>
      </c>
      <c r="AE369">
        <v>23.23</v>
      </c>
      <c r="AF369">
        <f t="shared" si="5"/>
        <v>3</v>
      </c>
    </row>
    <row r="370" spans="29:32" x14ac:dyDescent="0.25">
      <c r="AC370">
        <v>38.630000000000003</v>
      </c>
      <c r="AE370">
        <v>23.25</v>
      </c>
      <c r="AF370">
        <f t="shared" si="5"/>
        <v>1</v>
      </c>
    </row>
    <row r="371" spans="29:32" x14ac:dyDescent="0.25">
      <c r="AC371">
        <v>38.65</v>
      </c>
      <c r="AE371">
        <v>23.26</v>
      </c>
      <c r="AF371">
        <f t="shared" si="5"/>
        <v>1</v>
      </c>
    </row>
    <row r="372" spans="29:32" x14ac:dyDescent="0.25">
      <c r="AC372">
        <v>38.659999999999997</v>
      </c>
      <c r="AE372">
        <v>23.27</v>
      </c>
      <c r="AF372">
        <f t="shared" si="5"/>
        <v>1</v>
      </c>
    </row>
    <row r="373" spans="29:32" x14ac:dyDescent="0.25">
      <c r="AC373">
        <v>38.72</v>
      </c>
      <c r="AE373">
        <v>23.28</v>
      </c>
      <c r="AF373">
        <f t="shared" si="5"/>
        <v>1</v>
      </c>
    </row>
    <row r="374" spans="29:32" x14ac:dyDescent="0.25">
      <c r="AC374">
        <v>38.75</v>
      </c>
      <c r="AE374">
        <v>23.28</v>
      </c>
      <c r="AF374">
        <f t="shared" si="5"/>
        <v>2</v>
      </c>
    </row>
    <row r="375" spans="29:32" x14ac:dyDescent="0.25">
      <c r="AC375">
        <v>38.78</v>
      </c>
      <c r="AE375">
        <v>23.28</v>
      </c>
      <c r="AF375">
        <f t="shared" si="5"/>
        <v>3</v>
      </c>
    </row>
    <row r="376" spans="29:32" x14ac:dyDescent="0.25">
      <c r="AC376">
        <v>38.869999999999997</v>
      </c>
      <c r="AE376">
        <v>23.28</v>
      </c>
      <c r="AF376">
        <f t="shared" si="5"/>
        <v>4</v>
      </c>
    </row>
    <row r="377" spans="29:32" x14ac:dyDescent="0.25">
      <c r="AC377">
        <v>38.869999999999997</v>
      </c>
      <c r="AE377">
        <v>23.31</v>
      </c>
      <c r="AF377">
        <f t="shared" si="5"/>
        <v>1</v>
      </c>
    </row>
    <row r="378" spans="29:32" x14ac:dyDescent="0.25">
      <c r="AC378">
        <v>38.96</v>
      </c>
      <c r="AE378">
        <v>23.32</v>
      </c>
      <c r="AF378">
        <f t="shared" si="5"/>
        <v>1</v>
      </c>
    </row>
    <row r="379" spans="29:32" x14ac:dyDescent="0.25">
      <c r="AC379">
        <v>39.15</v>
      </c>
      <c r="AE379">
        <v>23.32</v>
      </c>
      <c r="AF379">
        <f t="shared" si="5"/>
        <v>2</v>
      </c>
    </row>
    <row r="380" spans="29:32" x14ac:dyDescent="0.25">
      <c r="AC380">
        <v>39.15</v>
      </c>
      <c r="AE380">
        <v>23.37</v>
      </c>
      <c r="AF380">
        <f t="shared" si="5"/>
        <v>1</v>
      </c>
    </row>
    <row r="381" spans="29:32" x14ac:dyDescent="0.25">
      <c r="AC381">
        <v>39.32</v>
      </c>
      <c r="AE381">
        <v>23.37</v>
      </c>
      <c r="AF381">
        <f t="shared" si="5"/>
        <v>2</v>
      </c>
    </row>
    <row r="382" spans="29:32" x14ac:dyDescent="0.25">
      <c r="AC382">
        <v>39.369999999999997</v>
      </c>
      <c r="AE382">
        <v>23.37</v>
      </c>
      <c r="AF382">
        <f t="shared" si="5"/>
        <v>3</v>
      </c>
    </row>
    <row r="383" spans="29:32" x14ac:dyDescent="0.25">
      <c r="AC383">
        <v>39.369999999999997</v>
      </c>
      <c r="AE383">
        <v>23.37</v>
      </c>
      <c r="AF383">
        <f t="shared" si="5"/>
        <v>4</v>
      </c>
    </row>
    <row r="384" spans="29:32" x14ac:dyDescent="0.25">
      <c r="AC384">
        <v>39.35</v>
      </c>
      <c r="AE384">
        <v>23.38</v>
      </c>
      <c r="AF384">
        <f t="shared" si="5"/>
        <v>1</v>
      </c>
    </row>
    <row r="385" spans="29:32" x14ac:dyDescent="0.25">
      <c r="AC385">
        <v>39.520000000000003</v>
      </c>
      <c r="AE385">
        <v>23.4</v>
      </c>
      <c r="AF385">
        <f t="shared" si="5"/>
        <v>1</v>
      </c>
    </row>
    <row r="386" spans="29:32" x14ac:dyDescent="0.25">
      <c r="AC386">
        <v>39.93</v>
      </c>
      <c r="AE386">
        <v>23.41</v>
      </c>
      <c r="AF386">
        <f t="shared" si="5"/>
        <v>1</v>
      </c>
    </row>
    <row r="387" spans="29:32" x14ac:dyDescent="0.25">
      <c r="AC387">
        <v>39.89</v>
      </c>
      <c r="AE387">
        <v>23.41</v>
      </c>
      <c r="AF387">
        <f t="shared" si="5"/>
        <v>2</v>
      </c>
    </row>
    <row r="388" spans="29:32" x14ac:dyDescent="0.25">
      <c r="AC388">
        <v>39.950000000000003</v>
      </c>
      <c r="AE388">
        <v>23.42</v>
      </c>
      <c r="AF388">
        <f t="shared" ref="AF388:AF451" si="6">IF(AE388=AE387,AF387+1,1)</f>
        <v>1</v>
      </c>
    </row>
    <row r="389" spans="29:32" x14ac:dyDescent="0.25">
      <c r="AC389">
        <v>40.229999999999997</v>
      </c>
      <c r="AE389">
        <v>23.43</v>
      </c>
      <c r="AF389">
        <f t="shared" si="6"/>
        <v>1</v>
      </c>
    </row>
    <row r="390" spans="29:32" x14ac:dyDescent="0.25">
      <c r="AC390">
        <v>40.25</v>
      </c>
      <c r="AE390">
        <v>23.44</v>
      </c>
      <c r="AF390">
        <f t="shared" si="6"/>
        <v>1</v>
      </c>
    </row>
    <row r="391" spans="29:32" x14ac:dyDescent="0.25">
      <c r="AC391">
        <v>40.450000000000003</v>
      </c>
      <c r="AE391">
        <v>23.46</v>
      </c>
      <c r="AF391">
        <f t="shared" si="6"/>
        <v>1</v>
      </c>
    </row>
    <row r="392" spans="29:32" x14ac:dyDescent="0.25">
      <c r="AC392">
        <v>40.46</v>
      </c>
      <c r="AE392">
        <v>23.46</v>
      </c>
      <c r="AF392">
        <f t="shared" si="6"/>
        <v>2</v>
      </c>
    </row>
    <row r="393" spans="29:32" x14ac:dyDescent="0.25">
      <c r="AC393">
        <v>40.520000000000003</v>
      </c>
      <c r="AE393">
        <v>23.46</v>
      </c>
      <c r="AF393">
        <f t="shared" si="6"/>
        <v>3</v>
      </c>
    </row>
    <row r="394" spans="29:32" x14ac:dyDescent="0.25">
      <c r="AC394">
        <v>40.6</v>
      </c>
      <c r="AE394">
        <v>23.49</v>
      </c>
      <c r="AF394">
        <f t="shared" si="6"/>
        <v>1</v>
      </c>
    </row>
    <row r="395" spans="29:32" x14ac:dyDescent="0.25">
      <c r="AC395">
        <v>40.68</v>
      </c>
      <c r="AE395">
        <v>23.49</v>
      </c>
      <c r="AF395">
        <f t="shared" si="6"/>
        <v>2</v>
      </c>
    </row>
    <row r="396" spans="29:32" x14ac:dyDescent="0.25">
      <c r="AC396">
        <v>40.74</v>
      </c>
      <c r="AE396">
        <v>23.49</v>
      </c>
      <c r="AF396">
        <f t="shared" si="6"/>
        <v>3</v>
      </c>
    </row>
    <row r="397" spans="29:32" x14ac:dyDescent="0.25">
      <c r="AC397">
        <v>41.18</v>
      </c>
      <c r="AE397">
        <v>23.49</v>
      </c>
      <c r="AF397">
        <f t="shared" si="6"/>
        <v>4</v>
      </c>
    </row>
    <row r="398" spans="29:32" x14ac:dyDescent="0.25">
      <c r="AC398">
        <v>41.32</v>
      </c>
      <c r="AE398">
        <v>23.49</v>
      </c>
      <c r="AF398">
        <f t="shared" si="6"/>
        <v>5</v>
      </c>
    </row>
    <row r="399" spans="29:32" x14ac:dyDescent="0.25">
      <c r="AC399">
        <v>41.49</v>
      </c>
      <c r="AE399">
        <v>23.5</v>
      </c>
      <c r="AF399">
        <f t="shared" si="6"/>
        <v>1</v>
      </c>
    </row>
    <row r="400" spans="29:32" x14ac:dyDescent="0.25">
      <c r="AC400">
        <v>41.57</v>
      </c>
      <c r="AE400">
        <v>23.52</v>
      </c>
      <c r="AF400">
        <f t="shared" si="6"/>
        <v>1</v>
      </c>
    </row>
    <row r="401" spans="29:32" x14ac:dyDescent="0.25">
      <c r="AC401">
        <v>41.59</v>
      </c>
      <c r="AE401">
        <v>23.54</v>
      </c>
      <c r="AF401">
        <f t="shared" si="6"/>
        <v>1</v>
      </c>
    </row>
    <row r="402" spans="29:32" x14ac:dyDescent="0.25">
      <c r="AC402">
        <v>41.61</v>
      </c>
      <c r="AE402">
        <v>23.54</v>
      </c>
      <c r="AF402">
        <f t="shared" si="6"/>
        <v>2</v>
      </c>
    </row>
    <row r="403" spans="29:32" x14ac:dyDescent="0.25">
      <c r="AC403">
        <v>41.69</v>
      </c>
      <c r="AE403">
        <v>23.54</v>
      </c>
      <c r="AF403">
        <f t="shared" si="6"/>
        <v>3</v>
      </c>
    </row>
    <row r="404" spans="29:32" x14ac:dyDescent="0.25">
      <c r="AC404">
        <v>41.75</v>
      </c>
      <c r="AE404">
        <v>23.54</v>
      </c>
      <c r="AF404">
        <f t="shared" si="6"/>
        <v>4</v>
      </c>
    </row>
    <row r="405" spans="29:32" x14ac:dyDescent="0.25">
      <c r="AC405">
        <v>41.76</v>
      </c>
      <c r="AE405">
        <v>23.55</v>
      </c>
      <c r="AF405">
        <f t="shared" si="6"/>
        <v>1</v>
      </c>
    </row>
    <row r="406" spans="29:32" x14ac:dyDescent="0.25">
      <c r="AC406">
        <v>41.76</v>
      </c>
      <c r="AE406">
        <v>23.55</v>
      </c>
      <c r="AF406">
        <f t="shared" si="6"/>
        <v>2</v>
      </c>
    </row>
    <row r="407" spans="29:32" x14ac:dyDescent="0.25">
      <c r="AC407">
        <v>41.84</v>
      </c>
      <c r="AE407">
        <v>23.59</v>
      </c>
      <c r="AF407">
        <f t="shared" si="6"/>
        <v>1</v>
      </c>
    </row>
    <row r="408" spans="29:32" x14ac:dyDescent="0.25">
      <c r="AC408">
        <v>41.89</v>
      </c>
      <c r="AE408">
        <v>23.59</v>
      </c>
      <c r="AF408">
        <f t="shared" si="6"/>
        <v>2</v>
      </c>
    </row>
    <row r="409" spans="29:32" x14ac:dyDescent="0.25">
      <c r="AC409">
        <v>41.91</v>
      </c>
      <c r="AE409">
        <v>23.59</v>
      </c>
      <c r="AF409">
        <f t="shared" si="6"/>
        <v>3</v>
      </c>
    </row>
    <row r="410" spans="29:32" x14ac:dyDescent="0.25">
      <c r="AC410">
        <v>41.92</v>
      </c>
      <c r="AE410">
        <v>23.59</v>
      </c>
      <c r="AF410">
        <f t="shared" si="6"/>
        <v>4</v>
      </c>
    </row>
    <row r="411" spans="29:32" x14ac:dyDescent="0.25">
      <c r="AC411">
        <v>41.94</v>
      </c>
      <c r="AE411">
        <v>23.6</v>
      </c>
      <c r="AF411">
        <f t="shared" si="6"/>
        <v>1</v>
      </c>
    </row>
    <row r="412" spans="29:32" x14ac:dyDescent="0.25">
      <c r="AC412">
        <v>42</v>
      </c>
      <c r="AE412">
        <v>23.61</v>
      </c>
      <c r="AF412">
        <f t="shared" si="6"/>
        <v>1</v>
      </c>
    </row>
    <row r="413" spans="29:32" x14ac:dyDescent="0.25">
      <c r="AC413">
        <v>42.05</v>
      </c>
      <c r="AE413">
        <v>23.61</v>
      </c>
      <c r="AF413">
        <f t="shared" si="6"/>
        <v>2</v>
      </c>
    </row>
    <row r="414" spans="29:32" x14ac:dyDescent="0.25">
      <c r="AC414">
        <v>42.05</v>
      </c>
      <c r="AE414">
        <v>23.63</v>
      </c>
      <c r="AF414">
        <f t="shared" si="6"/>
        <v>1</v>
      </c>
    </row>
    <row r="415" spans="29:32" x14ac:dyDescent="0.25">
      <c r="AC415">
        <v>42.07</v>
      </c>
      <c r="AE415">
        <v>23.64</v>
      </c>
      <c r="AF415">
        <f t="shared" si="6"/>
        <v>1</v>
      </c>
    </row>
    <row r="416" spans="29:32" x14ac:dyDescent="0.25">
      <c r="AC416">
        <v>42.08</v>
      </c>
      <c r="AE416">
        <v>23.64</v>
      </c>
      <c r="AF416">
        <f t="shared" si="6"/>
        <v>2</v>
      </c>
    </row>
    <row r="417" spans="29:32" x14ac:dyDescent="0.25">
      <c r="AC417">
        <v>42.1</v>
      </c>
      <c r="AE417">
        <v>23.65</v>
      </c>
      <c r="AF417">
        <f t="shared" si="6"/>
        <v>1</v>
      </c>
    </row>
    <row r="418" spans="29:32" x14ac:dyDescent="0.25">
      <c r="AC418">
        <v>42.2</v>
      </c>
      <c r="AE418">
        <v>23.66</v>
      </c>
      <c r="AF418">
        <f t="shared" si="6"/>
        <v>1</v>
      </c>
    </row>
    <row r="419" spans="29:32" x14ac:dyDescent="0.25">
      <c r="AC419">
        <v>42.25</v>
      </c>
      <c r="AE419">
        <v>23.66</v>
      </c>
      <c r="AF419">
        <f t="shared" si="6"/>
        <v>2</v>
      </c>
    </row>
    <row r="420" spans="29:32" x14ac:dyDescent="0.25">
      <c r="AC420">
        <v>42.33</v>
      </c>
      <c r="AE420">
        <v>23.68</v>
      </c>
      <c r="AF420">
        <f t="shared" si="6"/>
        <v>1</v>
      </c>
    </row>
    <row r="421" spans="29:32" x14ac:dyDescent="0.25">
      <c r="AC421">
        <v>42.4</v>
      </c>
      <c r="AE421">
        <v>23.68</v>
      </c>
      <c r="AF421">
        <f t="shared" si="6"/>
        <v>2</v>
      </c>
    </row>
    <row r="422" spans="29:32" x14ac:dyDescent="0.25">
      <c r="AC422">
        <v>42.41</v>
      </c>
      <c r="AE422">
        <v>23.69</v>
      </c>
      <c r="AF422">
        <f t="shared" si="6"/>
        <v>1</v>
      </c>
    </row>
    <row r="423" spans="29:32" x14ac:dyDescent="0.25">
      <c r="AC423">
        <v>42.36</v>
      </c>
      <c r="AE423">
        <v>23.7</v>
      </c>
      <c r="AF423">
        <f t="shared" si="6"/>
        <v>1</v>
      </c>
    </row>
    <row r="424" spans="29:32" x14ac:dyDescent="0.25">
      <c r="AC424">
        <v>42.52</v>
      </c>
      <c r="AE424">
        <v>23.7</v>
      </c>
      <c r="AF424">
        <f t="shared" si="6"/>
        <v>2</v>
      </c>
    </row>
    <row r="425" spans="29:32" x14ac:dyDescent="0.25">
      <c r="AC425">
        <v>42.53</v>
      </c>
      <c r="AE425">
        <v>23.7</v>
      </c>
      <c r="AF425">
        <f t="shared" si="6"/>
        <v>3</v>
      </c>
    </row>
    <row r="426" spans="29:32" x14ac:dyDescent="0.25">
      <c r="AC426">
        <v>42.57</v>
      </c>
      <c r="AE426">
        <v>23.71</v>
      </c>
      <c r="AF426">
        <f t="shared" si="6"/>
        <v>1</v>
      </c>
    </row>
    <row r="427" spans="29:32" x14ac:dyDescent="0.25">
      <c r="AC427">
        <v>42.6</v>
      </c>
      <c r="AE427">
        <v>23.71</v>
      </c>
      <c r="AF427">
        <f t="shared" si="6"/>
        <v>2</v>
      </c>
    </row>
    <row r="428" spans="29:32" x14ac:dyDescent="0.25">
      <c r="AC428">
        <v>42.68</v>
      </c>
      <c r="AE428">
        <v>23.71</v>
      </c>
      <c r="AF428">
        <f t="shared" si="6"/>
        <v>3</v>
      </c>
    </row>
    <row r="429" spans="29:32" x14ac:dyDescent="0.25">
      <c r="AC429">
        <v>42.7</v>
      </c>
      <c r="AE429">
        <v>23.72</v>
      </c>
      <c r="AF429">
        <f t="shared" si="6"/>
        <v>1</v>
      </c>
    </row>
    <row r="430" spans="29:32" x14ac:dyDescent="0.25">
      <c r="AC430">
        <v>42.71</v>
      </c>
      <c r="AE430">
        <v>23.72</v>
      </c>
      <c r="AF430">
        <f t="shared" si="6"/>
        <v>2</v>
      </c>
    </row>
    <row r="431" spans="29:32" x14ac:dyDescent="0.25">
      <c r="AC431">
        <v>42.77</v>
      </c>
      <c r="AE431">
        <v>23.72</v>
      </c>
      <c r="AF431">
        <f t="shared" si="6"/>
        <v>3</v>
      </c>
    </row>
    <row r="432" spans="29:32" x14ac:dyDescent="0.25">
      <c r="AC432">
        <v>42.87</v>
      </c>
      <c r="AE432">
        <v>23.76</v>
      </c>
      <c r="AF432">
        <f t="shared" si="6"/>
        <v>1</v>
      </c>
    </row>
    <row r="433" spans="29:32" x14ac:dyDescent="0.25">
      <c r="AC433">
        <v>42.86</v>
      </c>
      <c r="AE433">
        <v>23.77</v>
      </c>
      <c r="AF433">
        <f t="shared" si="6"/>
        <v>1</v>
      </c>
    </row>
    <row r="434" spans="29:32" x14ac:dyDescent="0.25">
      <c r="AC434">
        <v>42.9</v>
      </c>
      <c r="AE434">
        <v>23.77</v>
      </c>
      <c r="AF434">
        <f t="shared" si="6"/>
        <v>2</v>
      </c>
    </row>
    <row r="435" spans="29:32" x14ac:dyDescent="0.25">
      <c r="AC435">
        <v>42.92</v>
      </c>
      <c r="AE435">
        <v>23.79</v>
      </c>
      <c r="AF435">
        <f t="shared" si="6"/>
        <v>1</v>
      </c>
    </row>
    <row r="436" spans="29:32" x14ac:dyDescent="0.25">
      <c r="AC436">
        <v>42.94</v>
      </c>
      <c r="AE436">
        <v>23.8</v>
      </c>
      <c r="AF436">
        <f t="shared" si="6"/>
        <v>1</v>
      </c>
    </row>
    <row r="437" spans="29:32" x14ac:dyDescent="0.25">
      <c r="AC437">
        <v>42.93</v>
      </c>
      <c r="AE437">
        <v>23.81</v>
      </c>
      <c r="AF437">
        <f t="shared" si="6"/>
        <v>1</v>
      </c>
    </row>
    <row r="438" spans="29:32" x14ac:dyDescent="0.25">
      <c r="AC438">
        <v>42.98</v>
      </c>
      <c r="AE438">
        <v>23.82</v>
      </c>
      <c r="AF438">
        <f t="shared" si="6"/>
        <v>1</v>
      </c>
    </row>
    <row r="439" spans="29:32" x14ac:dyDescent="0.25">
      <c r="AC439">
        <v>43</v>
      </c>
      <c r="AE439">
        <v>23.84</v>
      </c>
      <c r="AF439">
        <f t="shared" si="6"/>
        <v>1</v>
      </c>
    </row>
    <row r="440" spans="29:32" x14ac:dyDescent="0.25">
      <c r="AC440">
        <v>43</v>
      </c>
      <c r="AE440">
        <v>23.85</v>
      </c>
      <c r="AF440">
        <f t="shared" si="6"/>
        <v>1</v>
      </c>
    </row>
    <row r="441" spans="29:32" x14ac:dyDescent="0.25">
      <c r="AC441">
        <v>43</v>
      </c>
      <c r="AE441">
        <v>23.85</v>
      </c>
      <c r="AF441">
        <f t="shared" si="6"/>
        <v>2</v>
      </c>
    </row>
    <row r="442" spans="29:32" x14ac:dyDescent="0.25">
      <c r="AC442">
        <v>43.1</v>
      </c>
      <c r="AE442">
        <v>23.85</v>
      </c>
      <c r="AF442">
        <f t="shared" si="6"/>
        <v>3</v>
      </c>
    </row>
    <row r="443" spans="29:32" x14ac:dyDescent="0.25">
      <c r="AC443">
        <v>43.12</v>
      </c>
      <c r="AE443">
        <v>23.86</v>
      </c>
      <c r="AF443">
        <f t="shared" si="6"/>
        <v>1</v>
      </c>
    </row>
    <row r="444" spans="29:32" x14ac:dyDescent="0.25">
      <c r="AC444">
        <v>43.19</v>
      </c>
      <c r="AE444">
        <v>23.86</v>
      </c>
      <c r="AF444">
        <f t="shared" si="6"/>
        <v>2</v>
      </c>
    </row>
    <row r="445" spans="29:32" x14ac:dyDescent="0.25">
      <c r="AC445">
        <v>43.14</v>
      </c>
      <c r="AE445">
        <v>23.86</v>
      </c>
      <c r="AF445">
        <f t="shared" si="6"/>
        <v>3</v>
      </c>
    </row>
    <row r="446" spans="29:32" x14ac:dyDescent="0.25">
      <c r="AC446">
        <v>43.16</v>
      </c>
      <c r="AE446">
        <v>23.88</v>
      </c>
      <c r="AF446">
        <f t="shared" si="6"/>
        <v>1</v>
      </c>
    </row>
    <row r="447" spans="29:32" x14ac:dyDescent="0.25">
      <c r="AC447">
        <v>43.23</v>
      </c>
      <c r="AE447">
        <v>23.89</v>
      </c>
      <c r="AF447">
        <f t="shared" si="6"/>
        <v>1</v>
      </c>
    </row>
    <row r="448" spans="29:32" x14ac:dyDescent="0.25">
      <c r="AC448">
        <v>43.33</v>
      </c>
      <c r="AE448">
        <v>23.89</v>
      </c>
      <c r="AF448">
        <f t="shared" si="6"/>
        <v>2</v>
      </c>
    </row>
    <row r="449" spans="29:32" x14ac:dyDescent="0.25">
      <c r="AC449">
        <v>43.33</v>
      </c>
      <c r="AE449">
        <v>23.9</v>
      </c>
      <c r="AF449">
        <f t="shared" si="6"/>
        <v>1</v>
      </c>
    </row>
    <row r="450" spans="29:32" x14ac:dyDescent="0.25">
      <c r="AC450">
        <v>43.3</v>
      </c>
      <c r="AE450">
        <v>23.9</v>
      </c>
      <c r="AF450">
        <f t="shared" si="6"/>
        <v>2</v>
      </c>
    </row>
    <row r="451" spans="29:32" x14ac:dyDescent="0.25">
      <c r="AC451">
        <v>43.36</v>
      </c>
      <c r="AE451">
        <v>23.91</v>
      </c>
      <c r="AF451">
        <f t="shared" si="6"/>
        <v>1</v>
      </c>
    </row>
    <row r="452" spans="29:32" x14ac:dyDescent="0.25">
      <c r="AC452">
        <v>43.39</v>
      </c>
      <c r="AE452">
        <v>23.91</v>
      </c>
      <c r="AF452">
        <f t="shared" ref="AF452:AF515" si="7">IF(AE452=AE451,AF451+1,1)</f>
        <v>2</v>
      </c>
    </row>
    <row r="453" spans="29:32" x14ac:dyDescent="0.25">
      <c r="AC453">
        <v>43.38</v>
      </c>
      <c r="AE453">
        <v>23.91</v>
      </c>
      <c r="AF453">
        <f t="shared" si="7"/>
        <v>3</v>
      </c>
    </row>
    <row r="454" spans="29:32" x14ac:dyDescent="0.25">
      <c r="AC454">
        <v>43.4</v>
      </c>
      <c r="AE454">
        <v>23.92</v>
      </c>
      <c r="AF454">
        <f t="shared" si="7"/>
        <v>1</v>
      </c>
    </row>
    <row r="455" spans="29:32" x14ac:dyDescent="0.25">
      <c r="AC455">
        <v>43.46</v>
      </c>
      <c r="AE455">
        <v>23.92</v>
      </c>
      <c r="AF455">
        <f t="shared" si="7"/>
        <v>2</v>
      </c>
    </row>
    <row r="456" spans="29:32" x14ac:dyDescent="0.25">
      <c r="AC456">
        <v>43.42</v>
      </c>
      <c r="AE456">
        <v>23.92</v>
      </c>
      <c r="AF456">
        <f t="shared" si="7"/>
        <v>3</v>
      </c>
    </row>
    <row r="457" spans="29:32" x14ac:dyDescent="0.25">
      <c r="AC457">
        <v>43.5</v>
      </c>
      <c r="AE457">
        <v>23.93</v>
      </c>
      <c r="AF457">
        <f t="shared" si="7"/>
        <v>1</v>
      </c>
    </row>
    <row r="458" spans="29:32" x14ac:dyDescent="0.25">
      <c r="AC458">
        <v>43.56</v>
      </c>
      <c r="AE458">
        <v>23.96</v>
      </c>
      <c r="AF458">
        <f t="shared" si="7"/>
        <v>1</v>
      </c>
    </row>
    <row r="459" spans="29:32" x14ac:dyDescent="0.25">
      <c r="AC459">
        <v>43.57</v>
      </c>
      <c r="AE459">
        <v>23.96</v>
      </c>
      <c r="AF459">
        <f t="shared" si="7"/>
        <v>2</v>
      </c>
    </row>
    <row r="460" spans="29:32" x14ac:dyDescent="0.25">
      <c r="AC460">
        <v>43.66</v>
      </c>
      <c r="AE460">
        <v>23.96</v>
      </c>
      <c r="AF460">
        <f t="shared" si="7"/>
        <v>3</v>
      </c>
    </row>
    <row r="461" spans="29:32" x14ac:dyDescent="0.25">
      <c r="AC461">
        <v>43.66</v>
      </c>
      <c r="AE461">
        <v>23.97</v>
      </c>
      <c r="AF461">
        <f t="shared" si="7"/>
        <v>1</v>
      </c>
    </row>
    <row r="462" spans="29:32" x14ac:dyDescent="0.25">
      <c r="AC462">
        <v>43.7</v>
      </c>
      <c r="AE462">
        <v>23.98</v>
      </c>
      <c r="AF462">
        <f t="shared" si="7"/>
        <v>1</v>
      </c>
    </row>
    <row r="463" spans="29:32" x14ac:dyDescent="0.25">
      <c r="AC463">
        <v>43.65</v>
      </c>
      <c r="AE463">
        <v>23.99</v>
      </c>
      <c r="AF463">
        <f t="shared" si="7"/>
        <v>1</v>
      </c>
    </row>
    <row r="464" spans="29:32" x14ac:dyDescent="0.25">
      <c r="AC464">
        <v>43.71</v>
      </c>
      <c r="AE464">
        <v>23.99</v>
      </c>
      <c r="AF464">
        <f t="shared" si="7"/>
        <v>2</v>
      </c>
    </row>
    <row r="465" spans="29:32" x14ac:dyDescent="0.25">
      <c r="AC465">
        <v>43.75</v>
      </c>
      <c r="AE465">
        <v>23.99</v>
      </c>
      <c r="AF465">
        <f t="shared" si="7"/>
        <v>3</v>
      </c>
    </row>
    <row r="466" spans="29:32" x14ac:dyDescent="0.25">
      <c r="AC466">
        <v>43.78</v>
      </c>
      <c r="AE466">
        <v>24</v>
      </c>
      <c r="AF466">
        <f t="shared" si="7"/>
        <v>1</v>
      </c>
    </row>
    <row r="467" spans="29:32" x14ac:dyDescent="0.25">
      <c r="AC467">
        <v>43.81</v>
      </c>
      <c r="AE467">
        <v>24.01</v>
      </c>
      <c r="AF467">
        <f t="shared" si="7"/>
        <v>1</v>
      </c>
    </row>
    <row r="468" spans="29:32" x14ac:dyDescent="0.25">
      <c r="AC468">
        <v>43.83</v>
      </c>
      <c r="AE468">
        <v>24.02</v>
      </c>
      <c r="AF468">
        <f t="shared" si="7"/>
        <v>1</v>
      </c>
    </row>
    <row r="469" spans="29:32" x14ac:dyDescent="0.25">
      <c r="AC469">
        <v>43.95</v>
      </c>
      <c r="AE469">
        <v>24.02</v>
      </c>
      <c r="AF469">
        <f t="shared" si="7"/>
        <v>2</v>
      </c>
    </row>
    <row r="470" spans="29:32" x14ac:dyDescent="0.25">
      <c r="AC470">
        <v>43.97</v>
      </c>
      <c r="AE470">
        <v>24.03</v>
      </c>
      <c r="AF470">
        <f t="shared" si="7"/>
        <v>1</v>
      </c>
    </row>
    <row r="471" spans="29:32" x14ac:dyDescent="0.25">
      <c r="AC471">
        <v>43.96</v>
      </c>
      <c r="AE471">
        <v>24.05</v>
      </c>
      <c r="AF471">
        <f t="shared" si="7"/>
        <v>1</v>
      </c>
    </row>
    <row r="472" spans="29:32" x14ac:dyDescent="0.25">
      <c r="AC472">
        <v>44.1</v>
      </c>
      <c r="AE472">
        <v>24.06</v>
      </c>
      <c r="AF472">
        <f t="shared" si="7"/>
        <v>1</v>
      </c>
    </row>
    <row r="473" spans="29:32" x14ac:dyDescent="0.25">
      <c r="AC473">
        <v>44.11</v>
      </c>
      <c r="AE473">
        <v>24.07</v>
      </c>
      <c r="AF473">
        <f t="shared" si="7"/>
        <v>1</v>
      </c>
    </row>
    <row r="474" spans="29:32" x14ac:dyDescent="0.25">
      <c r="AC474">
        <v>44.2</v>
      </c>
      <c r="AE474">
        <v>24.07</v>
      </c>
      <c r="AF474">
        <f t="shared" si="7"/>
        <v>2</v>
      </c>
    </row>
    <row r="475" spans="29:32" x14ac:dyDescent="0.25">
      <c r="AC475">
        <v>44.18</v>
      </c>
      <c r="AE475">
        <v>24.08</v>
      </c>
      <c r="AF475">
        <f t="shared" si="7"/>
        <v>1</v>
      </c>
    </row>
    <row r="476" spans="29:32" x14ac:dyDescent="0.25">
      <c r="AC476">
        <v>44.2</v>
      </c>
      <c r="AE476">
        <v>24.08</v>
      </c>
      <c r="AF476">
        <f t="shared" si="7"/>
        <v>2</v>
      </c>
    </row>
    <row r="477" spans="29:32" x14ac:dyDescent="0.25">
      <c r="AC477">
        <v>44.28</v>
      </c>
      <c r="AE477">
        <v>24.09</v>
      </c>
      <c r="AF477">
        <f t="shared" si="7"/>
        <v>1</v>
      </c>
    </row>
    <row r="478" spans="29:32" x14ac:dyDescent="0.25">
      <c r="AC478">
        <v>44.46</v>
      </c>
      <c r="AE478">
        <v>24.1</v>
      </c>
      <c r="AF478">
        <f t="shared" si="7"/>
        <v>1</v>
      </c>
    </row>
    <row r="479" spans="29:32" x14ac:dyDescent="0.25">
      <c r="AC479">
        <v>44.65</v>
      </c>
      <c r="AE479">
        <v>24.11</v>
      </c>
      <c r="AF479">
        <f t="shared" si="7"/>
        <v>1</v>
      </c>
    </row>
    <row r="480" spans="29:32" x14ac:dyDescent="0.25">
      <c r="AC480">
        <v>44.68</v>
      </c>
      <c r="AE480">
        <v>24.12</v>
      </c>
      <c r="AF480">
        <f t="shared" si="7"/>
        <v>1</v>
      </c>
    </row>
    <row r="481" spans="29:32" x14ac:dyDescent="0.25">
      <c r="AC481">
        <v>44.76</v>
      </c>
      <c r="AE481">
        <v>24.12</v>
      </c>
      <c r="AF481">
        <f t="shared" si="7"/>
        <v>2</v>
      </c>
    </row>
    <row r="482" spans="29:32" x14ac:dyDescent="0.25">
      <c r="AC482">
        <v>45.02</v>
      </c>
      <c r="AE482">
        <v>24.12</v>
      </c>
      <c r="AF482">
        <f t="shared" si="7"/>
        <v>3</v>
      </c>
    </row>
    <row r="483" spans="29:32" x14ac:dyDescent="0.25">
      <c r="AC483">
        <v>45.05</v>
      </c>
      <c r="AE483">
        <v>24.15</v>
      </c>
      <c r="AF483">
        <f t="shared" si="7"/>
        <v>1</v>
      </c>
    </row>
    <row r="484" spans="29:32" x14ac:dyDescent="0.25">
      <c r="AC484">
        <v>45.05</v>
      </c>
      <c r="AE484">
        <v>24.18</v>
      </c>
      <c r="AF484">
        <f t="shared" si="7"/>
        <v>1</v>
      </c>
    </row>
    <row r="485" spans="29:32" x14ac:dyDescent="0.25">
      <c r="AC485">
        <v>45.1</v>
      </c>
      <c r="AE485">
        <v>24.18</v>
      </c>
      <c r="AF485">
        <f t="shared" si="7"/>
        <v>2</v>
      </c>
    </row>
    <row r="486" spans="29:32" x14ac:dyDescent="0.25">
      <c r="AC486">
        <v>45.24</v>
      </c>
      <c r="AE486">
        <v>24.19</v>
      </c>
      <c r="AF486">
        <f t="shared" si="7"/>
        <v>1</v>
      </c>
    </row>
    <row r="487" spans="29:32" x14ac:dyDescent="0.25">
      <c r="AC487">
        <v>45.23</v>
      </c>
      <c r="AE487">
        <v>24.2</v>
      </c>
      <c r="AF487">
        <f t="shared" si="7"/>
        <v>1</v>
      </c>
    </row>
    <row r="488" spans="29:32" x14ac:dyDescent="0.25">
      <c r="AC488">
        <v>45.3</v>
      </c>
      <c r="AE488">
        <v>24.21</v>
      </c>
      <c r="AF488">
        <f t="shared" si="7"/>
        <v>1</v>
      </c>
    </row>
    <row r="489" spans="29:32" x14ac:dyDescent="0.25">
      <c r="AC489">
        <v>45.33</v>
      </c>
      <c r="AE489">
        <v>24.21</v>
      </c>
      <c r="AF489">
        <f t="shared" si="7"/>
        <v>2</v>
      </c>
    </row>
    <row r="490" spans="29:32" x14ac:dyDescent="0.25">
      <c r="AC490">
        <v>45.68</v>
      </c>
      <c r="AE490">
        <v>24.22</v>
      </c>
      <c r="AF490">
        <f t="shared" si="7"/>
        <v>1</v>
      </c>
    </row>
    <row r="491" spans="29:32" x14ac:dyDescent="0.25">
      <c r="AC491">
        <v>45.73</v>
      </c>
      <c r="AE491">
        <v>24.22</v>
      </c>
      <c r="AF491">
        <f t="shared" si="7"/>
        <v>2</v>
      </c>
    </row>
    <row r="492" spans="29:32" x14ac:dyDescent="0.25">
      <c r="AC492">
        <v>45.78</v>
      </c>
      <c r="AE492">
        <v>24.23</v>
      </c>
      <c r="AF492">
        <f t="shared" si="7"/>
        <v>1</v>
      </c>
    </row>
    <row r="493" spans="29:32" x14ac:dyDescent="0.25">
      <c r="AC493">
        <v>46.04</v>
      </c>
      <c r="AE493">
        <v>24.23</v>
      </c>
      <c r="AF493">
        <f t="shared" si="7"/>
        <v>2</v>
      </c>
    </row>
    <row r="494" spans="29:32" x14ac:dyDescent="0.25">
      <c r="AC494">
        <v>46.04</v>
      </c>
      <c r="AE494">
        <v>24.23</v>
      </c>
      <c r="AF494">
        <f t="shared" si="7"/>
        <v>3</v>
      </c>
    </row>
    <row r="495" spans="29:32" x14ac:dyDescent="0.25">
      <c r="AC495">
        <v>46.58</v>
      </c>
      <c r="AE495">
        <v>24.25</v>
      </c>
      <c r="AF495">
        <f t="shared" si="7"/>
        <v>1</v>
      </c>
    </row>
    <row r="496" spans="29:32" x14ac:dyDescent="0.25">
      <c r="AC496">
        <v>46.85</v>
      </c>
      <c r="AE496">
        <v>24.26</v>
      </c>
      <c r="AF496">
        <f t="shared" si="7"/>
        <v>1</v>
      </c>
    </row>
    <row r="497" spans="29:32" x14ac:dyDescent="0.25">
      <c r="AC497">
        <v>47.44</v>
      </c>
      <c r="AE497">
        <v>24.28</v>
      </c>
      <c r="AF497">
        <f t="shared" si="7"/>
        <v>1</v>
      </c>
    </row>
    <row r="498" spans="29:32" x14ac:dyDescent="0.25">
      <c r="AC498">
        <v>48.76</v>
      </c>
      <c r="AE498">
        <v>24.29</v>
      </c>
      <c r="AF498">
        <f t="shared" si="7"/>
        <v>1</v>
      </c>
    </row>
    <row r="499" spans="29:32" x14ac:dyDescent="0.25">
      <c r="AC499">
        <v>49.66</v>
      </c>
      <c r="AE499">
        <v>24.31</v>
      </c>
      <c r="AF499">
        <f t="shared" si="7"/>
        <v>1</v>
      </c>
    </row>
    <row r="500" spans="29:32" x14ac:dyDescent="0.25">
      <c r="AC500">
        <v>49.87</v>
      </c>
      <c r="AE500">
        <v>24.31</v>
      </c>
      <c r="AF500">
        <f t="shared" si="7"/>
        <v>2</v>
      </c>
    </row>
    <row r="501" spans="29:32" x14ac:dyDescent="0.25">
      <c r="AC501">
        <v>50.39</v>
      </c>
      <c r="AE501">
        <v>24.33</v>
      </c>
      <c r="AF501">
        <f t="shared" si="7"/>
        <v>1</v>
      </c>
    </row>
    <row r="502" spans="29:32" x14ac:dyDescent="0.25">
      <c r="AC502">
        <v>51.13</v>
      </c>
      <c r="AE502">
        <v>24.35</v>
      </c>
      <c r="AF502">
        <f t="shared" si="7"/>
        <v>1</v>
      </c>
    </row>
    <row r="503" spans="29:32" x14ac:dyDescent="0.25">
      <c r="AC503">
        <v>51.62</v>
      </c>
      <c r="AE503">
        <v>24.35</v>
      </c>
      <c r="AF503">
        <f t="shared" si="7"/>
        <v>2</v>
      </c>
    </row>
    <row r="504" spans="29:32" x14ac:dyDescent="0.25">
      <c r="AC504" cm="1">
        <f t="array" ref="AC504:AC754">R2:R252</f>
        <v>21.92</v>
      </c>
      <c r="AE504">
        <v>24.35</v>
      </c>
      <c r="AF504">
        <f t="shared" si="7"/>
        <v>3</v>
      </c>
    </row>
    <row r="505" spans="29:32" x14ac:dyDescent="0.25">
      <c r="AC505">
        <v>22.29</v>
      </c>
      <c r="AE505">
        <v>24.35</v>
      </c>
      <c r="AF505">
        <f t="shared" si="7"/>
        <v>4</v>
      </c>
    </row>
    <row r="506" spans="29:32" x14ac:dyDescent="0.25">
      <c r="AC506">
        <v>23.04</v>
      </c>
      <c r="AE506">
        <v>24.36</v>
      </c>
      <c r="AF506">
        <f t="shared" si="7"/>
        <v>1</v>
      </c>
    </row>
    <row r="507" spans="29:32" x14ac:dyDescent="0.25">
      <c r="AC507">
        <v>23.32</v>
      </c>
      <c r="AE507">
        <v>24.4</v>
      </c>
      <c r="AF507">
        <f t="shared" si="7"/>
        <v>1</v>
      </c>
    </row>
    <row r="508" spans="29:32" x14ac:dyDescent="0.25">
      <c r="AC508">
        <v>23.41</v>
      </c>
      <c r="AE508">
        <v>24.41</v>
      </c>
      <c r="AF508">
        <f t="shared" si="7"/>
        <v>1</v>
      </c>
    </row>
    <row r="509" spans="29:32" x14ac:dyDescent="0.25">
      <c r="AC509">
        <v>23.4</v>
      </c>
      <c r="AE509">
        <v>24.41</v>
      </c>
      <c r="AF509">
        <f t="shared" si="7"/>
        <v>2</v>
      </c>
    </row>
    <row r="510" spans="29:32" x14ac:dyDescent="0.25">
      <c r="AC510">
        <v>23.46</v>
      </c>
      <c r="AE510">
        <v>24.42</v>
      </c>
      <c r="AF510">
        <f t="shared" si="7"/>
        <v>1</v>
      </c>
    </row>
    <row r="511" spans="29:32" x14ac:dyDescent="0.25">
      <c r="AC511">
        <v>23.49</v>
      </c>
      <c r="AE511">
        <v>24.44</v>
      </c>
      <c r="AF511">
        <f t="shared" si="7"/>
        <v>1</v>
      </c>
    </row>
    <row r="512" spans="29:32" x14ac:dyDescent="0.25">
      <c r="AC512">
        <v>23.54</v>
      </c>
      <c r="AE512">
        <v>24.45</v>
      </c>
      <c r="AF512">
        <f t="shared" si="7"/>
        <v>1</v>
      </c>
    </row>
    <row r="513" spans="29:32" x14ac:dyDescent="0.25">
      <c r="AC513">
        <v>23.7</v>
      </c>
      <c r="AE513">
        <v>24.45</v>
      </c>
      <c r="AF513">
        <f t="shared" si="7"/>
        <v>2</v>
      </c>
    </row>
    <row r="514" spans="29:32" x14ac:dyDescent="0.25">
      <c r="AC514">
        <v>23.77</v>
      </c>
      <c r="AE514">
        <v>24.45</v>
      </c>
      <c r="AF514">
        <f t="shared" si="7"/>
        <v>3</v>
      </c>
    </row>
    <row r="515" spans="29:32" x14ac:dyDescent="0.25">
      <c r="AC515">
        <v>23.84</v>
      </c>
      <c r="AE515">
        <v>24.46</v>
      </c>
      <c r="AF515">
        <f t="shared" si="7"/>
        <v>1</v>
      </c>
    </row>
    <row r="516" spans="29:32" x14ac:dyDescent="0.25">
      <c r="AC516">
        <v>23.89</v>
      </c>
      <c r="AE516">
        <v>24.46</v>
      </c>
      <c r="AF516">
        <f t="shared" ref="AF516:AF579" si="8">IF(AE516=AE515,AF515+1,1)</f>
        <v>2</v>
      </c>
    </row>
    <row r="517" spans="29:32" x14ac:dyDescent="0.25">
      <c r="AC517">
        <v>23.9</v>
      </c>
      <c r="AE517">
        <v>24.47</v>
      </c>
      <c r="AF517">
        <f t="shared" si="8"/>
        <v>1</v>
      </c>
    </row>
    <row r="518" spans="29:32" x14ac:dyDescent="0.25">
      <c r="AC518">
        <v>23.91</v>
      </c>
      <c r="AE518">
        <v>24.47</v>
      </c>
      <c r="AF518">
        <f t="shared" si="8"/>
        <v>2</v>
      </c>
    </row>
    <row r="519" spans="29:32" x14ac:dyDescent="0.25">
      <c r="AC519">
        <v>23.92</v>
      </c>
      <c r="AE519">
        <v>24.49</v>
      </c>
      <c r="AF519">
        <f t="shared" si="8"/>
        <v>1</v>
      </c>
    </row>
    <row r="520" spans="29:32" x14ac:dyDescent="0.25">
      <c r="AC520">
        <v>23.99</v>
      </c>
      <c r="AE520">
        <v>24.51</v>
      </c>
      <c r="AF520">
        <f t="shared" si="8"/>
        <v>1</v>
      </c>
    </row>
    <row r="521" spans="29:32" x14ac:dyDescent="0.25">
      <c r="AC521">
        <v>24.02</v>
      </c>
      <c r="AE521">
        <v>24.52</v>
      </c>
      <c r="AF521">
        <f t="shared" si="8"/>
        <v>1</v>
      </c>
    </row>
    <row r="522" spans="29:32" x14ac:dyDescent="0.25">
      <c r="AC522">
        <v>24.03</v>
      </c>
      <c r="AE522">
        <v>24.52</v>
      </c>
      <c r="AF522">
        <f t="shared" si="8"/>
        <v>2</v>
      </c>
    </row>
    <row r="523" spans="29:32" x14ac:dyDescent="0.25">
      <c r="AC523">
        <v>24.06</v>
      </c>
      <c r="AE523">
        <v>24.52</v>
      </c>
      <c r="AF523">
        <f t="shared" si="8"/>
        <v>3</v>
      </c>
    </row>
    <row r="524" spans="29:32" x14ac:dyDescent="0.25">
      <c r="AC524">
        <v>24.08</v>
      </c>
      <c r="AE524">
        <v>24.53</v>
      </c>
      <c r="AF524">
        <f t="shared" si="8"/>
        <v>1</v>
      </c>
    </row>
    <row r="525" spans="29:32" x14ac:dyDescent="0.25">
      <c r="AC525">
        <v>24.18</v>
      </c>
      <c r="AE525">
        <v>24.58</v>
      </c>
      <c r="AF525">
        <f t="shared" si="8"/>
        <v>1</v>
      </c>
    </row>
    <row r="526" spans="29:32" x14ac:dyDescent="0.25">
      <c r="AC526">
        <v>24.18</v>
      </c>
      <c r="AE526">
        <v>24.59</v>
      </c>
      <c r="AF526">
        <f t="shared" si="8"/>
        <v>1</v>
      </c>
    </row>
    <row r="527" spans="29:32" x14ac:dyDescent="0.25">
      <c r="AC527">
        <v>24.21</v>
      </c>
      <c r="AE527">
        <v>24.64</v>
      </c>
      <c r="AF527">
        <f t="shared" si="8"/>
        <v>1</v>
      </c>
    </row>
    <row r="528" spans="29:32" x14ac:dyDescent="0.25">
      <c r="AC528">
        <v>24.28</v>
      </c>
      <c r="AE528">
        <v>24.64</v>
      </c>
      <c r="AF528">
        <f t="shared" si="8"/>
        <v>2</v>
      </c>
    </row>
    <row r="529" spans="29:32" x14ac:dyDescent="0.25">
      <c r="AC529">
        <v>24.33</v>
      </c>
      <c r="AE529">
        <v>24.66</v>
      </c>
      <c r="AF529">
        <f t="shared" si="8"/>
        <v>1</v>
      </c>
    </row>
    <row r="530" spans="29:32" x14ac:dyDescent="0.25">
      <c r="AC530">
        <v>24.35</v>
      </c>
      <c r="AE530">
        <v>24.66</v>
      </c>
      <c r="AF530">
        <f t="shared" si="8"/>
        <v>2</v>
      </c>
    </row>
    <row r="531" spans="29:32" x14ac:dyDescent="0.25">
      <c r="AC531">
        <v>24.41</v>
      </c>
      <c r="AE531">
        <v>24.66</v>
      </c>
      <c r="AF531">
        <f t="shared" si="8"/>
        <v>3</v>
      </c>
    </row>
    <row r="532" spans="29:32" x14ac:dyDescent="0.25">
      <c r="AC532">
        <v>24.44</v>
      </c>
      <c r="AE532">
        <v>24.68</v>
      </c>
      <c r="AF532">
        <f t="shared" si="8"/>
        <v>1</v>
      </c>
    </row>
    <row r="533" spans="29:32" x14ac:dyDescent="0.25">
      <c r="AC533">
        <v>24.46</v>
      </c>
      <c r="AE533">
        <v>24.69</v>
      </c>
      <c r="AF533">
        <f t="shared" si="8"/>
        <v>1</v>
      </c>
    </row>
    <row r="534" spans="29:32" x14ac:dyDescent="0.25">
      <c r="AC534">
        <v>24.47</v>
      </c>
      <c r="AE534">
        <v>24.73</v>
      </c>
      <c r="AF534">
        <f t="shared" si="8"/>
        <v>1</v>
      </c>
    </row>
    <row r="535" spans="29:32" x14ac:dyDescent="0.25">
      <c r="AC535">
        <v>24.46</v>
      </c>
      <c r="AE535">
        <v>24.75</v>
      </c>
      <c r="AF535">
        <f t="shared" si="8"/>
        <v>1</v>
      </c>
    </row>
    <row r="536" spans="29:32" x14ac:dyDescent="0.25">
      <c r="AC536">
        <v>24.52</v>
      </c>
      <c r="AE536">
        <v>24.75</v>
      </c>
      <c r="AF536">
        <f t="shared" si="8"/>
        <v>2</v>
      </c>
    </row>
    <row r="537" spans="29:32" x14ac:dyDescent="0.25">
      <c r="AC537">
        <v>24.53</v>
      </c>
      <c r="AE537">
        <v>24.77</v>
      </c>
      <c r="AF537">
        <f t="shared" si="8"/>
        <v>1</v>
      </c>
    </row>
    <row r="538" spans="29:32" x14ac:dyDescent="0.25">
      <c r="AC538">
        <v>24.78</v>
      </c>
      <c r="AE538">
        <v>24.78</v>
      </c>
      <c r="AF538">
        <f t="shared" si="8"/>
        <v>1</v>
      </c>
    </row>
    <row r="539" spans="29:32" x14ac:dyDescent="0.25">
      <c r="AC539">
        <v>24.82</v>
      </c>
      <c r="AE539">
        <v>24.79</v>
      </c>
      <c r="AF539">
        <f t="shared" si="8"/>
        <v>1</v>
      </c>
    </row>
    <row r="540" spans="29:32" x14ac:dyDescent="0.25">
      <c r="AC540">
        <v>24.91</v>
      </c>
      <c r="AE540">
        <v>24.8</v>
      </c>
      <c r="AF540">
        <f t="shared" si="8"/>
        <v>1</v>
      </c>
    </row>
    <row r="541" spans="29:32" x14ac:dyDescent="0.25">
      <c r="AC541">
        <v>25.34</v>
      </c>
      <c r="AE541">
        <v>24.82</v>
      </c>
      <c r="AF541">
        <f t="shared" si="8"/>
        <v>1</v>
      </c>
    </row>
    <row r="542" spans="29:32" x14ac:dyDescent="0.25">
      <c r="AC542">
        <v>25.49</v>
      </c>
      <c r="AE542">
        <v>24.82</v>
      </c>
      <c r="AF542">
        <f t="shared" si="8"/>
        <v>2</v>
      </c>
    </row>
    <row r="543" spans="29:32" x14ac:dyDescent="0.25">
      <c r="AC543">
        <v>25.51</v>
      </c>
      <c r="AE543">
        <v>24.82</v>
      </c>
      <c r="AF543">
        <f t="shared" si="8"/>
        <v>3</v>
      </c>
    </row>
    <row r="544" spans="29:32" x14ac:dyDescent="0.25">
      <c r="AC544">
        <v>26.08</v>
      </c>
      <c r="AE544">
        <v>24.83</v>
      </c>
      <c r="AF544">
        <f t="shared" si="8"/>
        <v>1</v>
      </c>
    </row>
    <row r="545" spans="29:32" x14ac:dyDescent="0.25">
      <c r="AC545">
        <v>26.11</v>
      </c>
      <c r="AE545">
        <v>24.85</v>
      </c>
      <c r="AF545">
        <f t="shared" si="8"/>
        <v>1</v>
      </c>
    </row>
    <row r="546" spans="29:32" x14ac:dyDescent="0.25">
      <c r="AC546">
        <v>26.13</v>
      </c>
      <c r="AE546">
        <v>24.89</v>
      </c>
      <c r="AF546">
        <f t="shared" si="8"/>
        <v>1</v>
      </c>
    </row>
    <row r="547" spans="29:32" x14ac:dyDescent="0.25">
      <c r="AC547">
        <v>26.36</v>
      </c>
      <c r="AE547">
        <v>24.91</v>
      </c>
      <c r="AF547">
        <f t="shared" si="8"/>
        <v>1</v>
      </c>
    </row>
    <row r="548" spans="29:32" x14ac:dyDescent="0.25">
      <c r="AC548">
        <v>26.54</v>
      </c>
      <c r="AE548">
        <v>24.91</v>
      </c>
      <c r="AF548">
        <f t="shared" si="8"/>
        <v>2</v>
      </c>
    </row>
    <row r="549" spans="29:32" x14ac:dyDescent="0.25">
      <c r="AC549">
        <v>26.54</v>
      </c>
      <c r="AE549">
        <v>24.91</v>
      </c>
      <c r="AF549">
        <f t="shared" si="8"/>
        <v>3</v>
      </c>
    </row>
    <row r="550" spans="29:32" x14ac:dyDescent="0.25">
      <c r="AC550">
        <v>26.61</v>
      </c>
      <c r="AE550">
        <v>24.93</v>
      </c>
      <c r="AF550">
        <f t="shared" si="8"/>
        <v>1</v>
      </c>
    </row>
    <row r="551" spans="29:32" x14ac:dyDescent="0.25">
      <c r="AC551">
        <v>26.7</v>
      </c>
      <c r="AE551">
        <v>24.95</v>
      </c>
      <c r="AF551">
        <f t="shared" si="8"/>
        <v>1</v>
      </c>
    </row>
    <row r="552" spans="29:32" x14ac:dyDescent="0.25">
      <c r="AC552">
        <v>26.96</v>
      </c>
      <c r="AE552">
        <v>24.95</v>
      </c>
      <c r="AF552">
        <f t="shared" si="8"/>
        <v>2</v>
      </c>
    </row>
    <row r="553" spans="29:32" x14ac:dyDescent="0.25">
      <c r="AC553">
        <v>27.04</v>
      </c>
      <c r="AE553">
        <v>24.99</v>
      </c>
      <c r="AF553">
        <f t="shared" si="8"/>
        <v>1</v>
      </c>
    </row>
    <row r="554" spans="29:32" x14ac:dyDescent="0.25">
      <c r="AC554">
        <v>27.69</v>
      </c>
      <c r="AE554">
        <v>25.01</v>
      </c>
      <c r="AF554">
        <f t="shared" si="8"/>
        <v>1</v>
      </c>
    </row>
    <row r="555" spans="29:32" x14ac:dyDescent="0.25">
      <c r="AC555">
        <v>27.94</v>
      </c>
      <c r="AE555">
        <v>25.01</v>
      </c>
      <c r="AF555">
        <f t="shared" si="8"/>
        <v>2</v>
      </c>
    </row>
    <row r="556" spans="29:32" x14ac:dyDescent="0.25">
      <c r="AC556">
        <v>28.5</v>
      </c>
      <c r="AE556">
        <v>25.02</v>
      </c>
      <c r="AF556">
        <f t="shared" si="8"/>
        <v>1</v>
      </c>
    </row>
    <row r="557" spans="29:32" x14ac:dyDescent="0.25">
      <c r="AC557">
        <v>29.19</v>
      </c>
      <c r="AE557">
        <v>25.04</v>
      </c>
      <c r="AF557">
        <f t="shared" si="8"/>
        <v>1</v>
      </c>
    </row>
    <row r="558" spans="29:32" x14ac:dyDescent="0.25">
      <c r="AC558">
        <v>30.44</v>
      </c>
      <c r="AE558">
        <v>25.04</v>
      </c>
      <c r="AF558">
        <f t="shared" si="8"/>
        <v>2</v>
      </c>
    </row>
    <row r="559" spans="29:32" x14ac:dyDescent="0.25">
      <c r="AC559">
        <v>30.51</v>
      </c>
      <c r="AE559">
        <v>25.04</v>
      </c>
      <c r="AF559">
        <f t="shared" si="8"/>
        <v>3</v>
      </c>
    </row>
    <row r="560" spans="29:32" x14ac:dyDescent="0.25">
      <c r="AC560">
        <v>30.94</v>
      </c>
      <c r="AE560">
        <v>25.05</v>
      </c>
      <c r="AF560">
        <f t="shared" si="8"/>
        <v>1</v>
      </c>
    </row>
    <row r="561" spans="29:32" x14ac:dyDescent="0.25">
      <c r="AC561">
        <v>32.159999999999997</v>
      </c>
      <c r="AE561">
        <v>25.09</v>
      </c>
      <c r="AF561">
        <f t="shared" si="8"/>
        <v>1</v>
      </c>
    </row>
    <row r="562" spans="29:32" x14ac:dyDescent="0.25">
      <c r="AC562">
        <v>32.979999999999997</v>
      </c>
      <c r="AE562">
        <v>25.1</v>
      </c>
      <c r="AF562">
        <f t="shared" si="8"/>
        <v>1</v>
      </c>
    </row>
    <row r="563" spans="29:32" x14ac:dyDescent="0.25">
      <c r="AC563">
        <v>34.92</v>
      </c>
      <c r="AE563">
        <v>25.1</v>
      </c>
      <c r="AF563">
        <f t="shared" si="8"/>
        <v>2</v>
      </c>
    </row>
    <row r="564" spans="29:32" x14ac:dyDescent="0.25">
      <c r="AC564">
        <v>34.99</v>
      </c>
      <c r="AE564">
        <v>25.13</v>
      </c>
      <c r="AF564">
        <f t="shared" si="8"/>
        <v>1</v>
      </c>
    </row>
    <row r="565" spans="29:32" x14ac:dyDescent="0.25">
      <c r="AC565">
        <v>35.14</v>
      </c>
      <c r="AE565">
        <v>25.14</v>
      </c>
      <c r="AF565">
        <f t="shared" si="8"/>
        <v>1</v>
      </c>
    </row>
    <row r="566" spans="29:32" x14ac:dyDescent="0.25">
      <c r="AC566">
        <v>35.24</v>
      </c>
      <c r="AE566">
        <v>25.18</v>
      </c>
      <c r="AF566">
        <f t="shared" si="8"/>
        <v>1</v>
      </c>
    </row>
    <row r="567" spans="29:32" x14ac:dyDescent="0.25">
      <c r="AC567">
        <v>35.32</v>
      </c>
      <c r="AE567">
        <v>25.19</v>
      </c>
      <c r="AF567">
        <f t="shared" si="8"/>
        <v>1</v>
      </c>
    </row>
    <row r="568" spans="29:32" x14ac:dyDescent="0.25">
      <c r="AC568">
        <v>35.44</v>
      </c>
      <c r="AE568">
        <v>25.19</v>
      </c>
      <c r="AF568">
        <f t="shared" si="8"/>
        <v>2</v>
      </c>
    </row>
    <row r="569" spans="29:32" x14ac:dyDescent="0.25">
      <c r="AC569">
        <v>35.39</v>
      </c>
      <c r="AE569">
        <v>25.21</v>
      </c>
      <c r="AF569">
        <f t="shared" si="8"/>
        <v>1</v>
      </c>
    </row>
    <row r="570" spans="29:32" x14ac:dyDescent="0.25">
      <c r="AC570">
        <v>35.43</v>
      </c>
      <c r="AE570">
        <v>25.22</v>
      </c>
      <c r="AF570">
        <f t="shared" si="8"/>
        <v>1</v>
      </c>
    </row>
    <row r="571" spans="29:32" x14ac:dyDescent="0.25">
      <c r="AC571">
        <v>35.54</v>
      </c>
      <c r="AE571">
        <v>25.23</v>
      </c>
      <c r="AF571">
        <f t="shared" si="8"/>
        <v>1</v>
      </c>
    </row>
    <row r="572" spans="29:32" x14ac:dyDescent="0.25">
      <c r="AC572">
        <v>35.76</v>
      </c>
      <c r="AE572">
        <v>25.24</v>
      </c>
      <c r="AF572">
        <f t="shared" si="8"/>
        <v>1</v>
      </c>
    </row>
    <row r="573" spans="29:32" x14ac:dyDescent="0.25">
      <c r="AC573">
        <v>36.020000000000003</v>
      </c>
      <c r="AE573">
        <v>25.27</v>
      </c>
      <c r="AF573">
        <f t="shared" si="8"/>
        <v>1</v>
      </c>
    </row>
    <row r="574" spans="29:32" x14ac:dyDescent="0.25">
      <c r="AC574">
        <v>36.119999999999997</v>
      </c>
      <c r="AE574">
        <v>25.28</v>
      </c>
      <c r="AF574">
        <f t="shared" si="8"/>
        <v>1</v>
      </c>
    </row>
    <row r="575" spans="29:32" x14ac:dyDescent="0.25">
      <c r="AC575">
        <v>36.15</v>
      </c>
      <c r="AE575">
        <v>25.28</v>
      </c>
      <c r="AF575">
        <f t="shared" si="8"/>
        <v>2</v>
      </c>
    </row>
    <row r="576" spans="29:32" x14ac:dyDescent="0.25">
      <c r="AC576">
        <v>36.22</v>
      </c>
      <c r="AE576">
        <v>25.34</v>
      </c>
      <c r="AF576">
        <f t="shared" si="8"/>
        <v>1</v>
      </c>
    </row>
    <row r="577" spans="29:32" x14ac:dyDescent="0.25">
      <c r="AC577">
        <v>36.54</v>
      </c>
      <c r="AE577">
        <v>25.38</v>
      </c>
      <c r="AF577">
        <f t="shared" si="8"/>
        <v>1</v>
      </c>
    </row>
    <row r="578" spans="29:32" x14ac:dyDescent="0.25">
      <c r="AC578">
        <v>36.81</v>
      </c>
      <c r="AE578">
        <v>25.39</v>
      </c>
      <c r="AF578">
        <f t="shared" si="8"/>
        <v>1</v>
      </c>
    </row>
    <row r="579" spans="29:32" x14ac:dyDescent="0.25">
      <c r="AC579">
        <v>36.81</v>
      </c>
      <c r="AE579">
        <v>25.46</v>
      </c>
      <c r="AF579">
        <f t="shared" si="8"/>
        <v>1</v>
      </c>
    </row>
    <row r="580" spans="29:32" x14ac:dyDescent="0.25">
      <c r="AC580">
        <v>36.82</v>
      </c>
      <c r="AE580">
        <v>25.47</v>
      </c>
      <c r="AF580">
        <f t="shared" ref="AF580:AF643" si="9">IF(AE580=AE579,AF579+1,1)</f>
        <v>1</v>
      </c>
    </row>
    <row r="581" spans="29:32" x14ac:dyDescent="0.25">
      <c r="AC581">
        <v>36.82</v>
      </c>
      <c r="AE581">
        <v>25.48</v>
      </c>
      <c r="AF581">
        <f t="shared" si="9"/>
        <v>1</v>
      </c>
    </row>
    <row r="582" spans="29:32" x14ac:dyDescent="0.25">
      <c r="AC582">
        <v>36.880000000000003</v>
      </c>
      <c r="AE582">
        <v>25.49</v>
      </c>
      <c r="AF582">
        <f t="shared" si="9"/>
        <v>1</v>
      </c>
    </row>
    <row r="583" spans="29:32" x14ac:dyDescent="0.25">
      <c r="AC583">
        <v>36.93</v>
      </c>
      <c r="AE583">
        <v>25.49</v>
      </c>
      <c r="AF583">
        <f t="shared" si="9"/>
        <v>2</v>
      </c>
    </row>
    <row r="584" spans="29:32" x14ac:dyDescent="0.25">
      <c r="AC584">
        <v>37</v>
      </c>
      <c r="AE584">
        <v>25.5</v>
      </c>
      <c r="AF584">
        <f t="shared" si="9"/>
        <v>1</v>
      </c>
    </row>
    <row r="585" spans="29:32" x14ac:dyDescent="0.25">
      <c r="AC585">
        <v>37.03</v>
      </c>
      <c r="AE585">
        <v>25.51</v>
      </c>
      <c r="AF585">
        <f t="shared" si="9"/>
        <v>1</v>
      </c>
    </row>
    <row r="586" spans="29:32" x14ac:dyDescent="0.25">
      <c r="AC586">
        <v>37.200000000000003</v>
      </c>
      <c r="AE586">
        <v>25.53</v>
      </c>
      <c r="AF586">
        <f t="shared" si="9"/>
        <v>1</v>
      </c>
    </row>
    <row r="587" spans="29:32" x14ac:dyDescent="0.25">
      <c r="AC587">
        <v>37.35</v>
      </c>
      <c r="AE587">
        <v>25.58</v>
      </c>
      <c r="AF587">
        <f t="shared" si="9"/>
        <v>1</v>
      </c>
    </row>
    <row r="588" spans="29:32" x14ac:dyDescent="0.25">
      <c r="AC588">
        <v>37.35</v>
      </c>
      <c r="AE588">
        <v>25.59</v>
      </c>
      <c r="AF588">
        <f t="shared" si="9"/>
        <v>1</v>
      </c>
    </row>
    <row r="589" spans="29:32" x14ac:dyDescent="0.25">
      <c r="AC589">
        <v>37.409999999999997</v>
      </c>
      <c r="AE589">
        <v>25.59</v>
      </c>
      <c r="AF589">
        <f t="shared" si="9"/>
        <v>2</v>
      </c>
    </row>
    <row r="590" spans="29:32" x14ac:dyDescent="0.25">
      <c r="AC590">
        <v>37.57</v>
      </c>
      <c r="AE590">
        <v>25.61</v>
      </c>
      <c r="AF590">
        <f t="shared" si="9"/>
        <v>1</v>
      </c>
    </row>
    <row r="591" spans="29:32" x14ac:dyDescent="0.25">
      <c r="AC591">
        <v>37.72</v>
      </c>
      <c r="AE591">
        <v>25.67</v>
      </c>
      <c r="AF591">
        <f t="shared" si="9"/>
        <v>1</v>
      </c>
    </row>
    <row r="592" spans="29:32" x14ac:dyDescent="0.25">
      <c r="AC592">
        <v>37.94</v>
      </c>
      <c r="AE592">
        <v>25.68</v>
      </c>
      <c r="AF592">
        <f t="shared" si="9"/>
        <v>1</v>
      </c>
    </row>
    <row r="593" spans="29:32" x14ac:dyDescent="0.25">
      <c r="AC593">
        <v>38.33</v>
      </c>
      <c r="AE593">
        <v>25.68</v>
      </c>
      <c r="AF593">
        <f t="shared" si="9"/>
        <v>2</v>
      </c>
    </row>
    <row r="594" spans="29:32" x14ac:dyDescent="0.25">
      <c r="AC594">
        <v>38.29</v>
      </c>
      <c r="AE594">
        <v>25.68</v>
      </c>
      <c r="AF594">
        <f t="shared" si="9"/>
        <v>3</v>
      </c>
    </row>
    <row r="595" spans="29:32" x14ac:dyDescent="0.25">
      <c r="AC595">
        <v>38.380000000000003</v>
      </c>
      <c r="AE595">
        <v>25.69</v>
      </c>
      <c r="AF595">
        <f t="shared" si="9"/>
        <v>1</v>
      </c>
    </row>
    <row r="596" spans="29:32" x14ac:dyDescent="0.25">
      <c r="AC596">
        <v>38.4</v>
      </c>
      <c r="AE596">
        <v>25.71</v>
      </c>
      <c r="AF596">
        <f t="shared" si="9"/>
        <v>1</v>
      </c>
    </row>
    <row r="597" spans="29:32" x14ac:dyDescent="0.25">
      <c r="AC597">
        <v>38.43</v>
      </c>
      <c r="AE597">
        <v>25.75</v>
      </c>
      <c r="AF597">
        <f t="shared" si="9"/>
        <v>1</v>
      </c>
    </row>
    <row r="598" spans="29:32" x14ac:dyDescent="0.25">
      <c r="AC598">
        <v>38.51</v>
      </c>
      <c r="AE598">
        <v>25.76</v>
      </c>
      <c r="AF598">
        <f t="shared" si="9"/>
        <v>1</v>
      </c>
    </row>
    <row r="599" spans="29:32" x14ac:dyDescent="0.25">
      <c r="AC599">
        <v>38.770000000000003</v>
      </c>
      <c r="AE599">
        <v>25.77</v>
      </c>
      <c r="AF599">
        <f t="shared" si="9"/>
        <v>1</v>
      </c>
    </row>
    <row r="600" spans="29:32" x14ac:dyDescent="0.25">
      <c r="AC600">
        <v>38.78</v>
      </c>
      <c r="AE600">
        <v>25.84</v>
      </c>
      <c r="AF600">
        <f t="shared" si="9"/>
        <v>1</v>
      </c>
    </row>
    <row r="601" spans="29:32" x14ac:dyDescent="0.25">
      <c r="AC601">
        <v>38.909999999999997</v>
      </c>
      <c r="AE601">
        <v>25.86</v>
      </c>
      <c r="AF601">
        <f t="shared" si="9"/>
        <v>1</v>
      </c>
    </row>
    <row r="602" spans="29:32" x14ac:dyDescent="0.25">
      <c r="AC602">
        <v>38.93</v>
      </c>
      <c r="AE602">
        <v>25.9</v>
      </c>
      <c r="AF602">
        <f t="shared" si="9"/>
        <v>1</v>
      </c>
    </row>
    <row r="603" spans="29:32" x14ac:dyDescent="0.25">
      <c r="AC603">
        <v>39.049999999999997</v>
      </c>
      <c r="AE603">
        <v>25.93</v>
      </c>
      <c r="AF603">
        <f t="shared" si="9"/>
        <v>1</v>
      </c>
    </row>
    <row r="604" spans="29:32" x14ac:dyDescent="0.25">
      <c r="AC604">
        <v>39.11</v>
      </c>
      <c r="AE604">
        <v>25.96</v>
      </c>
      <c r="AF604">
        <f t="shared" si="9"/>
        <v>1</v>
      </c>
    </row>
    <row r="605" spans="29:32" x14ac:dyDescent="0.25">
      <c r="AC605">
        <v>39.26</v>
      </c>
      <c r="AE605">
        <v>25.98</v>
      </c>
      <c r="AF605">
        <f t="shared" si="9"/>
        <v>1</v>
      </c>
    </row>
    <row r="606" spans="29:32" x14ac:dyDescent="0.25">
      <c r="AC606">
        <v>39.22</v>
      </c>
      <c r="AE606">
        <v>26</v>
      </c>
      <c r="AF606">
        <f t="shared" si="9"/>
        <v>1</v>
      </c>
    </row>
    <row r="607" spans="29:32" x14ac:dyDescent="0.25">
      <c r="AC607">
        <v>39.42</v>
      </c>
      <c r="AE607">
        <v>26</v>
      </c>
      <c r="AF607">
        <f t="shared" si="9"/>
        <v>2</v>
      </c>
    </row>
    <row r="608" spans="29:32" x14ac:dyDescent="0.25">
      <c r="AC608">
        <v>39.520000000000003</v>
      </c>
      <c r="AE608">
        <v>26.01</v>
      </c>
      <c r="AF608">
        <f t="shared" si="9"/>
        <v>1</v>
      </c>
    </row>
    <row r="609" spans="29:32" x14ac:dyDescent="0.25">
      <c r="AC609">
        <v>39.549999999999997</v>
      </c>
      <c r="AE609">
        <v>26.01</v>
      </c>
      <c r="AF609">
        <f t="shared" si="9"/>
        <v>2</v>
      </c>
    </row>
    <row r="610" spans="29:32" x14ac:dyDescent="0.25">
      <c r="AC610">
        <v>39.58</v>
      </c>
      <c r="AE610">
        <v>26.02</v>
      </c>
      <c r="AF610">
        <f t="shared" si="9"/>
        <v>1</v>
      </c>
    </row>
    <row r="611" spans="29:32" x14ac:dyDescent="0.25">
      <c r="AC611">
        <v>39.58</v>
      </c>
      <c r="AE611">
        <v>26.08</v>
      </c>
      <c r="AF611">
        <f t="shared" si="9"/>
        <v>1</v>
      </c>
    </row>
    <row r="612" spans="29:32" x14ac:dyDescent="0.25">
      <c r="AC612">
        <v>39.590000000000003</v>
      </c>
      <c r="AE612">
        <v>26.08</v>
      </c>
      <c r="AF612">
        <f t="shared" si="9"/>
        <v>2</v>
      </c>
    </row>
    <row r="613" spans="29:32" x14ac:dyDescent="0.25">
      <c r="AC613">
        <v>39.64</v>
      </c>
      <c r="AE613">
        <v>26.09</v>
      </c>
      <c r="AF613">
        <f t="shared" si="9"/>
        <v>1</v>
      </c>
    </row>
    <row r="614" spans="29:32" x14ac:dyDescent="0.25">
      <c r="AC614">
        <v>39.630000000000003</v>
      </c>
      <c r="AE614">
        <v>26.1</v>
      </c>
      <c r="AF614">
        <f t="shared" si="9"/>
        <v>1</v>
      </c>
    </row>
    <row r="615" spans="29:32" x14ac:dyDescent="0.25">
      <c r="AC615">
        <v>39.729999999999997</v>
      </c>
      <c r="AE615">
        <v>26.11</v>
      </c>
      <c r="AF615">
        <f t="shared" si="9"/>
        <v>1</v>
      </c>
    </row>
    <row r="616" spans="29:32" x14ac:dyDescent="0.25">
      <c r="AC616">
        <v>39.78</v>
      </c>
      <c r="AE616">
        <v>26.11</v>
      </c>
      <c r="AF616">
        <f t="shared" si="9"/>
        <v>2</v>
      </c>
    </row>
    <row r="617" spans="29:32" x14ac:dyDescent="0.25">
      <c r="AC617">
        <v>39.770000000000003</v>
      </c>
      <c r="AE617">
        <v>26.12</v>
      </c>
      <c r="AF617">
        <f t="shared" si="9"/>
        <v>1</v>
      </c>
    </row>
    <row r="618" spans="29:32" x14ac:dyDescent="0.25">
      <c r="AC618">
        <v>39.78</v>
      </c>
      <c r="AE618">
        <v>26.13</v>
      </c>
      <c r="AF618">
        <f t="shared" si="9"/>
        <v>1</v>
      </c>
    </row>
    <row r="619" spans="29:32" x14ac:dyDescent="0.25">
      <c r="AC619">
        <v>39.78</v>
      </c>
      <c r="AE619">
        <v>26.17</v>
      </c>
      <c r="AF619">
        <f t="shared" si="9"/>
        <v>1</v>
      </c>
    </row>
    <row r="620" spans="29:32" x14ac:dyDescent="0.25">
      <c r="AC620">
        <v>39.79</v>
      </c>
      <c r="AE620">
        <v>26.19</v>
      </c>
      <c r="AF620">
        <f t="shared" si="9"/>
        <v>1</v>
      </c>
    </row>
    <row r="621" spans="29:32" x14ac:dyDescent="0.25">
      <c r="AC621">
        <v>39.880000000000003</v>
      </c>
      <c r="AE621">
        <v>26.19</v>
      </c>
      <c r="AF621">
        <f t="shared" si="9"/>
        <v>2</v>
      </c>
    </row>
    <row r="622" spans="29:32" x14ac:dyDescent="0.25">
      <c r="AC622">
        <v>39.9</v>
      </c>
      <c r="AE622">
        <v>26.22</v>
      </c>
      <c r="AF622">
        <f t="shared" si="9"/>
        <v>1</v>
      </c>
    </row>
    <row r="623" spans="29:32" x14ac:dyDescent="0.25">
      <c r="AC623">
        <v>39.909999999999997</v>
      </c>
      <c r="AE623">
        <v>26.22</v>
      </c>
      <c r="AF623">
        <f t="shared" si="9"/>
        <v>2</v>
      </c>
    </row>
    <row r="624" spans="29:32" x14ac:dyDescent="0.25">
      <c r="AC624">
        <v>39.97</v>
      </c>
      <c r="AE624">
        <v>26.23</v>
      </c>
      <c r="AF624">
        <f t="shared" si="9"/>
        <v>1</v>
      </c>
    </row>
    <row r="625" spans="29:32" x14ac:dyDescent="0.25">
      <c r="AC625">
        <v>40</v>
      </c>
      <c r="AE625">
        <v>26.31</v>
      </c>
      <c r="AF625">
        <f t="shared" si="9"/>
        <v>1</v>
      </c>
    </row>
    <row r="626" spans="29:32" x14ac:dyDescent="0.25">
      <c r="AC626">
        <v>40.03</v>
      </c>
      <c r="AE626">
        <v>26.36</v>
      </c>
      <c r="AF626">
        <f t="shared" si="9"/>
        <v>1</v>
      </c>
    </row>
    <row r="627" spans="29:32" x14ac:dyDescent="0.25">
      <c r="AC627">
        <v>40.119999999999997</v>
      </c>
      <c r="AE627">
        <v>26.41</v>
      </c>
      <c r="AF627">
        <f t="shared" si="9"/>
        <v>1</v>
      </c>
    </row>
    <row r="628" spans="29:32" x14ac:dyDescent="0.25">
      <c r="AC628">
        <v>40.1</v>
      </c>
      <c r="AE628">
        <v>26.5</v>
      </c>
      <c r="AF628">
        <f t="shared" si="9"/>
        <v>1</v>
      </c>
    </row>
    <row r="629" spans="29:32" x14ac:dyDescent="0.25">
      <c r="AC629">
        <v>40.229999999999997</v>
      </c>
      <c r="AE629">
        <v>26.54</v>
      </c>
      <c r="AF629">
        <f t="shared" si="9"/>
        <v>1</v>
      </c>
    </row>
    <row r="630" spans="29:32" x14ac:dyDescent="0.25">
      <c r="AC630">
        <v>40.43</v>
      </c>
      <c r="AE630">
        <v>26.54</v>
      </c>
      <c r="AF630">
        <f t="shared" si="9"/>
        <v>2</v>
      </c>
    </row>
    <row r="631" spans="29:32" x14ac:dyDescent="0.25">
      <c r="AC631">
        <v>40.380000000000003</v>
      </c>
      <c r="AE631">
        <v>26.56</v>
      </c>
      <c r="AF631">
        <f t="shared" si="9"/>
        <v>1</v>
      </c>
    </row>
    <row r="632" spans="29:32" x14ac:dyDescent="0.25">
      <c r="AC632">
        <v>40.6</v>
      </c>
      <c r="AE632">
        <v>26.58</v>
      </c>
      <c r="AF632">
        <f t="shared" si="9"/>
        <v>1</v>
      </c>
    </row>
    <row r="633" spans="29:32" x14ac:dyDescent="0.25">
      <c r="AC633">
        <v>40.659999999999997</v>
      </c>
      <c r="AE633">
        <v>26.6</v>
      </c>
      <c r="AF633">
        <f t="shared" si="9"/>
        <v>1</v>
      </c>
    </row>
    <row r="634" spans="29:32" x14ac:dyDescent="0.25">
      <c r="AC634">
        <v>40.65</v>
      </c>
      <c r="AE634">
        <v>26.61</v>
      </c>
      <c r="AF634">
        <f t="shared" si="9"/>
        <v>1</v>
      </c>
    </row>
    <row r="635" spans="29:32" x14ac:dyDescent="0.25">
      <c r="AC635">
        <v>40.590000000000003</v>
      </c>
      <c r="AE635">
        <v>26.69</v>
      </c>
      <c r="AF635">
        <f t="shared" si="9"/>
        <v>1</v>
      </c>
    </row>
    <row r="636" spans="29:32" x14ac:dyDescent="0.25">
      <c r="AC636">
        <v>40.770000000000003</v>
      </c>
      <c r="AE636">
        <v>26.7</v>
      </c>
      <c r="AF636">
        <f t="shared" si="9"/>
        <v>1</v>
      </c>
    </row>
    <row r="637" spans="29:32" x14ac:dyDescent="0.25">
      <c r="AC637">
        <v>41.19</v>
      </c>
      <c r="AE637">
        <v>26.72</v>
      </c>
      <c r="AF637">
        <f t="shared" si="9"/>
        <v>1</v>
      </c>
    </row>
    <row r="638" spans="29:32" x14ac:dyDescent="0.25">
      <c r="AC638">
        <v>41.1</v>
      </c>
      <c r="AE638">
        <v>26.77</v>
      </c>
      <c r="AF638">
        <f t="shared" si="9"/>
        <v>1</v>
      </c>
    </row>
    <row r="639" spans="29:32" x14ac:dyDescent="0.25">
      <c r="AC639">
        <v>41.21</v>
      </c>
      <c r="AE639">
        <v>26.8</v>
      </c>
      <c r="AF639">
        <f t="shared" si="9"/>
        <v>1</v>
      </c>
    </row>
    <row r="640" spans="29:32" x14ac:dyDescent="0.25">
      <c r="AC640">
        <v>41.5</v>
      </c>
      <c r="AE640">
        <v>26.8</v>
      </c>
      <c r="AF640">
        <f t="shared" si="9"/>
        <v>2</v>
      </c>
    </row>
    <row r="641" spans="29:32" x14ac:dyDescent="0.25">
      <c r="AC641">
        <v>41.51</v>
      </c>
      <c r="AE641">
        <v>26.8</v>
      </c>
      <c r="AF641">
        <f t="shared" si="9"/>
        <v>3</v>
      </c>
    </row>
    <row r="642" spans="29:32" x14ac:dyDescent="0.25">
      <c r="AC642">
        <v>41.72</v>
      </c>
      <c r="AE642">
        <v>26.82</v>
      </c>
      <c r="AF642">
        <f t="shared" si="9"/>
        <v>1</v>
      </c>
    </row>
    <row r="643" spans="29:32" x14ac:dyDescent="0.25">
      <c r="AC643">
        <v>41.73</v>
      </c>
      <c r="AE643">
        <v>26.84</v>
      </c>
      <c r="AF643">
        <f t="shared" si="9"/>
        <v>1</v>
      </c>
    </row>
    <row r="644" spans="29:32" x14ac:dyDescent="0.25">
      <c r="AC644">
        <v>41.79</v>
      </c>
      <c r="AE644">
        <v>26.88</v>
      </c>
      <c r="AF644">
        <f t="shared" ref="AF644:AF707" si="10">IF(AE644=AE643,AF643+1,1)</f>
        <v>1</v>
      </c>
    </row>
    <row r="645" spans="29:32" x14ac:dyDescent="0.25">
      <c r="AC645">
        <v>41.87</v>
      </c>
      <c r="AE645">
        <v>26.91</v>
      </c>
      <c r="AF645">
        <f t="shared" si="10"/>
        <v>1</v>
      </c>
    </row>
    <row r="646" spans="29:32" x14ac:dyDescent="0.25">
      <c r="AC646">
        <v>41.91</v>
      </c>
      <c r="AE646">
        <v>26.95</v>
      </c>
      <c r="AF646">
        <f t="shared" si="10"/>
        <v>1</v>
      </c>
    </row>
    <row r="647" spans="29:32" x14ac:dyDescent="0.25">
      <c r="AC647">
        <v>42.02</v>
      </c>
      <c r="AE647">
        <v>26.96</v>
      </c>
      <c r="AF647">
        <f t="shared" si="10"/>
        <v>1</v>
      </c>
    </row>
    <row r="648" spans="29:32" x14ac:dyDescent="0.25">
      <c r="AC648">
        <v>42.43</v>
      </c>
      <c r="AE648">
        <v>26.98</v>
      </c>
      <c r="AF648">
        <f t="shared" si="10"/>
        <v>1</v>
      </c>
    </row>
    <row r="649" spans="29:32" x14ac:dyDescent="0.25">
      <c r="AC649">
        <v>42.57</v>
      </c>
      <c r="AE649">
        <v>27.04</v>
      </c>
      <c r="AF649">
        <f t="shared" si="10"/>
        <v>1</v>
      </c>
    </row>
    <row r="650" spans="29:32" x14ac:dyDescent="0.25">
      <c r="AC650">
        <v>42.73</v>
      </c>
      <c r="AE650">
        <v>27.04</v>
      </c>
      <c r="AF650">
        <f t="shared" si="10"/>
        <v>2</v>
      </c>
    </row>
    <row r="651" spans="29:32" x14ac:dyDescent="0.25">
      <c r="AC651">
        <v>42.87</v>
      </c>
      <c r="AE651">
        <v>27.05</v>
      </c>
      <c r="AF651">
        <f t="shared" si="10"/>
        <v>1</v>
      </c>
    </row>
    <row r="652" spans="29:32" x14ac:dyDescent="0.25">
      <c r="AC652">
        <v>42.84</v>
      </c>
      <c r="AE652">
        <v>27.06</v>
      </c>
      <c r="AF652">
        <f t="shared" si="10"/>
        <v>1</v>
      </c>
    </row>
    <row r="653" spans="29:32" x14ac:dyDescent="0.25">
      <c r="AC653">
        <v>42.89</v>
      </c>
      <c r="AE653">
        <v>27.09</v>
      </c>
      <c r="AF653">
        <f t="shared" si="10"/>
        <v>1</v>
      </c>
    </row>
    <row r="654" spans="29:32" x14ac:dyDescent="0.25">
      <c r="AC654">
        <v>42.91</v>
      </c>
      <c r="AE654">
        <v>27.25</v>
      </c>
      <c r="AF654">
        <f t="shared" si="10"/>
        <v>1</v>
      </c>
    </row>
    <row r="655" spans="29:32" x14ac:dyDescent="0.25">
      <c r="AC655">
        <v>43.04</v>
      </c>
      <c r="AE655">
        <v>27.29</v>
      </c>
      <c r="AF655">
        <f t="shared" si="10"/>
        <v>1</v>
      </c>
    </row>
    <row r="656" spans="29:32" x14ac:dyDescent="0.25">
      <c r="AC656">
        <v>43.03</v>
      </c>
      <c r="AE656">
        <v>27.5</v>
      </c>
      <c r="AF656">
        <f t="shared" si="10"/>
        <v>1</v>
      </c>
    </row>
    <row r="657" spans="29:32" x14ac:dyDescent="0.25">
      <c r="AC657">
        <v>43.01</v>
      </c>
      <c r="AE657">
        <v>27.58</v>
      </c>
      <c r="AF657">
        <f t="shared" si="10"/>
        <v>1</v>
      </c>
    </row>
    <row r="658" spans="29:32" x14ac:dyDescent="0.25">
      <c r="AC658">
        <v>43.07</v>
      </c>
      <c r="AE658">
        <v>27.69</v>
      </c>
      <c r="AF658">
        <f t="shared" si="10"/>
        <v>1</v>
      </c>
    </row>
    <row r="659" spans="29:32" x14ac:dyDescent="0.25">
      <c r="AC659">
        <v>43.17</v>
      </c>
      <c r="AE659">
        <v>27.71</v>
      </c>
      <c r="AF659">
        <f t="shared" si="10"/>
        <v>1</v>
      </c>
    </row>
    <row r="660" spans="29:32" x14ac:dyDescent="0.25">
      <c r="AC660">
        <v>43.17</v>
      </c>
      <c r="AE660">
        <v>27.75</v>
      </c>
      <c r="AF660">
        <f t="shared" si="10"/>
        <v>1</v>
      </c>
    </row>
    <row r="661" spans="29:32" x14ac:dyDescent="0.25">
      <c r="AC661">
        <v>43.17</v>
      </c>
      <c r="AE661">
        <v>27.75</v>
      </c>
      <c r="AF661">
        <f t="shared" si="10"/>
        <v>2</v>
      </c>
    </row>
    <row r="662" spans="29:32" x14ac:dyDescent="0.25">
      <c r="AC662">
        <v>43.21</v>
      </c>
      <c r="AE662">
        <v>27.81</v>
      </c>
      <c r="AF662">
        <f t="shared" si="10"/>
        <v>1</v>
      </c>
    </row>
    <row r="663" spans="29:32" x14ac:dyDescent="0.25">
      <c r="AC663">
        <v>43.28</v>
      </c>
      <c r="AE663">
        <v>27.9</v>
      </c>
      <c r="AF663">
        <f t="shared" si="10"/>
        <v>1</v>
      </c>
    </row>
    <row r="664" spans="29:32" x14ac:dyDescent="0.25">
      <c r="AC664">
        <v>43.37</v>
      </c>
      <c r="AE664">
        <v>27.94</v>
      </c>
      <c r="AF664">
        <f t="shared" si="10"/>
        <v>1</v>
      </c>
    </row>
    <row r="665" spans="29:32" x14ac:dyDescent="0.25">
      <c r="AC665">
        <v>43.33</v>
      </c>
      <c r="AE665">
        <v>28.02</v>
      </c>
      <c r="AF665">
        <f t="shared" si="10"/>
        <v>1</v>
      </c>
    </row>
    <row r="666" spans="29:32" x14ac:dyDescent="0.25">
      <c r="AC666">
        <v>43.36</v>
      </c>
      <c r="AE666">
        <v>28.03</v>
      </c>
      <c r="AF666">
        <f t="shared" si="10"/>
        <v>1</v>
      </c>
    </row>
    <row r="667" spans="29:32" x14ac:dyDescent="0.25">
      <c r="AC667">
        <v>43.37</v>
      </c>
      <c r="AE667">
        <v>28.09</v>
      </c>
      <c r="AF667">
        <f t="shared" si="10"/>
        <v>1</v>
      </c>
    </row>
    <row r="668" spans="29:32" x14ac:dyDescent="0.25">
      <c r="AC668">
        <v>43.37</v>
      </c>
      <c r="AE668">
        <v>28.15</v>
      </c>
      <c r="AF668">
        <f t="shared" si="10"/>
        <v>1</v>
      </c>
    </row>
    <row r="669" spans="29:32" x14ac:dyDescent="0.25">
      <c r="AC669">
        <v>43.49</v>
      </c>
      <c r="AE669">
        <v>28.23</v>
      </c>
      <c r="AF669">
        <f t="shared" si="10"/>
        <v>1</v>
      </c>
    </row>
    <row r="670" spans="29:32" x14ac:dyDescent="0.25">
      <c r="AC670">
        <v>43.55</v>
      </c>
      <c r="AE670">
        <v>28.25</v>
      </c>
      <c r="AF670">
        <f t="shared" si="10"/>
        <v>1</v>
      </c>
    </row>
    <row r="671" spans="29:32" x14ac:dyDescent="0.25">
      <c r="AC671">
        <v>43.62</v>
      </c>
      <c r="AE671">
        <v>28.29</v>
      </c>
      <c r="AF671">
        <f t="shared" si="10"/>
        <v>1</v>
      </c>
    </row>
    <row r="672" spans="29:32" x14ac:dyDescent="0.25">
      <c r="AC672">
        <v>43.73</v>
      </c>
      <c r="AE672">
        <v>28.29</v>
      </c>
      <c r="AF672">
        <f t="shared" si="10"/>
        <v>2</v>
      </c>
    </row>
    <row r="673" spans="29:32" x14ac:dyDescent="0.25">
      <c r="AC673">
        <v>43.74</v>
      </c>
      <c r="AE673">
        <v>28.34</v>
      </c>
      <c r="AF673">
        <f t="shared" si="10"/>
        <v>1</v>
      </c>
    </row>
    <row r="674" spans="29:32" x14ac:dyDescent="0.25">
      <c r="AC674">
        <v>43.61</v>
      </c>
      <c r="AE674">
        <v>28.34</v>
      </c>
      <c r="AF674">
        <f t="shared" si="10"/>
        <v>2</v>
      </c>
    </row>
    <row r="675" spans="29:32" x14ac:dyDescent="0.25">
      <c r="AC675">
        <v>43.83</v>
      </c>
      <c r="AE675">
        <v>28.35</v>
      </c>
      <c r="AF675">
        <f t="shared" si="10"/>
        <v>1</v>
      </c>
    </row>
    <row r="676" spans="29:32" x14ac:dyDescent="0.25">
      <c r="AC676">
        <v>43.83</v>
      </c>
      <c r="AE676">
        <v>28.41</v>
      </c>
      <c r="AF676">
        <f t="shared" si="10"/>
        <v>1</v>
      </c>
    </row>
    <row r="677" spans="29:32" x14ac:dyDescent="0.25">
      <c r="AC677">
        <v>43.88</v>
      </c>
      <c r="AE677">
        <v>28.44</v>
      </c>
      <c r="AF677">
        <f t="shared" si="10"/>
        <v>1</v>
      </c>
    </row>
    <row r="678" spans="29:32" x14ac:dyDescent="0.25">
      <c r="AC678">
        <v>43.88</v>
      </c>
      <c r="AE678">
        <v>28.45</v>
      </c>
      <c r="AF678">
        <f t="shared" si="10"/>
        <v>1</v>
      </c>
    </row>
    <row r="679" spans="29:32" x14ac:dyDescent="0.25">
      <c r="AC679">
        <v>43.97</v>
      </c>
      <c r="AE679">
        <v>28.5</v>
      </c>
      <c r="AF679">
        <f t="shared" si="10"/>
        <v>1</v>
      </c>
    </row>
    <row r="680" spans="29:32" x14ac:dyDescent="0.25">
      <c r="AC680">
        <v>43.98</v>
      </c>
      <c r="AE680">
        <v>28.51</v>
      </c>
      <c r="AF680">
        <f t="shared" si="10"/>
        <v>1</v>
      </c>
    </row>
    <row r="681" spans="29:32" x14ac:dyDescent="0.25">
      <c r="AC681">
        <v>44</v>
      </c>
      <c r="AE681">
        <v>28.52</v>
      </c>
      <c r="AF681">
        <f t="shared" si="10"/>
        <v>1</v>
      </c>
    </row>
    <row r="682" spans="29:32" x14ac:dyDescent="0.25">
      <c r="AC682">
        <v>44.1</v>
      </c>
      <c r="AE682">
        <v>28.54</v>
      </c>
      <c r="AF682">
        <f t="shared" si="10"/>
        <v>1</v>
      </c>
    </row>
    <row r="683" spans="29:32" x14ac:dyDescent="0.25">
      <c r="AC683">
        <v>44.21</v>
      </c>
      <c r="AE683">
        <v>28.54</v>
      </c>
      <c r="AF683">
        <f t="shared" si="10"/>
        <v>2</v>
      </c>
    </row>
    <row r="684" spans="29:32" x14ac:dyDescent="0.25">
      <c r="AC684">
        <v>44.14</v>
      </c>
      <c r="AE684">
        <v>28.57</v>
      </c>
      <c r="AF684">
        <f t="shared" si="10"/>
        <v>1</v>
      </c>
    </row>
    <row r="685" spans="29:32" x14ac:dyDescent="0.25">
      <c r="AC685">
        <v>44.24</v>
      </c>
      <c r="AE685">
        <v>28.58</v>
      </c>
      <c r="AF685">
        <f t="shared" si="10"/>
        <v>1</v>
      </c>
    </row>
    <row r="686" spans="29:32" x14ac:dyDescent="0.25">
      <c r="AC686">
        <v>44.23</v>
      </c>
      <c r="AE686">
        <v>28.6</v>
      </c>
      <c r="AF686">
        <f t="shared" si="10"/>
        <v>1</v>
      </c>
    </row>
    <row r="687" spans="29:32" x14ac:dyDescent="0.25">
      <c r="AC687">
        <v>44.26</v>
      </c>
      <c r="AE687">
        <v>28.61</v>
      </c>
      <c r="AF687">
        <f t="shared" si="10"/>
        <v>1</v>
      </c>
    </row>
    <row r="688" spans="29:32" x14ac:dyDescent="0.25">
      <c r="AC688">
        <v>44.24</v>
      </c>
      <c r="AE688">
        <v>28.64</v>
      </c>
      <c r="AF688">
        <f t="shared" si="10"/>
        <v>1</v>
      </c>
    </row>
    <row r="689" spans="29:32" x14ac:dyDescent="0.25">
      <c r="AC689">
        <v>44.32</v>
      </c>
      <c r="AE689">
        <v>28.65</v>
      </c>
      <c r="AF689">
        <f t="shared" si="10"/>
        <v>1</v>
      </c>
    </row>
    <row r="690" spans="29:32" x14ac:dyDescent="0.25">
      <c r="AC690">
        <v>44.34</v>
      </c>
      <c r="AE690">
        <v>28.65</v>
      </c>
      <c r="AF690">
        <f t="shared" si="10"/>
        <v>2</v>
      </c>
    </row>
    <row r="691" spans="29:32" x14ac:dyDescent="0.25">
      <c r="AC691">
        <v>44.35</v>
      </c>
      <c r="AE691">
        <v>28.67</v>
      </c>
      <c r="AF691">
        <f t="shared" si="10"/>
        <v>1</v>
      </c>
    </row>
    <row r="692" spans="29:32" x14ac:dyDescent="0.25">
      <c r="AC692">
        <v>44.32</v>
      </c>
      <c r="AE692">
        <v>28.67</v>
      </c>
      <c r="AF692">
        <f t="shared" si="10"/>
        <v>2</v>
      </c>
    </row>
    <row r="693" spans="29:32" x14ac:dyDescent="0.25">
      <c r="AC693">
        <v>44.41</v>
      </c>
      <c r="AE693">
        <v>28.71</v>
      </c>
      <c r="AF693">
        <f t="shared" si="10"/>
        <v>1</v>
      </c>
    </row>
    <row r="694" spans="29:32" x14ac:dyDescent="0.25">
      <c r="AC694">
        <v>44.39</v>
      </c>
      <c r="AE694">
        <v>28.73</v>
      </c>
      <c r="AF694">
        <f t="shared" si="10"/>
        <v>1</v>
      </c>
    </row>
    <row r="695" spans="29:32" x14ac:dyDescent="0.25">
      <c r="AC695">
        <v>44.54</v>
      </c>
      <c r="AE695">
        <v>28.74</v>
      </c>
      <c r="AF695">
        <f t="shared" si="10"/>
        <v>1</v>
      </c>
    </row>
    <row r="696" spans="29:32" x14ac:dyDescent="0.25">
      <c r="AC696">
        <v>44.42</v>
      </c>
      <c r="AE696">
        <v>28.77</v>
      </c>
      <c r="AF696">
        <f t="shared" si="10"/>
        <v>1</v>
      </c>
    </row>
    <row r="697" spans="29:32" x14ac:dyDescent="0.25">
      <c r="AC697">
        <v>44.46</v>
      </c>
      <c r="AE697">
        <v>28.9</v>
      </c>
      <c r="AF697">
        <f t="shared" si="10"/>
        <v>1</v>
      </c>
    </row>
    <row r="698" spans="29:32" x14ac:dyDescent="0.25">
      <c r="AC698">
        <v>44.57</v>
      </c>
      <c r="AE698">
        <v>28.94</v>
      </c>
      <c r="AF698">
        <f t="shared" si="10"/>
        <v>1</v>
      </c>
    </row>
    <row r="699" spans="29:32" x14ac:dyDescent="0.25">
      <c r="AC699">
        <v>44.68</v>
      </c>
      <c r="AE699">
        <v>28.96</v>
      </c>
      <c r="AF699">
        <f t="shared" si="10"/>
        <v>1</v>
      </c>
    </row>
    <row r="700" spans="29:32" x14ac:dyDescent="0.25">
      <c r="AC700">
        <v>44.67</v>
      </c>
      <c r="AE700">
        <v>29</v>
      </c>
      <c r="AF700">
        <f t="shared" si="10"/>
        <v>1</v>
      </c>
    </row>
    <row r="701" spans="29:32" x14ac:dyDescent="0.25">
      <c r="AC701">
        <v>44.59</v>
      </c>
      <c r="AE701">
        <v>29.01</v>
      </c>
      <c r="AF701">
        <f t="shared" si="10"/>
        <v>1</v>
      </c>
    </row>
    <row r="702" spans="29:32" x14ac:dyDescent="0.25">
      <c r="AC702">
        <v>44.68</v>
      </c>
      <c r="AE702">
        <v>29.09</v>
      </c>
      <c r="AF702">
        <f t="shared" si="10"/>
        <v>1</v>
      </c>
    </row>
    <row r="703" spans="29:32" x14ac:dyDescent="0.25">
      <c r="AC703">
        <v>44.74</v>
      </c>
      <c r="AE703">
        <v>29.11</v>
      </c>
      <c r="AF703">
        <f t="shared" si="10"/>
        <v>1</v>
      </c>
    </row>
    <row r="704" spans="29:32" x14ac:dyDescent="0.25">
      <c r="AC704">
        <v>44.7</v>
      </c>
      <c r="AE704">
        <v>29.16</v>
      </c>
      <c r="AF704">
        <f t="shared" si="10"/>
        <v>1</v>
      </c>
    </row>
    <row r="705" spans="29:32" x14ac:dyDescent="0.25">
      <c r="AC705">
        <v>44.73</v>
      </c>
      <c r="AE705">
        <v>29.18</v>
      </c>
      <c r="AF705">
        <f t="shared" si="10"/>
        <v>1</v>
      </c>
    </row>
    <row r="706" spans="29:32" x14ac:dyDescent="0.25">
      <c r="AC706">
        <v>44.81</v>
      </c>
      <c r="AE706">
        <v>29.19</v>
      </c>
      <c r="AF706">
        <f t="shared" si="10"/>
        <v>1</v>
      </c>
    </row>
    <row r="707" spans="29:32" x14ac:dyDescent="0.25">
      <c r="AC707">
        <v>44.71</v>
      </c>
      <c r="AE707">
        <v>29.22</v>
      </c>
      <c r="AF707">
        <f t="shared" si="10"/>
        <v>1</v>
      </c>
    </row>
    <row r="708" spans="29:32" x14ac:dyDescent="0.25">
      <c r="AC708">
        <v>44.77</v>
      </c>
      <c r="AE708">
        <v>29.22</v>
      </c>
      <c r="AF708">
        <f t="shared" ref="AF708:AF771" si="11">IF(AE708=AE707,AF707+1,1)</f>
        <v>2</v>
      </c>
    </row>
    <row r="709" spans="29:32" x14ac:dyDescent="0.25">
      <c r="AC709">
        <v>44.91</v>
      </c>
      <c r="AE709">
        <v>29.24</v>
      </c>
      <c r="AF709">
        <f t="shared" si="11"/>
        <v>1</v>
      </c>
    </row>
    <row r="710" spans="29:32" x14ac:dyDescent="0.25">
      <c r="AC710">
        <v>44.9</v>
      </c>
      <c r="AE710">
        <v>29.29</v>
      </c>
      <c r="AF710">
        <f t="shared" si="11"/>
        <v>1</v>
      </c>
    </row>
    <row r="711" spans="29:32" x14ac:dyDescent="0.25">
      <c r="AC711">
        <v>45.01</v>
      </c>
      <c r="AE711">
        <v>29.31</v>
      </c>
      <c r="AF711">
        <f t="shared" si="11"/>
        <v>1</v>
      </c>
    </row>
    <row r="712" spans="29:32" x14ac:dyDescent="0.25">
      <c r="AC712">
        <v>45.01</v>
      </c>
      <c r="AE712">
        <v>29.35</v>
      </c>
      <c r="AF712">
        <f t="shared" si="11"/>
        <v>1</v>
      </c>
    </row>
    <row r="713" spans="29:32" x14ac:dyDescent="0.25">
      <c r="AC713">
        <v>45.05</v>
      </c>
      <c r="AE713">
        <v>29.42</v>
      </c>
      <c r="AF713">
        <f t="shared" si="11"/>
        <v>1</v>
      </c>
    </row>
    <row r="714" spans="29:32" x14ac:dyDescent="0.25">
      <c r="AC714">
        <v>44.94</v>
      </c>
      <c r="AE714">
        <v>29.46</v>
      </c>
      <c r="AF714">
        <f t="shared" si="11"/>
        <v>1</v>
      </c>
    </row>
    <row r="715" spans="29:32" x14ac:dyDescent="0.25">
      <c r="AC715">
        <v>45.04</v>
      </c>
      <c r="AE715">
        <v>29.48</v>
      </c>
      <c r="AF715">
        <f t="shared" si="11"/>
        <v>1</v>
      </c>
    </row>
    <row r="716" spans="29:32" x14ac:dyDescent="0.25">
      <c r="AC716">
        <v>45.11</v>
      </c>
      <c r="AE716">
        <v>29.51</v>
      </c>
      <c r="AF716">
        <f t="shared" si="11"/>
        <v>1</v>
      </c>
    </row>
    <row r="717" spans="29:32" x14ac:dyDescent="0.25">
      <c r="AC717">
        <v>45.06</v>
      </c>
      <c r="AE717">
        <v>29.53</v>
      </c>
      <c r="AF717">
        <f t="shared" si="11"/>
        <v>1</v>
      </c>
    </row>
    <row r="718" spans="29:32" x14ac:dyDescent="0.25">
      <c r="AC718">
        <v>45.1</v>
      </c>
      <c r="AE718">
        <v>29.61</v>
      </c>
      <c r="AF718">
        <f t="shared" si="11"/>
        <v>1</v>
      </c>
    </row>
    <row r="719" spans="29:32" x14ac:dyDescent="0.25">
      <c r="AC719">
        <v>45.12</v>
      </c>
      <c r="AE719">
        <v>29.61</v>
      </c>
      <c r="AF719">
        <f t="shared" si="11"/>
        <v>2</v>
      </c>
    </row>
    <row r="720" spans="29:32" x14ac:dyDescent="0.25">
      <c r="AC720">
        <v>45.31</v>
      </c>
      <c r="AE720">
        <v>29.65</v>
      </c>
      <c r="AF720">
        <f t="shared" si="11"/>
        <v>1</v>
      </c>
    </row>
    <row r="721" spans="29:32" x14ac:dyDescent="0.25">
      <c r="AC721">
        <v>45.28</v>
      </c>
      <c r="AE721">
        <v>29.71</v>
      </c>
      <c r="AF721">
        <f t="shared" si="11"/>
        <v>1</v>
      </c>
    </row>
    <row r="722" spans="29:32" x14ac:dyDescent="0.25">
      <c r="AC722">
        <v>45.25</v>
      </c>
      <c r="AE722">
        <v>29.71</v>
      </c>
      <c r="AF722">
        <f t="shared" si="11"/>
        <v>2</v>
      </c>
    </row>
    <row r="723" spans="29:32" x14ac:dyDescent="0.25">
      <c r="AC723">
        <v>45.46</v>
      </c>
      <c r="AE723">
        <v>29.77</v>
      </c>
      <c r="AF723">
        <f t="shared" si="11"/>
        <v>1</v>
      </c>
    </row>
    <row r="724" spans="29:32" x14ac:dyDescent="0.25">
      <c r="AC724">
        <v>45.48</v>
      </c>
      <c r="AE724">
        <v>29.94</v>
      </c>
      <c r="AF724">
        <f t="shared" si="11"/>
        <v>1</v>
      </c>
    </row>
    <row r="725" spans="29:32" x14ac:dyDescent="0.25">
      <c r="AC725">
        <v>45.57</v>
      </c>
      <c r="AE725">
        <v>29.96</v>
      </c>
      <c r="AF725">
        <f t="shared" si="11"/>
        <v>1</v>
      </c>
    </row>
    <row r="726" spans="29:32" x14ac:dyDescent="0.25">
      <c r="AC726">
        <v>45.48</v>
      </c>
      <c r="AE726">
        <v>29.96</v>
      </c>
      <c r="AF726">
        <f t="shared" si="11"/>
        <v>2</v>
      </c>
    </row>
    <row r="727" spans="29:32" x14ac:dyDescent="0.25">
      <c r="AC727">
        <v>45.5</v>
      </c>
      <c r="AE727">
        <v>30.02</v>
      </c>
      <c r="AF727">
        <f t="shared" si="11"/>
        <v>1</v>
      </c>
    </row>
    <row r="728" spans="29:32" x14ac:dyDescent="0.25">
      <c r="AC728">
        <v>45.59</v>
      </c>
      <c r="AE728">
        <v>30.02</v>
      </c>
      <c r="AF728">
        <f t="shared" si="11"/>
        <v>2</v>
      </c>
    </row>
    <row r="729" spans="29:32" x14ac:dyDescent="0.25">
      <c r="AC729">
        <v>45.77</v>
      </c>
      <c r="AE729">
        <v>30.09</v>
      </c>
      <c r="AF729">
        <f t="shared" si="11"/>
        <v>1</v>
      </c>
    </row>
    <row r="730" spans="29:32" x14ac:dyDescent="0.25">
      <c r="AC730">
        <v>45.97</v>
      </c>
      <c r="AE730">
        <v>30.09</v>
      </c>
      <c r="AF730">
        <f t="shared" si="11"/>
        <v>2</v>
      </c>
    </row>
    <row r="731" spans="29:32" x14ac:dyDescent="0.25">
      <c r="AC731">
        <v>46.02</v>
      </c>
      <c r="AE731">
        <v>30.12</v>
      </c>
      <c r="AF731">
        <f t="shared" si="11"/>
        <v>1</v>
      </c>
    </row>
    <row r="732" spans="29:32" x14ac:dyDescent="0.25">
      <c r="AC732">
        <v>46.09</v>
      </c>
      <c r="AE732">
        <v>30.19</v>
      </c>
      <c r="AF732">
        <f t="shared" si="11"/>
        <v>1</v>
      </c>
    </row>
    <row r="733" spans="29:32" x14ac:dyDescent="0.25">
      <c r="AC733">
        <v>46.36</v>
      </c>
      <c r="AE733">
        <v>30.25</v>
      </c>
      <c r="AF733">
        <f t="shared" si="11"/>
        <v>1</v>
      </c>
    </row>
    <row r="734" spans="29:32" x14ac:dyDescent="0.25">
      <c r="AC734">
        <v>46.38</v>
      </c>
      <c r="AE734">
        <v>30.44</v>
      </c>
      <c r="AF734">
        <f t="shared" si="11"/>
        <v>1</v>
      </c>
    </row>
    <row r="735" spans="29:32" x14ac:dyDescent="0.25">
      <c r="AC735">
        <v>46.39</v>
      </c>
      <c r="AE735">
        <v>30.51</v>
      </c>
      <c r="AF735">
        <f t="shared" si="11"/>
        <v>1</v>
      </c>
    </row>
    <row r="736" spans="29:32" x14ac:dyDescent="0.25">
      <c r="AC736">
        <v>46.44</v>
      </c>
      <c r="AE736">
        <v>30.58</v>
      </c>
      <c r="AF736">
        <f t="shared" si="11"/>
        <v>1</v>
      </c>
    </row>
    <row r="737" spans="29:32" x14ac:dyDescent="0.25">
      <c r="AC737">
        <v>46.59</v>
      </c>
      <c r="AE737">
        <v>30.58</v>
      </c>
      <c r="AF737">
        <f t="shared" si="11"/>
        <v>2</v>
      </c>
    </row>
    <row r="738" spans="29:32" x14ac:dyDescent="0.25">
      <c r="AC738">
        <v>46.55</v>
      </c>
      <c r="AE738">
        <v>30.63</v>
      </c>
      <c r="AF738">
        <f t="shared" si="11"/>
        <v>1</v>
      </c>
    </row>
    <row r="739" spans="29:32" x14ac:dyDescent="0.25">
      <c r="AC739">
        <v>46.65</v>
      </c>
      <c r="AE739">
        <v>30.66</v>
      </c>
      <c r="AF739">
        <f t="shared" si="11"/>
        <v>1</v>
      </c>
    </row>
    <row r="740" spans="29:32" x14ac:dyDescent="0.25">
      <c r="AC740">
        <v>46.68</v>
      </c>
      <c r="AE740">
        <v>30.69</v>
      </c>
      <c r="AF740">
        <f t="shared" si="11"/>
        <v>1</v>
      </c>
    </row>
    <row r="741" spans="29:32" x14ac:dyDescent="0.25">
      <c r="AC741">
        <v>47.03</v>
      </c>
      <c r="AE741">
        <v>30.71</v>
      </c>
      <c r="AF741">
        <f t="shared" si="11"/>
        <v>1</v>
      </c>
    </row>
    <row r="742" spans="29:32" x14ac:dyDescent="0.25">
      <c r="AC742">
        <v>47.09</v>
      </c>
      <c r="AE742">
        <v>30.75</v>
      </c>
      <c r="AF742">
        <f t="shared" si="11"/>
        <v>1</v>
      </c>
    </row>
    <row r="743" spans="29:32" x14ac:dyDescent="0.25">
      <c r="AC743">
        <v>47.15</v>
      </c>
      <c r="AE743">
        <v>30.77</v>
      </c>
      <c r="AF743">
        <f t="shared" si="11"/>
        <v>1</v>
      </c>
    </row>
    <row r="744" spans="29:32" x14ac:dyDescent="0.25">
      <c r="AC744">
        <v>47.41</v>
      </c>
      <c r="AE744">
        <v>30.78</v>
      </c>
      <c r="AF744">
        <f t="shared" si="11"/>
        <v>1</v>
      </c>
    </row>
    <row r="745" spans="29:32" x14ac:dyDescent="0.25">
      <c r="AC745">
        <v>47.41</v>
      </c>
      <c r="AE745">
        <v>30.82</v>
      </c>
      <c r="AF745">
        <f t="shared" si="11"/>
        <v>1</v>
      </c>
    </row>
    <row r="746" spans="29:32" x14ac:dyDescent="0.25">
      <c r="AC746">
        <v>47.94</v>
      </c>
      <c r="AE746">
        <v>30.85</v>
      </c>
      <c r="AF746">
        <f t="shared" si="11"/>
        <v>1</v>
      </c>
    </row>
    <row r="747" spans="29:32" x14ac:dyDescent="0.25">
      <c r="AC747">
        <v>48.22</v>
      </c>
      <c r="AE747">
        <v>30.89</v>
      </c>
      <c r="AF747">
        <f t="shared" si="11"/>
        <v>1</v>
      </c>
    </row>
    <row r="748" spans="29:32" x14ac:dyDescent="0.25">
      <c r="AC748">
        <v>48.83</v>
      </c>
      <c r="AE748">
        <v>30.91</v>
      </c>
      <c r="AF748">
        <f t="shared" si="11"/>
        <v>1</v>
      </c>
    </row>
    <row r="749" spans="29:32" x14ac:dyDescent="0.25">
      <c r="AC749">
        <v>50.19</v>
      </c>
      <c r="AE749">
        <v>30.94</v>
      </c>
      <c r="AF749">
        <f t="shared" si="11"/>
        <v>1</v>
      </c>
    </row>
    <row r="750" spans="29:32" x14ac:dyDescent="0.25">
      <c r="AC750">
        <v>51.11</v>
      </c>
      <c r="AE750">
        <v>31.13</v>
      </c>
      <c r="AF750">
        <f t="shared" si="11"/>
        <v>1</v>
      </c>
    </row>
    <row r="751" spans="29:32" x14ac:dyDescent="0.25">
      <c r="AC751">
        <v>51.32</v>
      </c>
      <c r="AE751">
        <v>31.13</v>
      </c>
      <c r="AF751">
        <f t="shared" si="11"/>
        <v>2</v>
      </c>
    </row>
    <row r="752" spans="29:32" x14ac:dyDescent="0.25">
      <c r="AC752">
        <v>51.85</v>
      </c>
      <c r="AE752">
        <v>31.13</v>
      </c>
      <c r="AF752">
        <f t="shared" si="11"/>
        <v>3</v>
      </c>
    </row>
    <row r="753" spans="29:32" x14ac:dyDescent="0.25">
      <c r="AC753">
        <v>52.62</v>
      </c>
      <c r="AE753">
        <v>31.18</v>
      </c>
      <c r="AF753">
        <f t="shared" si="11"/>
        <v>1</v>
      </c>
    </row>
    <row r="754" spans="29:32" x14ac:dyDescent="0.25">
      <c r="AC754">
        <v>53.12</v>
      </c>
      <c r="AE754">
        <v>31.23</v>
      </c>
      <c r="AF754">
        <f t="shared" si="11"/>
        <v>1</v>
      </c>
    </row>
    <row r="755" spans="29:32" x14ac:dyDescent="0.25">
      <c r="AC755" cm="1">
        <f t="array" ref="AC755:AC1005">S2:S252</f>
        <v>18.760000000000002</v>
      </c>
      <c r="AE755">
        <v>31.31</v>
      </c>
      <c r="AF755">
        <f t="shared" si="11"/>
        <v>1</v>
      </c>
    </row>
    <row r="756" spans="29:32" x14ac:dyDescent="0.25">
      <c r="AC756">
        <v>18.97</v>
      </c>
      <c r="AE756">
        <v>31.36</v>
      </c>
      <c r="AF756">
        <f t="shared" si="11"/>
        <v>1</v>
      </c>
    </row>
    <row r="757" spans="29:32" x14ac:dyDescent="0.25">
      <c r="AC757">
        <v>19.579999999999998</v>
      </c>
      <c r="AE757">
        <v>31.37</v>
      </c>
      <c r="AF757">
        <f t="shared" si="11"/>
        <v>1</v>
      </c>
    </row>
    <row r="758" spans="29:32" x14ac:dyDescent="0.25">
      <c r="AC758">
        <v>21.24</v>
      </c>
      <c r="AE758">
        <v>31.41</v>
      </c>
      <c r="AF758">
        <f t="shared" si="11"/>
        <v>1</v>
      </c>
    </row>
    <row r="759" spans="29:32" x14ac:dyDescent="0.25">
      <c r="AC759">
        <v>21.45</v>
      </c>
      <c r="AE759">
        <v>31.42</v>
      </c>
      <c r="AF759">
        <f t="shared" si="11"/>
        <v>1</v>
      </c>
    </row>
    <row r="760" spans="29:32" x14ac:dyDescent="0.25">
      <c r="AC760">
        <v>20.99</v>
      </c>
      <c r="AE760">
        <v>31.45</v>
      </c>
      <c r="AF760">
        <f t="shared" si="11"/>
        <v>1</v>
      </c>
    </row>
    <row r="761" spans="29:32" x14ac:dyDescent="0.25">
      <c r="AC761">
        <v>21.39</v>
      </c>
      <c r="AE761">
        <v>31.56</v>
      </c>
      <c r="AF761">
        <f t="shared" si="11"/>
        <v>1</v>
      </c>
    </row>
    <row r="762" spans="29:32" x14ac:dyDescent="0.25">
      <c r="AC762">
        <v>20.6</v>
      </c>
      <c r="AE762">
        <v>31.57</v>
      </c>
      <c r="AF762">
        <f t="shared" si="11"/>
        <v>1</v>
      </c>
    </row>
    <row r="763" spans="29:32" x14ac:dyDescent="0.25">
      <c r="AC763">
        <v>21.6</v>
      </c>
      <c r="AE763">
        <v>31.62</v>
      </c>
      <c r="AF763">
        <f t="shared" si="11"/>
        <v>1</v>
      </c>
    </row>
    <row r="764" spans="29:32" x14ac:dyDescent="0.25">
      <c r="AC764">
        <v>21.52</v>
      </c>
      <c r="AE764">
        <v>31.66</v>
      </c>
      <c r="AF764">
        <f t="shared" si="11"/>
        <v>1</v>
      </c>
    </row>
    <row r="765" spans="29:32" x14ac:dyDescent="0.25">
      <c r="AC765">
        <v>21.12</v>
      </c>
      <c r="AE765">
        <v>31.68</v>
      </c>
      <c r="AF765">
        <f t="shared" si="11"/>
        <v>1</v>
      </c>
    </row>
    <row r="766" spans="29:32" x14ac:dyDescent="0.25">
      <c r="AC766">
        <v>22.3</v>
      </c>
      <c r="AE766">
        <v>31.69</v>
      </c>
      <c r="AF766">
        <f t="shared" si="11"/>
        <v>1</v>
      </c>
    </row>
    <row r="767" spans="29:32" x14ac:dyDescent="0.25">
      <c r="AC767">
        <v>21.26</v>
      </c>
      <c r="AE767">
        <v>31.8</v>
      </c>
      <c r="AF767">
        <f t="shared" si="11"/>
        <v>1</v>
      </c>
    </row>
    <row r="768" spans="29:32" x14ac:dyDescent="0.25">
      <c r="AC768">
        <v>21.77</v>
      </c>
      <c r="AE768">
        <v>31.92</v>
      </c>
      <c r="AF768">
        <f t="shared" si="11"/>
        <v>1</v>
      </c>
    </row>
    <row r="769" spans="29:32" x14ac:dyDescent="0.25">
      <c r="AC769">
        <v>22.19</v>
      </c>
      <c r="AE769">
        <v>31.95</v>
      </c>
      <c r="AF769">
        <f t="shared" si="11"/>
        <v>1</v>
      </c>
    </row>
    <row r="770" spans="29:32" x14ac:dyDescent="0.25">
      <c r="AC770">
        <v>22.71</v>
      </c>
      <c r="AE770">
        <v>32.01</v>
      </c>
      <c r="AF770">
        <f t="shared" si="11"/>
        <v>1</v>
      </c>
    </row>
    <row r="771" spans="29:32" x14ac:dyDescent="0.25">
      <c r="AC771">
        <v>21.58</v>
      </c>
      <c r="AE771">
        <v>32.06</v>
      </c>
      <c r="AF771">
        <f t="shared" si="11"/>
        <v>1</v>
      </c>
    </row>
    <row r="772" spans="29:32" x14ac:dyDescent="0.25">
      <c r="AC772">
        <v>21.23</v>
      </c>
      <c r="AE772">
        <v>32.090000000000003</v>
      </c>
      <c r="AF772">
        <f t="shared" ref="AF772:AF835" si="12">IF(AE772=AE771,AF771+1,1)</f>
        <v>1</v>
      </c>
    </row>
    <row r="773" spans="29:32" x14ac:dyDescent="0.25">
      <c r="AC773">
        <v>20.78</v>
      </c>
      <c r="AE773">
        <v>32.11</v>
      </c>
      <c r="AF773">
        <f t="shared" si="12"/>
        <v>1</v>
      </c>
    </row>
    <row r="774" spans="29:32" x14ac:dyDescent="0.25">
      <c r="AC774">
        <v>22.3</v>
      </c>
      <c r="AE774">
        <v>32.119999999999997</v>
      </c>
      <c r="AF774">
        <f t="shared" si="12"/>
        <v>1</v>
      </c>
    </row>
    <row r="775" spans="29:32" x14ac:dyDescent="0.25">
      <c r="AC775">
        <v>23.14</v>
      </c>
      <c r="AE775">
        <v>32.159999999999997</v>
      </c>
      <c r="AF775">
        <f t="shared" si="12"/>
        <v>1</v>
      </c>
    </row>
    <row r="776" spans="29:32" x14ac:dyDescent="0.25">
      <c r="AC776">
        <v>22.95</v>
      </c>
      <c r="AE776">
        <v>32.159999999999997</v>
      </c>
      <c r="AF776">
        <f t="shared" si="12"/>
        <v>2</v>
      </c>
    </row>
    <row r="777" spans="29:32" x14ac:dyDescent="0.25">
      <c r="AC777">
        <v>21.87</v>
      </c>
      <c r="AE777">
        <v>32.18</v>
      </c>
      <c r="AF777">
        <f t="shared" si="12"/>
        <v>1</v>
      </c>
    </row>
    <row r="778" spans="29:32" x14ac:dyDescent="0.25">
      <c r="AC778">
        <v>22.31</v>
      </c>
      <c r="AE778">
        <v>32.22</v>
      </c>
      <c r="AF778">
        <f t="shared" si="12"/>
        <v>1</v>
      </c>
    </row>
    <row r="779" spans="29:32" x14ac:dyDescent="0.25">
      <c r="AC779">
        <v>22</v>
      </c>
      <c r="AE779">
        <v>32.24</v>
      </c>
      <c r="AF779">
        <f t="shared" si="12"/>
        <v>1</v>
      </c>
    </row>
    <row r="780" spans="29:32" x14ac:dyDescent="0.25">
      <c r="AC780">
        <v>23.23</v>
      </c>
      <c r="AE780">
        <v>32.25</v>
      </c>
      <c r="AF780">
        <f t="shared" si="12"/>
        <v>1</v>
      </c>
    </row>
    <row r="781" spans="29:32" x14ac:dyDescent="0.25">
      <c r="AC781">
        <v>22.2</v>
      </c>
      <c r="AE781">
        <v>32.26</v>
      </c>
      <c r="AF781">
        <f t="shared" si="12"/>
        <v>1</v>
      </c>
    </row>
    <row r="782" spans="29:32" x14ac:dyDescent="0.25">
      <c r="AC782">
        <v>22.02</v>
      </c>
      <c r="AE782">
        <v>32.29</v>
      </c>
      <c r="AF782">
        <f t="shared" si="12"/>
        <v>1</v>
      </c>
    </row>
    <row r="783" spans="29:32" x14ac:dyDescent="0.25">
      <c r="AC783">
        <v>22.03</v>
      </c>
      <c r="AE783">
        <v>32.299999999999997</v>
      </c>
      <c r="AF783">
        <f t="shared" si="12"/>
        <v>1</v>
      </c>
    </row>
    <row r="784" spans="29:32" x14ac:dyDescent="0.25">
      <c r="AC784">
        <v>22.39</v>
      </c>
      <c r="AE784">
        <v>32.32</v>
      </c>
      <c r="AF784">
        <f t="shared" si="12"/>
        <v>1</v>
      </c>
    </row>
    <row r="785" spans="29:32" x14ac:dyDescent="0.25">
      <c r="AC785">
        <v>22.57</v>
      </c>
      <c r="AE785">
        <v>32.340000000000003</v>
      </c>
      <c r="AF785">
        <f t="shared" si="12"/>
        <v>1</v>
      </c>
    </row>
    <row r="786" spans="29:32" x14ac:dyDescent="0.25">
      <c r="AC786">
        <v>20.93</v>
      </c>
      <c r="AE786">
        <v>32.35</v>
      </c>
      <c r="AF786">
        <f t="shared" si="12"/>
        <v>1</v>
      </c>
    </row>
    <row r="787" spans="29:32" x14ac:dyDescent="0.25">
      <c r="AC787">
        <v>22.36</v>
      </c>
      <c r="AE787">
        <v>32.35</v>
      </c>
      <c r="AF787">
        <f t="shared" si="12"/>
        <v>2</v>
      </c>
    </row>
    <row r="788" spans="29:32" x14ac:dyDescent="0.25">
      <c r="AC788">
        <v>22.27</v>
      </c>
      <c r="AE788">
        <v>32.369999999999997</v>
      </c>
      <c r="AF788">
        <f t="shared" si="12"/>
        <v>1</v>
      </c>
    </row>
    <row r="789" spans="29:32" x14ac:dyDescent="0.25">
      <c r="AC789">
        <v>21.25</v>
      </c>
      <c r="AE789">
        <v>32.369999999999997</v>
      </c>
      <c r="AF789">
        <f t="shared" si="12"/>
        <v>2</v>
      </c>
    </row>
    <row r="790" spans="29:32" x14ac:dyDescent="0.25">
      <c r="AC790">
        <v>22.45</v>
      </c>
      <c r="AE790">
        <v>32.380000000000003</v>
      </c>
      <c r="AF790">
        <f t="shared" si="12"/>
        <v>1</v>
      </c>
    </row>
    <row r="791" spans="29:32" x14ac:dyDescent="0.25">
      <c r="AC791">
        <v>22.17</v>
      </c>
      <c r="AE791">
        <v>32.39</v>
      </c>
      <c r="AF791">
        <f t="shared" si="12"/>
        <v>1</v>
      </c>
    </row>
    <row r="792" spans="29:32" x14ac:dyDescent="0.25">
      <c r="AC792">
        <v>22.69</v>
      </c>
      <c r="AE792">
        <v>32.409999999999997</v>
      </c>
      <c r="AF792">
        <f t="shared" si="12"/>
        <v>1</v>
      </c>
    </row>
    <row r="793" spans="29:32" x14ac:dyDescent="0.25">
      <c r="AC793">
        <v>23.16</v>
      </c>
      <c r="AE793">
        <v>32.450000000000003</v>
      </c>
      <c r="AF793">
        <f t="shared" si="12"/>
        <v>1</v>
      </c>
    </row>
    <row r="794" spans="29:32" x14ac:dyDescent="0.25">
      <c r="AC794">
        <v>21.59</v>
      </c>
      <c r="AE794">
        <v>32.450000000000003</v>
      </c>
      <c r="AF794">
        <f t="shared" si="12"/>
        <v>2</v>
      </c>
    </row>
    <row r="795" spans="29:32" x14ac:dyDescent="0.25">
      <c r="AC795">
        <v>23.37</v>
      </c>
      <c r="AE795">
        <v>32.5</v>
      </c>
      <c r="AF795">
        <f t="shared" si="12"/>
        <v>1</v>
      </c>
    </row>
    <row r="796" spans="29:32" x14ac:dyDescent="0.25">
      <c r="AC796">
        <v>23.77</v>
      </c>
      <c r="AE796">
        <v>32.520000000000003</v>
      </c>
      <c r="AF796">
        <f t="shared" si="12"/>
        <v>1</v>
      </c>
    </row>
    <row r="797" spans="29:32" x14ac:dyDescent="0.25">
      <c r="AC797">
        <v>23.28</v>
      </c>
      <c r="AE797">
        <v>32.56</v>
      </c>
      <c r="AF797">
        <f t="shared" si="12"/>
        <v>1</v>
      </c>
    </row>
    <row r="798" spans="29:32" x14ac:dyDescent="0.25">
      <c r="AC798">
        <v>24</v>
      </c>
      <c r="AE798">
        <v>32.57</v>
      </c>
      <c r="AF798">
        <f t="shared" si="12"/>
        <v>1</v>
      </c>
    </row>
    <row r="799" spans="29:32" x14ac:dyDescent="0.25">
      <c r="AC799">
        <v>23.71</v>
      </c>
      <c r="AE799">
        <v>32.590000000000003</v>
      </c>
      <c r="AF799">
        <f t="shared" si="12"/>
        <v>1</v>
      </c>
    </row>
    <row r="800" spans="29:32" x14ac:dyDescent="0.25">
      <c r="AC800">
        <v>23.63</v>
      </c>
      <c r="AE800">
        <v>32.61</v>
      </c>
      <c r="AF800">
        <f t="shared" si="12"/>
        <v>1</v>
      </c>
    </row>
    <row r="801" spans="29:32" x14ac:dyDescent="0.25">
      <c r="AC801">
        <v>23.46</v>
      </c>
      <c r="AE801">
        <v>32.61</v>
      </c>
      <c r="AF801">
        <f t="shared" si="12"/>
        <v>2</v>
      </c>
    </row>
    <row r="802" spans="29:32" x14ac:dyDescent="0.25">
      <c r="AC802">
        <v>23.64</v>
      </c>
      <c r="AE802">
        <v>32.64</v>
      </c>
      <c r="AF802">
        <f t="shared" si="12"/>
        <v>1</v>
      </c>
    </row>
    <row r="803" spans="29:32" x14ac:dyDescent="0.25">
      <c r="AC803">
        <v>24.19</v>
      </c>
      <c r="AE803">
        <v>32.65</v>
      </c>
      <c r="AF803">
        <f t="shared" si="12"/>
        <v>1</v>
      </c>
    </row>
    <row r="804" spans="29:32" x14ac:dyDescent="0.25">
      <c r="AC804">
        <v>24.73</v>
      </c>
      <c r="AE804">
        <v>32.659999999999997</v>
      </c>
      <c r="AF804">
        <f t="shared" si="12"/>
        <v>1</v>
      </c>
    </row>
    <row r="805" spans="29:32" x14ac:dyDescent="0.25">
      <c r="AC805">
        <v>25.46</v>
      </c>
      <c r="AE805">
        <v>32.700000000000003</v>
      </c>
      <c r="AF805">
        <f t="shared" si="12"/>
        <v>1</v>
      </c>
    </row>
    <row r="806" spans="29:32" x14ac:dyDescent="0.25">
      <c r="AC806">
        <v>25.77</v>
      </c>
      <c r="AE806">
        <v>32.71</v>
      </c>
      <c r="AF806">
        <f t="shared" si="12"/>
        <v>1</v>
      </c>
    </row>
    <row r="807" spans="29:32" x14ac:dyDescent="0.25">
      <c r="AC807">
        <v>26.8</v>
      </c>
      <c r="AE807">
        <v>32.729999999999997</v>
      </c>
      <c r="AF807">
        <f t="shared" si="12"/>
        <v>1</v>
      </c>
    </row>
    <row r="808" spans="29:32" x14ac:dyDescent="0.25">
      <c r="AC808">
        <v>27.25</v>
      </c>
      <c r="AE808">
        <v>32.770000000000003</v>
      </c>
      <c r="AF808">
        <f t="shared" si="12"/>
        <v>1</v>
      </c>
    </row>
    <row r="809" spans="29:32" x14ac:dyDescent="0.25">
      <c r="AC809">
        <v>28.96</v>
      </c>
      <c r="AE809">
        <v>32.79</v>
      </c>
      <c r="AF809">
        <f t="shared" si="12"/>
        <v>1</v>
      </c>
    </row>
    <row r="810" spans="29:32" x14ac:dyDescent="0.25">
      <c r="AC810">
        <v>28.03</v>
      </c>
      <c r="AE810">
        <v>32.840000000000003</v>
      </c>
      <c r="AF810">
        <f t="shared" si="12"/>
        <v>1</v>
      </c>
    </row>
    <row r="811" spans="29:32" x14ac:dyDescent="0.25">
      <c r="AC811">
        <v>29.09</v>
      </c>
      <c r="AE811">
        <v>32.94</v>
      </c>
      <c r="AF811">
        <f t="shared" si="12"/>
        <v>1</v>
      </c>
    </row>
    <row r="812" spans="29:32" x14ac:dyDescent="0.25">
      <c r="AC812">
        <v>31.13</v>
      </c>
      <c r="AE812">
        <v>32.950000000000003</v>
      </c>
      <c r="AF812">
        <f t="shared" si="12"/>
        <v>1</v>
      </c>
    </row>
    <row r="813" spans="29:32" x14ac:dyDescent="0.25">
      <c r="AC813">
        <v>31.8</v>
      </c>
      <c r="AE813">
        <v>32.979999999999997</v>
      </c>
      <c r="AF813">
        <f t="shared" si="12"/>
        <v>1</v>
      </c>
    </row>
    <row r="814" spans="29:32" x14ac:dyDescent="0.25">
      <c r="AC814">
        <v>34.22</v>
      </c>
      <c r="AE814">
        <v>33</v>
      </c>
      <c r="AF814">
        <f t="shared" si="12"/>
        <v>1</v>
      </c>
    </row>
    <row r="815" spans="29:32" x14ac:dyDescent="0.25">
      <c r="AC815">
        <v>35.04</v>
      </c>
      <c r="AE815">
        <v>33.01</v>
      </c>
      <c r="AF815">
        <f t="shared" si="12"/>
        <v>1</v>
      </c>
    </row>
    <row r="816" spans="29:32" x14ac:dyDescent="0.25">
      <c r="AC816">
        <v>35.43</v>
      </c>
      <c r="AE816">
        <v>33.01</v>
      </c>
      <c r="AF816">
        <f t="shared" si="12"/>
        <v>2</v>
      </c>
    </row>
    <row r="817" spans="29:32" x14ac:dyDescent="0.25">
      <c r="AC817">
        <v>35.17</v>
      </c>
      <c r="AE817">
        <v>33.049999999999997</v>
      </c>
      <c r="AF817">
        <f t="shared" si="12"/>
        <v>1</v>
      </c>
    </row>
    <row r="818" spans="29:32" x14ac:dyDescent="0.25">
      <c r="AC818">
        <v>34.799999999999997</v>
      </c>
      <c r="AE818">
        <v>33.07</v>
      </c>
      <c r="AF818">
        <f t="shared" si="12"/>
        <v>1</v>
      </c>
    </row>
    <row r="819" spans="29:32" x14ac:dyDescent="0.25">
      <c r="AC819">
        <v>35.340000000000003</v>
      </c>
      <c r="AE819">
        <v>33.07</v>
      </c>
      <c r="AF819">
        <f t="shared" si="12"/>
        <v>2</v>
      </c>
    </row>
    <row r="820" spans="29:32" x14ac:dyDescent="0.25">
      <c r="AC820">
        <v>37.18</v>
      </c>
      <c r="AE820">
        <v>33.07</v>
      </c>
      <c r="AF820">
        <f t="shared" si="12"/>
        <v>3</v>
      </c>
    </row>
    <row r="821" spans="29:32" x14ac:dyDescent="0.25">
      <c r="AC821">
        <v>37.32</v>
      </c>
      <c r="AE821">
        <v>33.130000000000003</v>
      </c>
      <c r="AF821">
        <f t="shared" si="12"/>
        <v>1</v>
      </c>
    </row>
    <row r="822" spans="29:32" x14ac:dyDescent="0.25">
      <c r="AC822">
        <v>35.42</v>
      </c>
      <c r="AE822">
        <v>33.130000000000003</v>
      </c>
      <c r="AF822">
        <f t="shared" si="12"/>
        <v>2</v>
      </c>
    </row>
    <row r="823" spans="29:32" x14ac:dyDescent="0.25">
      <c r="AC823">
        <v>36.1</v>
      </c>
      <c r="AE823">
        <v>33.130000000000003</v>
      </c>
      <c r="AF823">
        <f t="shared" si="12"/>
        <v>3</v>
      </c>
    </row>
    <row r="824" spans="29:32" x14ac:dyDescent="0.25">
      <c r="AC824">
        <v>36.229999999999997</v>
      </c>
      <c r="AE824">
        <v>33.14</v>
      </c>
      <c r="AF824">
        <f t="shared" si="12"/>
        <v>1</v>
      </c>
    </row>
    <row r="825" spans="29:32" x14ac:dyDescent="0.25">
      <c r="AC825">
        <v>36.229999999999997</v>
      </c>
      <c r="AE825">
        <v>33.159999999999997</v>
      </c>
      <c r="AF825">
        <f t="shared" si="12"/>
        <v>1</v>
      </c>
    </row>
    <row r="826" spans="29:32" x14ac:dyDescent="0.25">
      <c r="AC826">
        <v>38.06</v>
      </c>
      <c r="AE826">
        <v>33.19</v>
      </c>
      <c r="AF826">
        <f t="shared" si="12"/>
        <v>1</v>
      </c>
    </row>
    <row r="827" spans="29:32" x14ac:dyDescent="0.25">
      <c r="AC827">
        <v>38.159999999999997</v>
      </c>
      <c r="AE827">
        <v>33.22</v>
      </c>
      <c r="AF827">
        <f t="shared" si="12"/>
        <v>1</v>
      </c>
    </row>
    <row r="828" spans="29:32" x14ac:dyDescent="0.25">
      <c r="AC828">
        <v>38.5</v>
      </c>
      <c r="AE828">
        <v>33.24</v>
      </c>
      <c r="AF828">
        <f t="shared" si="12"/>
        <v>1</v>
      </c>
    </row>
    <row r="829" spans="29:32" x14ac:dyDescent="0.25">
      <c r="AC829">
        <v>37.130000000000003</v>
      </c>
      <c r="AE829">
        <v>33.24</v>
      </c>
      <c r="AF829">
        <f t="shared" si="12"/>
        <v>2</v>
      </c>
    </row>
    <row r="830" spans="29:32" x14ac:dyDescent="0.25">
      <c r="AC830">
        <v>37</v>
      </c>
      <c r="AE830">
        <v>33.270000000000003</v>
      </c>
      <c r="AF830">
        <f t="shared" si="12"/>
        <v>1</v>
      </c>
    </row>
    <row r="831" spans="29:32" x14ac:dyDescent="0.25">
      <c r="AC831">
        <v>37.409999999999997</v>
      </c>
      <c r="AE831">
        <v>33.28</v>
      </c>
      <c r="AF831">
        <f t="shared" si="12"/>
        <v>1</v>
      </c>
    </row>
    <row r="832" spans="29:32" x14ac:dyDescent="0.25">
      <c r="AC832">
        <v>39.07</v>
      </c>
      <c r="AE832">
        <v>33.29</v>
      </c>
      <c r="AF832">
        <f t="shared" si="12"/>
        <v>1</v>
      </c>
    </row>
    <row r="833" spans="29:32" x14ac:dyDescent="0.25">
      <c r="AC833">
        <v>39.130000000000003</v>
      </c>
      <c r="AE833">
        <v>33.29</v>
      </c>
      <c r="AF833">
        <f t="shared" si="12"/>
        <v>2</v>
      </c>
    </row>
    <row r="834" spans="29:32" x14ac:dyDescent="0.25">
      <c r="AC834">
        <v>39.03</v>
      </c>
      <c r="AE834">
        <v>33.33</v>
      </c>
      <c r="AF834">
        <f t="shared" si="12"/>
        <v>1</v>
      </c>
    </row>
    <row r="835" spans="29:32" x14ac:dyDescent="0.25">
      <c r="AC835">
        <v>37.19</v>
      </c>
      <c r="AE835">
        <v>33.340000000000003</v>
      </c>
      <c r="AF835">
        <f t="shared" si="12"/>
        <v>1</v>
      </c>
    </row>
    <row r="836" spans="29:32" x14ac:dyDescent="0.25">
      <c r="AC836">
        <v>39.03</v>
      </c>
      <c r="AE836">
        <v>33.35</v>
      </c>
      <c r="AF836">
        <f t="shared" ref="AF836:AF899" si="13">IF(AE836=AE835,AF835+1,1)</f>
        <v>1</v>
      </c>
    </row>
    <row r="837" spans="29:32" x14ac:dyDescent="0.25">
      <c r="AC837">
        <v>39.71</v>
      </c>
      <c r="AE837">
        <v>33.35</v>
      </c>
      <c r="AF837">
        <f t="shared" si="13"/>
        <v>2</v>
      </c>
    </row>
    <row r="838" spans="29:32" x14ac:dyDescent="0.25">
      <c r="AC838">
        <v>38.119999999999997</v>
      </c>
      <c r="AE838">
        <v>33.36</v>
      </c>
      <c r="AF838">
        <f t="shared" si="13"/>
        <v>1</v>
      </c>
    </row>
    <row r="839" spans="29:32" x14ac:dyDescent="0.25">
      <c r="AC839">
        <v>39.08</v>
      </c>
      <c r="AE839">
        <v>33.369999999999997</v>
      </c>
      <c r="AF839">
        <f t="shared" si="13"/>
        <v>1</v>
      </c>
    </row>
    <row r="840" spans="29:32" x14ac:dyDescent="0.25">
      <c r="AC840">
        <v>39.49</v>
      </c>
      <c r="AE840">
        <v>33.380000000000003</v>
      </c>
      <c r="AF840">
        <f t="shared" si="13"/>
        <v>1</v>
      </c>
    </row>
    <row r="841" spans="29:32" x14ac:dyDescent="0.25">
      <c r="AC841">
        <v>39.979999999999997</v>
      </c>
      <c r="AE841">
        <v>33.39</v>
      </c>
      <c r="AF841">
        <f t="shared" si="13"/>
        <v>1</v>
      </c>
    </row>
    <row r="842" spans="29:32" x14ac:dyDescent="0.25">
      <c r="AC842">
        <v>39.86</v>
      </c>
      <c r="AE842">
        <v>33.4</v>
      </c>
      <c r="AF842">
        <f t="shared" si="13"/>
        <v>1</v>
      </c>
    </row>
    <row r="843" spans="29:32" x14ac:dyDescent="0.25">
      <c r="AC843">
        <v>39.799999999999997</v>
      </c>
      <c r="AE843">
        <v>33.409999999999997</v>
      </c>
      <c r="AF843">
        <f t="shared" si="13"/>
        <v>1</v>
      </c>
    </row>
    <row r="844" spans="29:32" x14ac:dyDescent="0.25">
      <c r="AC844">
        <v>39.35</v>
      </c>
      <c r="AE844">
        <v>33.42</v>
      </c>
      <c r="AF844">
        <f t="shared" si="13"/>
        <v>1</v>
      </c>
    </row>
    <row r="845" spans="29:32" x14ac:dyDescent="0.25">
      <c r="AC845">
        <v>39.950000000000003</v>
      </c>
      <c r="AE845">
        <v>33.43</v>
      </c>
      <c r="AF845">
        <f t="shared" si="13"/>
        <v>1</v>
      </c>
    </row>
    <row r="846" spans="29:32" x14ac:dyDescent="0.25">
      <c r="AC846">
        <v>38.93</v>
      </c>
      <c r="AE846">
        <v>33.44</v>
      </c>
      <c r="AF846">
        <f t="shared" si="13"/>
        <v>1</v>
      </c>
    </row>
    <row r="847" spans="29:32" x14ac:dyDescent="0.25">
      <c r="AC847">
        <v>39.68</v>
      </c>
      <c r="AE847">
        <v>33.44</v>
      </c>
      <c r="AF847">
        <f t="shared" si="13"/>
        <v>2</v>
      </c>
    </row>
    <row r="848" spans="29:32" x14ac:dyDescent="0.25">
      <c r="AC848">
        <v>39.01</v>
      </c>
      <c r="AE848">
        <v>33.450000000000003</v>
      </c>
      <c r="AF848">
        <f t="shared" si="13"/>
        <v>1</v>
      </c>
    </row>
    <row r="849" spans="29:32" x14ac:dyDescent="0.25">
      <c r="AC849">
        <v>39.79</v>
      </c>
      <c r="AE849">
        <v>33.46</v>
      </c>
      <c r="AF849">
        <f t="shared" si="13"/>
        <v>1</v>
      </c>
    </row>
    <row r="850" spans="29:32" x14ac:dyDescent="0.25">
      <c r="AC850">
        <v>40.42</v>
      </c>
      <c r="AE850">
        <v>33.479999999999997</v>
      </c>
      <c r="AF850">
        <f t="shared" si="13"/>
        <v>1</v>
      </c>
    </row>
    <row r="851" spans="29:32" x14ac:dyDescent="0.25">
      <c r="AC851">
        <v>39.909999999999997</v>
      </c>
      <c r="AE851">
        <v>33.479999999999997</v>
      </c>
      <c r="AF851">
        <f t="shared" si="13"/>
        <v>2</v>
      </c>
    </row>
    <row r="852" spans="29:32" x14ac:dyDescent="0.25">
      <c r="AC852">
        <v>41.16</v>
      </c>
      <c r="AE852">
        <v>33.49</v>
      </c>
      <c r="AF852">
        <f t="shared" si="13"/>
        <v>1</v>
      </c>
    </row>
    <row r="853" spans="29:32" x14ac:dyDescent="0.25">
      <c r="AC853">
        <v>40.33</v>
      </c>
      <c r="AE853">
        <v>33.5</v>
      </c>
      <c r="AF853">
        <f t="shared" si="13"/>
        <v>1</v>
      </c>
    </row>
    <row r="854" spans="29:32" x14ac:dyDescent="0.25">
      <c r="AC854">
        <v>40.79</v>
      </c>
      <c r="AE854">
        <v>33.51</v>
      </c>
      <c r="AF854">
        <f t="shared" si="13"/>
        <v>1</v>
      </c>
    </row>
    <row r="855" spans="29:32" x14ac:dyDescent="0.25">
      <c r="AC855">
        <v>40.799999999999997</v>
      </c>
      <c r="AE855">
        <v>33.51</v>
      </c>
      <c r="AF855">
        <f t="shared" si="13"/>
        <v>2</v>
      </c>
    </row>
    <row r="856" spans="29:32" x14ac:dyDescent="0.25">
      <c r="AC856">
        <v>41.05</v>
      </c>
      <c r="AE856">
        <v>33.51</v>
      </c>
      <c r="AF856">
        <f t="shared" si="13"/>
        <v>3</v>
      </c>
    </row>
    <row r="857" spans="29:32" x14ac:dyDescent="0.25">
      <c r="AC857">
        <v>41.22</v>
      </c>
      <c r="AE857">
        <v>33.520000000000003</v>
      </c>
      <c r="AF857">
        <f t="shared" si="13"/>
        <v>1</v>
      </c>
    </row>
    <row r="858" spans="29:32" x14ac:dyDescent="0.25">
      <c r="AC858">
        <v>41.72</v>
      </c>
      <c r="AE858">
        <v>33.54</v>
      </c>
      <c r="AF858">
        <f t="shared" si="13"/>
        <v>1</v>
      </c>
    </row>
    <row r="859" spans="29:32" x14ac:dyDescent="0.25">
      <c r="AC859">
        <v>41.67</v>
      </c>
      <c r="AE859">
        <v>33.54</v>
      </c>
      <c r="AF859">
        <f t="shared" si="13"/>
        <v>2</v>
      </c>
    </row>
    <row r="860" spans="29:32" x14ac:dyDescent="0.25">
      <c r="AC860">
        <v>41.32</v>
      </c>
      <c r="AE860">
        <v>33.56</v>
      </c>
      <c r="AF860">
        <f t="shared" si="13"/>
        <v>1</v>
      </c>
    </row>
    <row r="861" spans="29:32" x14ac:dyDescent="0.25">
      <c r="AC861">
        <v>41.23</v>
      </c>
      <c r="AE861">
        <v>33.56</v>
      </c>
      <c r="AF861">
        <f t="shared" si="13"/>
        <v>2</v>
      </c>
    </row>
    <row r="862" spans="29:32" x14ac:dyDescent="0.25">
      <c r="AC862">
        <v>41.66</v>
      </c>
      <c r="AE862">
        <v>33.57</v>
      </c>
      <c r="AF862">
        <f t="shared" si="13"/>
        <v>1</v>
      </c>
    </row>
    <row r="863" spans="29:32" x14ac:dyDescent="0.25">
      <c r="AC863">
        <v>41.87</v>
      </c>
      <c r="AE863">
        <v>33.57</v>
      </c>
      <c r="AF863">
        <f t="shared" si="13"/>
        <v>2</v>
      </c>
    </row>
    <row r="864" spans="29:32" x14ac:dyDescent="0.25">
      <c r="AC864">
        <v>41.61</v>
      </c>
      <c r="AE864">
        <v>33.58</v>
      </c>
      <c r="AF864">
        <f t="shared" si="13"/>
        <v>1</v>
      </c>
    </row>
    <row r="865" spans="29:32" x14ac:dyDescent="0.25">
      <c r="AC865">
        <v>41.51</v>
      </c>
      <c r="AE865">
        <v>33.590000000000003</v>
      </c>
      <c r="AF865">
        <f t="shared" si="13"/>
        <v>1</v>
      </c>
    </row>
    <row r="866" spans="29:32" x14ac:dyDescent="0.25">
      <c r="AC866">
        <v>41.28</v>
      </c>
      <c r="AE866">
        <v>33.6</v>
      </c>
      <c r="AF866">
        <f t="shared" si="13"/>
        <v>1</v>
      </c>
    </row>
    <row r="867" spans="29:32" x14ac:dyDescent="0.25">
      <c r="AC867">
        <v>41.88</v>
      </c>
      <c r="AE867">
        <v>33.61</v>
      </c>
      <c r="AF867">
        <f t="shared" si="13"/>
        <v>1</v>
      </c>
    </row>
    <row r="868" spans="29:32" x14ac:dyDescent="0.25">
      <c r="AC868">
        <v>41.38</v>
      </c>
      <c r="AE868">
        <v>33.61</v>
      </c>
      <c r="AF868">
        <f t="shared" si="13"/>
        <v>2</v>
      </c>
    </row>
    <row r="869" spans="29:32" x14ac:dyDescent="0.25">
      <c r="AC869">
        <v>40.99</v>
      </c>
      <c r="AE869">
        <v>33.619999999999997</v>
      </c>
      <c r="AF869">
        <f t="shared" si="13"/>
        <v>1</v>
      </c>
    </row>
    <row r="870" spans="29:32" x14ac:dyDescent="0.25">
      <c r="AC870">
        <v>42.08</v>
      </c>
      <c r="AE870">
        <v>33.630000000000003</v>
      </c>
      <c r="AF870">
        <f t="shared" si="13"/>
        <v>1</v>
      </c>
    </row>
    <row r="871" spans="29:32" x14ac:dyDescent="0.25">
      <c r="AC871">
        <v>40.659999999999997</v>
      </c>
      <c r="AE871">
        <v>33.630000000000003</v>
      </c>
      <c r="AF871">
        <f t="shared" si="13"/>
        <v>2</v>
      </c>
    </row>
    <row r="872" spans="29:32" x14ac:dyDescent="0.25">
      <c r="AC872">
        <v>42.15</v>
      </c>
      <c r="AE872">
        <v>33.64</v>
      </c>
      <c r="AF872">
        <f t="shared" si="13"/>
        <v>1</v>
      </c>
    </row>
    <row r="873" spans="29:32" x14ac:dyDescent="0.25">
      <c r="AC873">
        <v>41.08</v>
      </c>
      <c r="AE873">
        <v>33.65</v>
      </c>
      <c r="AF873">
        <f t="shared" si="13"/>
        <v>1</v>
      </c>
    </row>
    <row r="874" spans="29:32" x14ac:dyDescent="0.25">
      <c r="AC874">
        <v>42.09</v>
      </c>
      <c r="AE874">
        <v>33.659999999999997</v>
      </c>
      <c r="AF874">
        <f t="shared" si="13"/>
        <v>1</v>
      </c>
    </row>
    <row r="875" spans="29:32" x14ac:dyDescent="0.25">
      <c r="AC875">
        <v>42.67</v>
      </c>
      <c r="AE875">
        <v>33.68</v>
      </c>
      <c r="AF875">
        <f t="shared" si="13"/>
        <v>1</v>
      </c>
    </row>
    <row r="876" spans="29:32" x14ac:dyDescent="0.25">
      <c r="AC876">
        <v>42.43</v>
      </c>
      <c r="AE876">
        <v>33.69</v>
      </c>
      <c r="AF876">
        <f t="shared" si="13"/>
        <v>1</v>
      </c>
    </row>
    <row r="877" spans="29:32" x14ac:dyDescent="0.25">
      <c r="AC877">
        <v>41.08</v>
      </c>
      <c r="AE877">
        <v>33.69</v>
      </c>
      <c r="AF877">
        <f t="shared" si="13"/>
        <v>2</v>
      </c>
    </row>
    <row r="878" spans="29:32" x14ac:dyDescent="0.25">
      <c r="AC878">
        <v>41.69</v>
      </c>
      <c r="AE878">
        <v>33.700000000000003</v>
      </c>
      <c r="AF878">
        <f t="shared" si="13"/>
        <v>1</v>
      </c>
    </row>
    <row r="879" spans="29:32" x14ac:dyDescent="0.25">
      <c r="AC879">
        <v>41.98</v>
      </c>
      <c r="AE879">
        <v>33.72</v>
      </c>
      <c r="AF879">
        <f t="shared" si="13"/>
        <v>1</v>
      </c>
    </row>
    <row r="880" spans="29:32" x14ac:dyDescent="0.25">
      <c r="AC880">
        <v>42.81</v>
      </c>
      <c r="AE880">
        <v>33.729999999999997</v>
      </c>
      <c r="AF880">
        <f t="shared" si="13"/>
        <v>1</v>
      </c>
    </row>
    <row r="881" spans="29:32" x14ac:dyDescent="0.25">
      <c r="AC881">
        <v>41.47</v>
      </c>
      <c r="AE881">
        <v>33.75</v>
      </c>
      <c r="AF881">
        <f t="shared" si="13"/>
        <v>1</v>
      </c>
    </row>
    <row r="882" spans="29:32" x14ac:dyDescent="0.25">
      <c r="AC882">
        <v>42.59</v>
      </c>
      <c r="AE882">
        <v>33.770000000000003</v>
      </c>
      <c r="AF882">
        <f t="shared" si="13"/>
        <v>1</v>
      </c>
    </row>
    <row r="883" spans="29:32" x14ac:dyDescent="0.25">
      <c r="AC883">
        <v>42.4</v>
      </c>
      <c r="AE883">
        <v>33.799999999999997</v>
      </c>
      <c r="AF883">
        <f t="shared" si="13"/>
        <v>1</v>
      </c>
    </row>
    <row r="884" spans="29:32" x14ac:dyDescent="0.25">
      <c r="AC884">
        <v>42.95</v>
      </c>
      <c r="AE884">
        <v>33.81</v>
      </c>
      <c r="AF884">
        <f t="shared" si="13"/>
        <v>1</v>
      </c>
    </row>
    <row r="885" spans="29:32" x14ac:dyDescent="0.25">
      <c r="AC885">
        <v>42.47</v>
      </c>
      <c r="AE885">
        <v>33.869999999999997</v>
      </c>
      <c r="AF885">
        <f t="shared" si="13"/>
        <v>1</v>
      </c>
    </row>
    <row r="886" spans="29:32" x14ac:dyDescent="0.25">
      <c r="AC886">
        <v>42.99</v>
      </c>
      <c r="AE886">
        <v>33.869999999999997</v>
      </c>
      <c r="AF886">
        <f t="shared" si="13"/>
        <v>2</v>
      </c>
    </row>
    <row r="887" spans="29:32" x14ac:dyDescent="0.25">
      <c r="AC887">
        <v>43.09</v>
      </c>
      <c r="AE887">
        <v>33.89</v>
      </c>
      <c r="AF887">
        <f t="shared" si="13"/>
        <v>1</v>
      </c>
    </row>
    <row r="888" spans="29:32" x14ac:dyDescent="0.25">
      <c r="AC888">
        <v>43.34</v>
      </c>
      <c r="AE888">
        <v>33.89</v>
      </c>
      <c r="AF888">
        <f t="shared" si="13"/>
        <v>2</v>
      </c>
    </row>
    <row r="889" spans="29:32" x14ac:dyDescent="0.25">
      <c r="AC889">
        <v>41.65</v>
      </c>
      <c r="AE889">
        <v>33.93</v>
      </c>
      <c r="AF889">
        <f t="shared" si="13"/>
        <v>1</v>
      </c>
    </row>
    <row r="890" spans="29:32" x14ac:dyDescent="0.25">
      <c r="AC890">
        <v>42.87</v>
      </c>
      <c r="AE890">
        <v>33.94</v>
      </c>
      <c r="AF890">
        <f t="shared" si="13"/>
        <v>1</v>
      </c>
    </row>
    <row r="891" spans="29:32" x14ac:dyDescent="0.25">
      <c r="AC891">
        <v>44.21</v>
      </c>
      <c r="AE891">
        <v>33.950000000000003</v>
      </c>
      <c r="AF891">
        <f t="shared" si="13"/>
        <v>1</v>
      </c>
    </row>
    <row r="892" spans="29:32" x14ac:dyDescent="0.25">
      <c r="AC892">
        <v>43.78</v>
      </c>
      <c r="AE892">
        <v>33.950000000000003</v>
      </c>
      <c r="AF892">
        <f t="shared" si="13"/>
        <v>2</v>
      </c>
    </row>
    <row r="893" spans="29:32" x14ac:dyDescent="0.25">
      <c r="AC893">
        <v>44.36</v>
      </c>
      <c r="AE893">
        <v>33.99</v>
      </c>
      <c r="AF893">
        <f t="shared" si="13"/>
        <v>1</v>
      </c>
    </row>
    <row r="894" spans="29:32" x14ac:dyDescent="0.25">
      <c r="AC894">
        <v>43.92</v>
      </c>
      <c r="AE894">
        <v>34</v>
      </c>
      <c r="AF894">
        <f t="shared" si="13"/>
        <v>1</v>
      </c>
    </row>
    <row r="895" spans="29:32" x14ac:dyDescent="0.25">
      <c r="AC895">
        <v>44.25</v>
      </c>
      <c r="AE895">
        <v>34.01</v>
      </c>
      <c r="AF895">
        <f t="shared" si="13"/>
        <v>1</v>
      </c>
    </row>
    <row r="896" spans="29:32" x14ac:dyDescent="0.25">
      <c r="AC896">
        <v>43.44</v>
      </c>
      <c r="AE896">
        <v>34.01</v>
      </c>
      <c r="AF896">
        <f t="shared" si="13"/>
        <v>2</v>
      </c>
    </row>
    <row r="897" spans="29:32" x14ac:dyDescent="0.25">
      <c r="AC897">
        <v>42.67</v>
      </c>
      <c r="AE897">
        <v>34.01</v>
      </c>
      <c r="AF897">
        <f t="shared" si="13"/>
        <v>3</v>
      </c>
    </row>
    <row r="898" spans="29:32" x14ac:dyDescent="0.25">
      <c r="AC898">
        <v>44.78</v>
      </c>
      <c r="AE898">
        <v>34.020000000000003</v>
      </c>
      <c r="AF898">
        <f t="shared" si="13"/>
        <v>1</v>
      </c>
    </row>
    <row r="899" spans="29:32" x14ac:dyDescent="0.25">
      <c r="AC899">
        <v>42.77</v>
      </c>
      <c r="AE899">
        <v>34.020000000000003</v>
      </c>
      <c r="AF899">
        <f t="shared" si="13"/>
        <v>2</v>
      </c>
    </row>
    <row r="900" spans="29:32" x14ac:dyDescent="0.25">
      <c r="AC900">
        <v>42.88</v>
      </c>
      <c r="AE900">
        <v>34.03</v>
      </c>
      <c r="AF900">
        <f t="shared" ref="AF900:AF963" si="14">IF(AE900=AE899,AF899+1,1)</f>
        <v>1</v>
      </c>
    </row>
    <row r="901" spans="29:32" x14ac:dyDescent="0.25">
      <c r="AC901">
        <v>44.22</v>
      </c>
      <c r="AE901">
        <v>34.04</v>
      </c>
      <c r="AF901">
        <f t="shared" si="14"/>
        <v>1</v>
      </c>
    </row>
    <row r="902" spans="29:32" x14ac:dyDescent="0.25">
      <c r="AC902">
        <v>44.21</v>
      </c>
      <c r="AE902">
        <v>34.06</v>
      </c>
      <c r="AF902">
        <f t="shared" si="14"/>
        <v>1</v>
      </c>
    </row>
    <row r="903" spans="29:32" x14ac:dyDescent="0.25">
      <c r="AC903">
        <v>44.12</v>
      </c>
      <c r="AE903">
        <v>34.07</v>
      </c>
      <c r="AF903">
        <f t="shared" si="14"/>
        <v>1</v>
      </c>
    </row>
    <row r="904" spans="29:32" x14ac:dyDescent="0.25">
      <c r="AC904">
        <v>43</v>
      </c>
      <c r="AE904">
        <v>34.090000000000003</v>
      </c>
      <c r="AF904">
        <f t="shared" si="14"/>
        <v>1</v>
      </c>
    </row>
    <row r="905" spans="29:32" x14ac:dyDescent="0.25">
      <c r="AC905">
        <v>47.03</v>
      </c>
      <c r="AE905">
        <v>34.1</v>
      </c>
      <c r="AF905">
        <f t="shared" si="14"/>
        <v>1</v>
      </c>
    </row>
    <row r="906" spans="29:32" x14ac:dyDescent="0.25">
      <c r="AC906">
        <v>42.97</v>
      </c>
      <c r="AE906">
        <v>34.11</v>
      </c>
      <c r="AF906">
        <f t="shared" si="14"/>
        <v>1</v>
      </c>
    </row>
    <row r="907" spans="29:32" x14ac:dyDescent="0.25">
      <c r="AC907">
        <v>42.57</v>
      </c>
      <c r="AE907">
        <v>34.119999999999997</v>
      </c>
      <c r="AF907">
        <f t="shared" si="14"/>
        <v>1</v>
      </c>
    </row>
    <row r="908" spans="29:32" x14ac:dyDescent="0.25">
      <c r="AC908">
        <v>43.98</v>
      </c>
      <c r="AE908">
        <v>34.119999999999997</v>
      </c>
      <c r="AF908">
        <f t="shared" si="14"/>
        <v>2</v>
      </c>
    </row>
    <row r="909" spans="29:32" x14ac:dyDescent="0.25">
      <c r="AC909">
        <v>45.83</v>
      </c>
      <c r="AE909">
        <v>34.14</v>
      </c>
      <c r="AF909">
        <f t="shared" si="14"/>
        <v>1</v>
      </c>
    </row>
    <row r="910" spans="29:32" x14ac:dyDescent="0.25">
      <c r="AC910">
        <v>42.63</v>
      </c>
      <c r="AE910">
        <v>34.14</v>
      </c>
      <c r="AF910">
        <f t="shared" si="14"/>
        <v>2</v>
      </c>
    </row>
    <row r="911" spans="29:32" x14ac:dyDescent="0.25">
      <c r="AC911">
        <v>44.34</v>
      </c>
      <c r="AE911">
        <v>34.15</v>
      </c>
      <c r="AF911">
        <f t="shared" si="14"/>
        <v>1</v>
      </c>
    </row>
    <row r="912" spans="29:32" x14ac:dyDescent="0.25">
      <c r="AC912">
        <v>44.9</v>
      </c>
      <c r="AE912">
        <v>34.200000000000003</v>
      </c>
      <c r="AF912">
        <f t="shared" si="14"/>
        <v>1</v>
      </c>
    </row>
    <row r="913" spans="29:32" x14ac:dyDescent="0.25">
      <c r="AC913">
        <v>43.98</v>
      </c>
      <c r="AE913">
        <v>34.200000000000003</v>
      </c>
      <c r="AF913">
        <f t="shared" si="14"/>
        <v>2</v>
      </c>
    </row>
    <row r="914" spans="29:32" x14ac:dyDescent="0.25">
      <c r="AC914">
        <v>42.94</v>
      </c>
      <c r="AE914">
        <v>34.21</v>
      </c>
      <c r="AF914">
        <f t="shared" si="14"/>
        <v>1</v>
      </c>
    </row>
    <row r="915" spans="29:32" x14ac:dyDescent="0.25">
      <c r="AC915">
        <v>44.76</v>
      </c>
      <c r="AE915">
        <v>34.22</v>
      </c>
      <c r="AF915">
        <f t="shared" si="14"/>
        <v>1</v>
      </c>
    </row>
    <row r="916" spans="29:32" x14ac:dyDescent="0.25">
      <c r="AC916">
        <v>43.4</v>
      </c>
      <c r="AE916">
        <v>34.22</v>
      </c>
      <c r="AF916">
        <f t="shared" si="14"/>
        <v>2</v>
      </c>
    </row>
    <row r="917" spans="29:32" x14ac:dyDescent="0.25">
      <c r="AC917">
        <v>42.94</v>
      </c>
      <c r="AE917">
        <v>34.26</v>
      </c>
      <c r="AF917">
        <f t="shared" si="14"/>
        <v>1</v>
      </c>
    </row>
    <row r="918" spans="29:32" x14ac:dyDescent="0.25">
      <c r="AC918">
        <v>43.34</v>
      </c>
      <c r="AE918">
        <v>34.270000000000003</v>
      </c>
      <c r="AF918">
        <f t="shared" si="14"/>
        <v>1</v>
      </c>
    </row>
    <row r="919" spans="29:32" x14ac:dyDescent="0.25">
      <c r="AC919">
        <v>45.06</v>
      </c>
      <c r="AE919">
        <v>34.270000000000003</v>
      </c>
      <c r="AF919">
        <f t="shared" si="14"/>
        <v>2</v>
      </c>
    </row>
    <row r="920" spans="29:32" x14ac:dyDescent="0.25">
      <c r="AC920">
        <v>42.91</v>
      </c>
      <c r="AE920">
        <v>34.29</v>
      </c>
      <c r="AF920">
        <f t="shared" si="14"/>
        <v>1</v>
      </c>
    </row>
    <row r="921" spans="29:32" x14ac:dyDescent="0.25">
      <c r="AC921">
        <v>43.29</v>
      </c>
      <c r="AE921">
        <v>34.299999999999997</v>
      </c>
      <c r="AF921">
        <f t="shared" si="14"/>
        <v>1</v>
      </c>
    </row>
    <row r="922" spans="29:32" x14ac:dyDescent="0.25">
      <c r="AC922">
        <v>42.98</v>
      </c>
      <c r="AE922">
        <v>34.31</v>
      </c>
      <c r="AF922">
        <f t="shared" si="14"/>
        <v>1</v>
      </c>
    </row>
    <row r="923" spans="29:32" x14ac:dyDescent="0.25">
      <c r="AC923">
        <v>44.99</v>
      </c>
      <c r="AE923">
        <v>34.33</v>
      </c>
      <c r="AF923">
        <f t="shared" si="14"/>
        <v>1</v>
      </c>
    </row>
    <row r="924" spans="29:32" x14ac:dyDescent="0.25">
      <c r="AC924">
        <v>45.17</v>
      </c>
      <c r="AE924">
        <v>34.33</v>
      </c>
      <c r="AF924">
        <f t="shared" si="14"/>
        <v>2</v>
      </c>
    </row>
    <row r="925" spans="29:32" x14ac:dyDescent="0.25">
      <c r="AC925">
        <v>47.17</v>
      </c>
      <c r="AE925">
        <v>34.35</v>
      </c>
      <c r="AF925">
        <f t="shared" si="14"/>
        <v>1</v>
      </c>
    </row>
    <row r="926" spans="29:32" x14ac:dyDescent="0.25">
      <c r="AC926">
        <v>44.07</v>
      </c>
      <c r="AE926">
        <v>34.36</v>
      </c>
      <c r="AF926">
        <f t="shared" si="14"/>
        <v>1</v>
      </c>
    </row>
    <row r="927" spans="29:32" x14ac:dyDescent="0.25">
      <c r="AC927">
        <v>43.65</v>
      </c>
      <c r="AE927">
        <v>34.4</v>
      </c>
      <c r="AF927">
        <f t="shared" si="14"/>
        <v>1</v>
      </c>
    </row>
    <row r="928" spans="29:32" x14ac:dyDescent="0.25">
      <c r="AC928">
        <v>44.67</v>
      </c>
      <c r="AE928">
        <v>34.409999999999997</v>
      </c>
      <c r="AF928">
        <f t="shared" si="14"/>
        <v>1</v>
      </c>
    </row>
    <row r="929" spans="29:32" x14ac:dyDescent="0.25">
      <c r="AC929">
        <v>45.05</v>
      </c>
      <c r="AE929">
        <v>34.43</v>
      </c>
      <c r="AF929">
        <f t="shared" si="14"/>
        <v>1</v>
      </c>
    </row>
    <row r="930" spans="29:32" x14ac:dyDescent="0.25">
      <c r="AC930">
        <v>43.97</v>
      </c>
      <c r="AE930">
        <v>34.46</v>
      </c>
      <c r="AF930">
        <f t="shared" si="14"/>
        <v>1</v>
      </c>
    </row>
    <row r="931" spans="29:32" x14ac:dyDescent="0.25">
      <c r="AC931">
        <v>45.77</v>
      </c>
      <c r="AE931">
        <v>34.46</v>
      </c>
      <c r="AF931">
        <f t="shared" si="14"/>
        <v>2</v>
      </c>
    </row>
    <row r="932" spans="29:32" x14ac:dyDescent="0.25">
      <c r="AC932">
        <v>44.15</v>
      </c>
      <c r="AE932">
        <v>34.47</v>
      </c>
      <c r="AF932">
        <f t="shared" si="14"/>
        <v>1</v>
      </c>
    </row>
    <row r="933" spans="29:32" x14ac:dyDescent="0.25">
      <c r="AC933">
        <v>45.22</v>
      </c>
      <c r="AE933">
        <v>34.5</v>
      </c>
      <c r="AF933">
        <f t="shared" si="14"/>
        <v>1</v>
      </c>
    </row>
    <row r="934" spans="29:32" x14ac:dyDescent="0.25">
      <c r="AC934">
        <v>45.37</v>
      </c>
      <c r="AE934">
        <v>34.520000000000003</v>
      </c>
      <c r="AF934">
        <f t="shared" si="14"/>
        <v>1</v>
      </c>
    </row>
    <row r="935" spans="29:32" x14ac:dyDescent="0.25">
      <c r="AC935">
        <v>45.87</v>
      </c>
      <c r="AE935">
        <v>34.520000000000003</v>
      </c>
      <c r="AF935">
        <f t="shared" si="14"/>
        <v>2</v>
      </c>
    </row>
    <row r="936" spans="29:32" x14ac:dyDescent="0.25">
      <c r="AC936">
        <v>45.88</v>
      </c>
      <c r="AE936">
        <v>34.56</v>
      </c>
      <c r="AF936">
        <f t="shared" si="14"/>
        <v>1</v>
      </c>
    </row>
    <row r="937" spans="29:32" x14ac:dyDescent="0.25">
      <c r="AC937">
        <v>43.61</v>
      </c>
      <c r="AE937">
        <v>34.58</v>
      </c>
      <c r="AF937">
        <f t="shared" si="14"/>
        <v>1</v>
      </c>
    </row>
    <row r="938" spans="29:32" x14ac:dyDescent="0.25">
      <c r="AC938">
        <v>44.71</v>
      </c>
      <c r="AE938">
        <v>34.630000000000003</v>
      </c>
      <c r="AF938">
        <f t="shared" si="14"/>
        <v>1</v>
      </c>
    </row>
    <row r="939" spans="29:32" x14ac:dyDescent="0.25">
      <c r="AC939">
        <v>44.14</v>
      </c>
      <c r="AE939">
        <v>34.64</v>
      </c>
      <c r="AF939">
        <f t="shared" si="14"/>
        <v>1</v>
      </c>
    </row>
    <row r="940" spans="29:32" x14ac:dyDescent="0.25">
      <c r="AC940">
        <v>45.64</v>
      </c>
      <c r="AE940">
        <v>34.67</v>
      </c>
      <c r="AF940">
        <f t="shared" si="14"/>
        <v>1</v>
      </c>
    </row>
    <row r="941" spans="29:32" x14ac:dyDescent="0.25">
      <c r="AC941">
        <v>45.4</v>
      </c>
      <c r="AE941">
        <v>34.69</v>
      </c>
      <c r="AF941">
        <f t="shared" si="14"/>
        <v>1</v>
      </c>
    </row>
    <row r="942" spans="29:32" x14ac:dyDescent="0.25">
      <c r="AC942">
        <v>45.79</v>
      </c>
      <c r="AE942">
        <v>34.69</v>
      </c>
      <c r="AF942">
        <f t="shared" si="14"/>
        <v>2</v>
      </c>
    </row>
    <row r="943" spans="29:32" x14ac:dyDescent="0.25">
      <c r="AC943">
        <v>45.39</v>
      </c>
      <c r="AE943">
        <v>34.72</v>
      </c>
      <c r="AF943">
        <f t="shared" si="14"/>
        <v>1</v>
      </c>
    </row>
    <row r="944" spans="29:32" x14ac:dyDescent="0.25">
      <c r="AC944">
        <v>44.04</v>
      </c>
      <c r="AE944">
        <v>34.729999999999997</v>
      </c>
      <c r="AF944">
        <f t="shared" si="14"/>
        <v>1</v>
      </c>
    </row>
    <row r="945" spans="29:32" x14ac:dyDescent="0.25">
      <c r="AC945">
        <v>47.03</v>
      </c>
      <c r="AE945">
        <v>34.76</v>
      </c>
      <c r="AF945">
        <f t="shared" si="14"/>
        <v>1</v>
      </c>
    </row>
    <row r="946" spans="29:32" x14ac:dyDescent="0.25">
      <c r="AC946">
        <v>46.08</v>
      </c>
      <c r="AE946">
        <v>34.76</v>
      </c>
      <c r="AF946">
        <f t="shared" si="14"/>
        <v>2</v>
      </c>
    </row>
    <row r="947" spans="29:32" x14ac:dyDescent="0.25">
      <c r="AC947">
        <v>46.34</v>
      </c>
      <c r="AE947">
        <v>34.78</v>
      </c>
      <c r="AF947">
        <f t="shared" si="14"/>
        <v>1</v>
      </c>
    </row>
    <row r="948" spans="29:32" x14ac:dyDescent="0.25">
      <c r="AC948">
        <v>45.73</v>
      </c>
      <c r="AE948">
        <v>34.79</v>
      </c>
      <c r="AF948">
        <f t="shared" si="14"/>
        <v>1</v>
      </c>
    </row>
    <row r="949" spans="29:32" x14ac:dyDescent="0.25">
      <c r="AC949">
        <v>45.88</v>
      </c>
      <c r="AE949">
        <v>34.799999999999997</v>
      </c>
      <c r="AF949">
        <f t="shared" si="14"/>
        <v>1</v>
      </c>
    </row>
    <row r="950" spans="29:32" x14ac:dyDescent="0.25">
      <c r="AC950">
        <v>46.09</v>
      </c>
      <c r="AE950">
        <v>34.799999999999997</v>
      </c>
      <c r="AF950">
        <f t="shared" si="14"/>
        <v>2</v>
      </c>
    </row>
    <row r="951" spans="29:32" x14ac:dyDescent="0.25">
      <c r="AC951">
        <v>45.23</v>
      </c>
      <c r="AE951">
        <v>34.81</v>
      </c>
      <c r="AF951">
        <f t="shared" si="14"/>
        <v>1</v>
      </c>
    </row>
    <row r="952" spans="29:32" x14ac:dyDescent="0.25">
      <c r="AC952">
        <v>46.39</v>
      </c>
      <c r="AE952">
        <v>34.82</v>
      </c>
      <c r="AF952">
        <f t="shared" si="14"/>
        <v>1</v>
      </c>
    </row>
    <row r="953" spans="29:32" x14ac:dyDescent="0.25">
      <c r="AC953">
        <v>44.9</v>
      </c>
      <c r="AE953">
        <v>34.82</v>
      </c>
      <c r="AF953">
        <f t="shared" si="14"/>
        <v>2</v>
      </c>
    </row>
    <row r="954" spans="29:32" x14ac:dyDescent="0.25">
      <c r="AC954">
        <v>45.8</v>
      </c>
      <c r="AE954">
        <v>34.83</v>
      </c>
      <c r="AF954">
        <f t="shared" si="14"/>
        <v>1</v>
      </c>
    </row>
    <row r="955" spans="29:32" x14ac:dyDescent="0.25">
      <c r="AC955">
        <v>44.33</v>
      </c>
      <c r="AE955">
        <v>34.840000000000003</v>
      </c>
      <c r="AF955">
        <f t="shared" si="14"/>
        <v>1</v>
      </c>
    </row>
    <row r="956" spans="29:32" x14ac:dyDescent="0.25">
      <c r="AC956">
        <v>44.73</v>
      </c>
      <c r="AE956">
        <v>34.86</v>
      </c>
      <c r="AF956">
        <f t="shared" si="14"/>
        <v>1</v>
      </c>
    </row>
    <row r="957" spans="29:32" x14ac:dyDescent="0.25">
      <c r="AC957">
        <v>45.13</v>
      </c>
      <c r="AE957">
        <v>34.869999999999997</v>
      </c>
      <c r="AF957">
        <f t="shared" si="14"/>
        <v>1</v>
      </c>
    </row>
    <row r="958" spans="29:32" x14ac:dyDescent="0.25">
      <c r="AC958">
        <v>46.06</v>
      </c>
      <c r="AE958">
        <v>34.9</v>
      </c>
      <c r="AF958">
        <f t="shared" si="14"/>
        <v>1</v>
      </c>
    </row>
    <row r="959" spans="29:32" x14ac:dyDescent="0.25">
      <c r="AC959">
        <v>49.94</v>
      </c>
      <c r="AE959">
        <v>34.92</v>
      </c>
      <c r="AF959">
        <f t="shared" si="14"/>
        <v>1</v>
      </c>
    </row>
    <row r="960" spans="29:32" x14ac:dyDescent="0.25">
      <c r="AC960">
        <v>45.37</v>
      </c>
      <c r="AE960">
        <v>34.92</v>
      </c>
      <c r="AF960">
        <f t="shared" si="14"/>
        <v>2</v>
      </c>
    </row>
    <row r="961" spans="29:32" x14ac:dyDescent="0.25">
      <c r="AC961">
        <v>44.76</v>
      </c>
      <c r="AE961">
        <v>34.93</v>
      </c>
      <c r="AF961">
        <f t="shared" si="14"/>
        <v>1</v>
      </c>
    </row>
    <row r="962" spans="29:32" x14ac:dyDescent="0.25">
      <c r="AC962">
        <v>46.03</v>
      </c>
      <c r="AE962">
        <v>34.93</v>
      </c>
      <c r="AF962">
        <f t="shared" si="14"/>
        <v>2</v>
      </c>
    </row>
    <row r="963" spans="29:32" x14ac:dyDescent="0.25">
      <c r="AC963">
        <v>45.75</v>
      </c>
      <c r="AE963">
        <v>34.97</v>
      </c>
      <c r="AF963">
        <f t="shared" si="14"/>
        <v>1</v>
      </c>
    </row>
    <row r="964" spans="29:32" x14ac:dyDescent="0.25">
      <c r="AC964">
        <v>46.23</v>
      </c>
      <c r="AE964">
        <v>34.99</v>
      </c>
      <c r="AF964">
        <f t="shared" ref="AF964:AF1027" si="15">IF(AE964=AE963,AF963+1,1)</f>
        <v>1</v>
      </c>
    </row>
    <row r="965" spans="29:32" x14ac:dyDescent="0.25">
      <c r="AC965">
        <v>47.2</v>
      </c>
      <c r="AE965">
        <v>34.99</v>
      </c>
      <c r="AF965">
        <f t="shared" si="15"/>
        <v>2</v>
      </c>
    </row>
    <row r="966" spans="29:32" x14ac:dyDescent="0.25">
      <c r="AC966">
        <v>45.11</v>
      </c>
      <c r="AE966">
        <v>35.01</v>
      </c>
      <c r="AF966">
        <f t="shared" si="15"/>
        <v>1</v>
      </c>
    </row>
    <row r="967" spans="29:32" x14ac:dyDescent="0.25">
      <c r="AC967">
        <v>45.98</v>
      </c>
      <c r="AE967">
        <v>35.01</v>
      </c>
      <c r="AF967">
        <f t="shared" si="15"/>
        <v>2</v>
      </c>
    </row>
    <row r="968" spans="29:32" x14ac:dyDescent="0.25">
      <c r="AC968">
        <v>49.84</v>
      </c>
      <c r="AE968">
        <v>35.03</v>
      </c>
      <c r="AF968">
        <f t="shared" si="15"/>
        <v>1</v>
      </c>
    </row>
    <row r="969" spans="29:32" x14ac:dyDescent="0.25">
      <c r="AC969">
        <v>47.53</v>
      </c>
      <c r="AE969">
        <v>35.04</v>
      </c>
      <c r="AF969">
        <f t="shared" si="15"/>
        <v>1</v>
      </c>
    </row>
    <row r="970" spans="29:32" x14ac:dyDescent="0.25">
      <c r="AC970">
        <v>47.57</v>
      </c>
      <c r="AE970">
        <v>35.04</v>
      </c>
      <c r="AF970">
        <f t="shared" si="15"/>
        <v>2</v>
      </c>
    </row>
    <row r="971" spans="29:32" x14ac:dyDescent="0.25">
      <c r="AC971">
        <v>46.91</v>
      </c>
      <c r="AE971">
        <v>35.04</v>
      </c>
      <c r="AF971">
        <f t="shared" si="15"/>
        <v>3</v>
      </c>
    </row>
    <row r="972" spans="29:32" x14ac:dyDescent="0.25">
      <c r="AC972">
        <v>47.45</v>
      </c>
      <c r="AE972">
        <v>35.06</v>
      </c>
      <c r="AF972">
        <f t="shared" si="15"/>
        <v>1</v>
      </c>
    </row>
    <row r="973" spans="29:32" x14ac:dyDescent="0.25">
      <c r="AC973">
        <v>48.3</v>
      </c>
      <c r="AE973">
        <v>35.1</v>
      </c>
      <c r="AF973">
        <f t="shared" si="15"/>
        <v>1</v>
      </c>
    </row>
    <row r="974" spans="29:32" x14ac:dyDescent="0.25">
      <c r="AC974">
        <v>45.93</v>
      </c>
      <c r="AE974">
        <v>35.1</v>
      </c>
      <c r="AF974">
        <f t="shared" si="15"/>
        <v>2</v>
      </c>
    </row>
    <row r="975" spans="29:32" x14ac:dyDescent="0.25">
      <c r="AC975">
        <v>46.76</v>
      </c>
      <c r="AE975">
        <v>35.1</v>
      </c>
      <c r="AF975">
        <f t="shared" si="15"/>
        <v>3</v>
      </c>
    </row>
    <row r="976" spans="29:32" x14ac:dyDescent="0.25">
      <c r="AC976">
        <v>46.66</v>
      </c>
      <c r="AE976">
        <v>35.14</v>
      </c>
      <c r="AF976">
        <f t="shared" si="15"/>
        <v>1</v>
      </c>
    </row>
    <row r="977" spans="29:32" x14ac:dyDescent="0.25">
      <c r="AC977">
        <v>48.55</v>
      </c>
      <c r="AE977">
        <v>35.159999999999997</v>
      </c>
      <c r="AF977">
        <f t="shared" si="15"/>
        <v>1</v>
      </c>
    </row>
    <row r="978" spans="29:32" x14ac:dyDescent="0.25">
      <c r="AC978">
        <v>49.99</v>
      </c>
      <c r="AE978">
        <v>35.17</v>
      </c>
      <c r="AF978">
        <f t="shared" si="15"/>
        <v>1</v>
      </c>
    </row>
    <row r="979" spans="29:32" x14ac:dyDescent="0.25">
      <c r="AC979">
        <v>47.85</v>
      </c>
      <c r="AE979">
        <v>35.18</v>
      </c>
      <c r="AF979">
        <f t="shared" si="15"/>
        <v>1</v>
      </c>
    </row>
    <row r="980" spans="29:32" x14ac:dyDescent="0.25">
      <c r="AC980">
        <v>48.04</v>
      </c>
      <c r="AE980">
        <v>35.19</v>
      </c>
      <c r="AF980">
        <f t="shared" si="15"/>
        <v>1</v>
      </c>
    </row>
    <row r="981" spans="29:32" x14ac:dyDescent="0.25">
      <c r="AC981">
        <v>48.27</v>
      </c>
      <c r="AE981">
        <v>35.19</v>
      </c>
      <c r="AF981">
        <f t="shared" si="15"/>
        <v>2</v>
      </c>
    </row>
    <row r="982" spans="29:32" x14ac:dyDescent="0.25">
      <c r="AC982">
        <v>48.39</v>
      </c>
      <c r="AE982">
        <v>35.24</v>
      </c>
      <c r="AF982">
        <f t="shared" si="15"/>
        <v>1</v>
      </c>
    </row>
    <row r="983" spans="29:32" x14ac:dyDescent="0.25">
      <c r="AC983">
        <v>47.61</v>
      </c>
      <c r="AE983">
        <v>35.24</v>
      </c>
      <c r="AF983">
        <f t="shared" si="15"/>
        <v>2</v>
      </c>
    </row>
    <row r="984" spans="29:32" x14ac:dyDescent="0.25">
      <c r="AC984">
        <v>49.17</v>
      </c>
      <c r="AE984">
        <v>35.29</v>
      </c>
      <c r="AF984">
        <f t="shared" si="15"/>
        <v>1</v>
      </c>
    </row>
    <row r="985" spans="29:32" x14ac:dyDescent="0.25">
      <c r="AC985">
        <v>48.75</v>
      </c>
      <c r="AE985">
        <v>35.31</v>
      </c>
      <c r="AF985">
        <f t="shared" si="15"/>
        <v>1</v>
      </c>
    </row>
    <row r="986" spans="29:32" x14ac:dyDescent="0.25">
      <c r="AC986">
        <v>48.22</v>
      </c>
      <c r="AE986">
        <v>35.32</v>
      </c>
      <c r="AF986">
        <f t="shared" si="15"/>
        <v>1</v>
      </c>
    </row>
    <row r="987" spans="29:32" x14ac:dyDescent="0.25">
      <c r="AC987">
        <v>49.26</v>
      </c>
      <c r="AE987">
        <v>35.340000000000003</v>
      </c>
      <c r="AF987">
        <f t="shared" si="15"/>
        <v>1</v>
      </c>
    </row>
    <row r="988" spans="29:32" x14ac:dyDescent="0.25">
      <c r="AC988">
        <v>48.83</v>
      </c>
      <c r="AE988">
        <v>35.35</v>
      </c>
      <c r="AF988">
        <f t="shared" si="15"/>
        <v>1</v>
      </c>
    </row>
    <row r="989" spans="29:32" x14ac:dyDescent="0.25">
      <c r="AC989">
        <v>51.61</v>
      </c>
      <c r="AE989">
        <v>35.39</v>
      </c>
      <c r="AF989">
        <f t="shared" si="15"/>
        <v>1</v>
      </c>
    </row>
    <row r="990" spans="29:32" x14ac:dyDescent="0.25">
      <c r="AC990">
        <v>48.95</v>
      </c>
      <c r="AE990">
        <v>35.4</v>
      </c>
      <c r="AF990">
        <f t="shared" si="15"/>
        <v>1</v>
      </c>
    </row>
    <row r="991" spans="29:32" x14ac:dyDescent="0.25">
      <c r="AC991">
        <v>48.56</v>
      </c>
      <c r="AE991">
        <v>35.409999999999997</v>
      </c>
      <c r="AF991">
        <f t="shared" si="15"/>
        <v>1</v>
      </c>
    </row>
    <row r="992" spans="29:32" x14ac:dyDescent="0.25">
      <c r="AC992">
        <v>49.05</v>
      </c>
      <c r="AE992">
        <v>35.42</v>
      </c>
      <c r="AF992">
        <f t="shared" si="15"/>
        <v>1</v>
      </c>
    </row>
    <row r="993" spans="29:32" x14ac:dyDescent="0.25">
      <c r="AC993">
        <v>48.96</v>
      </c>
      <c r="AE993">
        <v>35.43</v>
      </c>
      <c r="AF993">
        <f t="shared" si="15"/>
        <v>1</v>
      </c>
    </row>
    <row r="994" spans="29:32" x14ac:dyDescent="0.25">
      <c r="AC994">
        <v>49.28</v>
      </c>
      <c r="AE994">
        <v>35.43</v>
      </c>
      <c r="AF994">
        <f t="shared" si="15"/>
        <v>2</v>
      </c>
    </row>
    <row r="995" spans="29:32" x14ac:dyDescent="0.25">
      <c r="AC995">
        <v>49.07</v>
      </c>
      <c r="AE995">
        <v>35.44</v>
      </c>
      <c r="AF995">
        <f t="shared" si="15"/>
        <v>1</v>
      </c>
    </row>
    <row r="996" spans="29:32" x14ac:dyDescent="0.25">
      <c r="AC996">
        <v>49.28</v>
      </c>
      <c r="AE996">
        <v>35.46</v>
      </c>
      <c r="AF996">
        <f t="shared" si="15"/>
        <v>1</v>
      </c>
    </row>
    <row r="997" spans="29:32" x14ac:dyDescent="0.25">
      <c r="AC997">
        <v>53.25</v>
      </c>
      <c r="AE997">
        <v>35.479999999999997</v>
      </c>
      <c r="AF997">
        <f t="shared" si="15"/>
        <v>1</v>
      </c>
    </row>
    <row r="998" spans="29:32" x14ac:dyDescent="0.25">
      <c r="AC998">
        <v>53.47</v>
      </c>
      <c r="AE998">
        <v>35.54</v>
      </c>
      <c r="AF998">
        <f t="shared" si="15"/>
        <v>1</v>
      </c>
    </row>
    <row r="999" spans="29:32" x14ac:dyDescent="0.25">
      <c r="AC999">
        <v>54.31</v>
      </c>
      <c r="AE999">
        <v>35.54</v>
      </c>
      <c r="AF999">
        <f t="shared" si="15"/>
        <v>2</v>
      </c>
    </row>
    <row r="1000" spans="29:32" x14ac:dyDescent="0.25">
      <c r="AC1000">
        <v>55.41</v>
      </c>
      <c r="AE1000">
        <v>35.590000000000003</v>
      </c>
      <c r="AF1000">
        <f t="shared" si="15"/>
        <v>1</v>
      </c>
    </row>
    <row r="1001" spans="29:32" x14ac:dyDescent="0.25">
      <c r="AC1001">
        <v>56.19</v>
      </c>
      <c r="AE1001">
        <v>35.630000000000003</v>
      </c>
      <c r="AF1001">
        <f t="shared" si="15"/>
        <v>1</v>
      </c>
    </row>
    <row r="1002" spans="29:32" x14ac:dyDescent="0.25">
      <c r="AC1002">
        <v>56.65</v>
      </c>
      <c r="AE1002">
        <v>35.64</v>
      </c>
      <c r="AF1002">
        <f t="shared" si="15"/>
        <v>1</v>
      </c>
    </row>
    <row r="1003" spans="29:32" x14ac:dyDescent="0.25">
      <c r="AC1003">
        <v>56.86</v>
      </c>
      <c r="AE1003">
        <v>35.65</v>
      </c>
      <c r="AF1003">
        <f t="shared" si="15"/>
        <v>1</v>
      </c>
    </row>
    <row r="1004" spans="29:32" x14ac:dyDescent="0.25">
      <c r="AC1004">
        <v>57.92</v>
      </c>
      <c r="AE1004">
        <v>35.65</v>
      </c>
      <c r="AF1004">
        <f t="shared" si="15"/>
        <v>2</v>
      </c>
    </row>
    <row r="1005" spans="29:32" x14ac:dyDescent="0.25">
      <c r="AC1005">
        <v>58.66</v>
      </c>
      <c r="AE1005">
        <v>35.65</v>
      </c>
      <c r="AF1005">
        <f t="shared" si="15"/>
        <v>3</v>
      </c>
    </row>
    <row r="1006" spans="29:32" x14ac:dyDescent="0.25">
      <c r="AC1006" cm="1">
        <f t="array" ref="AC1006:AC1256">T2:T252</f>
        <v>18.940000000000001</v>
      </c>
      <c r="AE1006">
        <v>35.65</v>
      </c>
      <c r="AF1006">
        <f t="shared" si="15"/>
        <v>4</v>
      </c>
    </row>
    <row r="1007" spans="29:32" x14ac:dyDescent="0.25">
      <c r="AC1007">
        <v>19.149999999999999</v>
      </c>
      <c r="AE1007">
        <v>35.67</v>
      </c>
      <c r="AF1007">
        <f t="shared" si="15"/>
        <v>1</v>
      </c>
    </row>
    <row r="1008" spans="29:32" x14ac:dyDescent="0.25">
      <c r="AC1008">
        <v>19.77</v>
      </c>
      <c r="AE1008">
        <v>35.68</v>
      </c>
      <c r="AF1008">
        <f t="shared" si="15"/>
        <v>1</v>
      </c>
    </row>
    <row r="1009" spans="29:32" x14ac:dyDescent="0.25">
      <c r="AC1009">
        <v>21.45</v>
      </c>
      <c r="AE1009">
        <v>35.71</v>
      </c>
      <c r="AF1009">
        <f t="shared" si="15"/>
        <v>1</v>
      </c>
    </row>
    <row r="1010" spans="29:32" x14ac:dyDescent="0.25">
      <c r="AC1010">
        <v>21.66</v>
      </c>
      <c r="AE1010">
        <v>35.729999999999997</v>
      </c>
      <c r="AF1010">
        <f t="shared" si="15"/>
        <v>1</v>
      </c>
    </row>
    <row r="1011" spans="29:32" x14ac:dyDescent="0.25">
      <c r="AC1011">
        <v>21.18</v>
      </c>
      <c r="AE1011">
        <v>35.729999999999997</v>
      </c>
      <c r="AF1011">
        <f t="shared" si="15"/>
        <v>2</v>
      </c>
    </row>
    <row r="1012" spans="29:32" x14ac:dyDescent="0.25">
      <c r="AC1012">
        <v>21.6</v>
      </c>
      <c r="AE1012">
        <v>35.74</v>
      </c>
      <c r="AF1012">
        <f t="shared" si="15"/>
        <v>1</v>
      </c>
    </row>
    <row r="1013" spans="29:32" x14ac:dyDescent="0.25">
      <c r="AC1013">
        <v>20.79</v>
      </c>
      <c r="AE1013">
        <v>35.75</v>
      </c>
      <c r="AF1013">
        <f t="shared" si="15"/>
        <v>1</v>
      </c>
    </row>
    <row r="1014" spans="29:32" x14ac:dyDescent="0.25">
      <c r="AC1014">
        <v>21.81</v>
      </c>
      <c r="AE1014">
        <v>35.76</v>
      </c>
      <c r="AF1014">
        <f t="shared" si="15"/>
        <v>1</v>
      </c>
    </row>
    <row r="1015" spans="29:32" x14ac:dyDescent="0.25">
      <c r="AC1015">
        <v>21.72</v>
      </c>
      <c r="AE1015">
        <v>35.770000000000003</v>
      </c>
      <c r="AF1015">
        <f t="shared" si="15"/>
        <v>1</v>
      </c>
    </row>
    <row r="1016" spans="29:32" x14ac:dyDescent="0.25">
      <c r="AC1016">
        <v>21.32</v>
      </c>
      <c r="AE1016">
        <v>35.78</v>
      </c>
      <c r="AF1016">
        <f t="shared" si="15"/>
        <v>1</v>
      </c>
    </row>
    <row r="1017" spans="29:32" x14ac:dyDescent="0.25">
      <c r="AC1017">
        <v>22.52</v>
      </c>
      <c r="AE1017">
        <v>35.799999999999997</v>
      </c>
      <c r="AF1017">
        <f t="shared" si="15"/>
        <v>1</v>
      </c>
    </row>
    <row r="1018" spans="29:32" x14ac:dyDescent="0.25">
      <c r="AC1018">
        <v>21.47</v>
      </c>
      <c r="AE1018">
        <v>35.81</v>
      </c>
      <c r="AF1018">
        <f t="shared" si="15"/>
        <v>1</v>
      </c>
    </row>
    <row r="1019" spans="29:32" x14ac:dyDescent="0.25">
      <c r="AC1019">
        <v>21.99</v>
      </c>
      <c r="AE1019">
        <v>35.82</v>
      </c>
      <c r="AF1019">
        <f t="shared" si="15"/>
        <v>1</v>
      </c>
    </row>
    <row r="1020" spans="29:32" x14ac:dyDescent="0.25">
      <c r="AC1020">
        <v>22.41</v>
      </c>
      <c r="AE1020">
        <v>35.86</v>
      </c>
      <c r="AF1020">
        <f t="shared" si="15"/>
        <v>1</v>
      </c>
    </row>
    <row r="1021" spans="29:32" x14ac:dyDescent="0.25">
      <c r="AC1021">
        <v>22.94</v>
      </c>
      <c r="AE1021">
        <v>35.86</v>
      </c>
      <c r="AF1021">
        <f t="shared" si="15"/>
        <v>2</v>
      </c>
    </row>
    <row r="1022" spans="29:32" x14ac:dyDescent="0.25">
      <c r="AC1022">
        <v>21.79</v>
      </c>
      <c r="AE1022">
        <v>35.89</v>
      </c>
      <c r="AF1022">
        <f t="shared" si="15"/>
        <v>1</v>
      </c>
    </row>
    <row r="1023" spans="29:32" x14ac:dyDescent="0.25">
      <c r="AC1023">
        <v>21.44</v>
      </c>
      <c r="AE1023">
        <v>35.9</v>
      </c>
      <c r="AF1023">
        <f t="shared" si="15"/>
        <v>1</v>
      </c>
    </row>
    <row r="1024" spans="29:32" x14ac:dyDescent="0.25">
      <c r="AC1024">
        <v>20.97</v>
      </c>
      <c r="AE1024">
        <v>35.96</v>
      </c>
      <c r="AF1024">
        <f t="shared" si="15"/>
        <v>1</v>
      </c>
    </row>
    <row r="1025" spans="29:32" x14ac:dyDescent="0.25">
      <c r="AC1025">
        <v>22.52</v>
      </c>
      <c r="AE1025">
        <v>35.97</v>
      </c>
      <c r="AF1025">
        <f t="shared" si="15"/>
        <v>1</v>
      </c>
    </row>
    <row r="1026" spans="29:32" x14ac:dyDescent="0.25">
      <c r="AC1026">
        <v>23.37</v>
      </c>
      <c r="AE1026">
        <v>35.979999999999997</v>
      </c>
      <c r="AF1026">
        <f t="shared" si="15"/>
        <v>1</v>
      </c>
    </row>
    <row r="1027" spans="29:32" x14ac:dyDescent="0.25">
      <c r="AC1027">
        <v>23.18</v>
      </c>
      <c r="AE1027">
        <v>35.979999999999997</v>
      </c>
      <c r="AF1027">
        <f t="shared" si="15"/>
        <v>2</v>
      </c>
    </row>
    <row r="1028" spans="29:32" x14ac:dyDescent="0.25">
      <c r="AC1028">
        <v>22.09</v>
      </c>
      <c r="AE1028">
        <v>36.01</v>
      </c>
      <c r="AF1028">
        <f t="shared" ref="AF1028:AF1091" si="16">IF(AE1028=AE1027,AF1027+1,1)</f>
        <v>1</v>
      </c>
    </row>
    <row r="1029" spans="29:32" x14ac:dyDescent="0.25">
      <c r="AC1029">
        <v>22.53</v>
      </c>
      <c r="AE1029">
        <v>36.020000000000003</v>
      </c>
      <c r="AF1029">
        <f t="shared" si="16"/>
        <v>1</v>
      </c>
    </row>
    <row r="1030" spans="29:32" x14ac:dyDescent="0.25">
      <c r="AC1030">
        <v>22.2</v>
      </c>
      <c r="AE1030">
        <v>36.049999999999997</v>
      </c>
      <c r="AF1030">
        <f t="shared" si="16"/>
        <v>1</v>
      </c>
    </row>
    <row r="1031" spans="29:32" x14ac:dyDescent="0.25">
      <c r="AC1031">
        <v>23.46</v>
      </c>
      <c r="AE1031">
        <v>36.06</v>
      </c>
      <c r="AF1031">
        <f t="shared" si="16"/>
        <v>1</v>
      </c>
    </row>
    <row r="1032" spans="29:32" x14ac:dyDescent="0.25">
      <c r="AC1032">
        <v>22.42</v>
      </c>
      <c r="AE1032">
        <v>36.06</v>
      </c>
      <c r="AF1032">
        <f t="shared" si="16"/>
        <v>2</v>
      </c>
    </row>
    <row r="1033" spans="29:32" x14ac:dyDescent="0.25">
      <c r="AC1033">
        <v>22.23</v>
      </c>
      <c r="AE1033">
        <v>36.07</v>
      </c>
      <c r="AF1033">
        <f t="shared" si="16"/>
        <v>1</v>
      </c>
    </row>
    <row r="1034" spans="29:32" x14ac:dyDescent="0.25">
      <c r="AC1034">
        <v>22.24</v>
      </c>
      <c r="AE1034">
        <v>36.1</v>
      </c>
      <c r="AF1034">
        <f t="shared" si="16"/>
        <v>1</v>
      </c>
    </row>
    <row r="1035" spans="29:32" x14ac:dyDescent="0.25">
      <c r="AC1035">
        <v>22.61</v>
      </c>
      <c r="AE1035">
        <v>36.1</v>
      </c>
      <c r="AF1035">
        <f t="shared" si="16"/>
        <v>2</v>
      </c>
    </row>
    <row r="1036" spans="29:32" x14ac:dyDescent="0.25">
      <c r="AC1036">
        <v>22.79</v>
      </c>
      <c r="AE1036">
        <v>36.119999999999997</v>
      </c>
      <c r="AF1036">
        <f t="shared" si="16"/>
        <v>1</v>
      </c>
    </row>
    <row r="1037" spans="29:32" x14ac:dyDescent="0.25">
      <c r="AC1037">
        <v>21.13</v>
      </c>
      <c r="AE1037">
        <v>36.119999999999997</v>
      </c>
      <c r="AF1037">
        <f t="shared" si="16"/>
        <v>2</v>
      </c>
    </row>
    <row r="1038" spans="29:32" x14ac:dyDescent="0.25">
      <c r="AC1038">
        <v>22.58</v>
      </c>
      <c r="AE1038">
        <v>36.130000000000003</v>
      </c>
      <c r="AF1038">
        <f t="shared" si="16"/>
        <v>1</v>
      </c>
    </row>
    <row r="1039" spans="29:32" x14ac:dyDescent="0.25">
      <c r="AC1039">
        <v>22.49</v>
      </c>
      <c r="AE1039">
        <v>36.15</v>
      </c>
      <c r="AF1039">
        <f t="shared" si="16"/>
        <v>1</v>
      </c>
    </row>
    <row r="1040" spans="29:32" x14ac:dyDescent="0.25">
      <c r="AC1040">
        <v>21.45</v>
      </c>
      <c r="AE1040">
        <v>36.17</v>
      </c>
      <c r="AF1040">
        <f t="shared" si="16"/>
        <v>1</v>
      </c>
    </row>
    <row r="1041" spans="29:32" x14ac:dyDescent="0.25">
      <c r="AC1041">
        <v>22.65</v>
      </c>
      <c r="AE1041">
        <v>36.17</v>
      </c>
      <c r="AF1041">
        <f t="shared" si="16"/>
        <v>2</v>
      </c>
    </row>
    <row r="1042" spans="29:32" x14ac:dyDescent="0.25">
      <c r="AC1042">
        <v>22.37</v>
      </c>
      <c r="AE1042">
        <v>36.19</v>
      </c>
      <c r="AF1042">
        <f t="shared" si="16"/>
        <v>1</v>
      </c>
    </row>
    <row r="1043" spans="29:32" x14ac:dyDescent="0.25">
      <c r="AC1043">
        <v>22.9</v>
      </c>
      <c r="AE1043">
        <v>36.19</v>
      </c>
      <c r="AF1043">
        <f t="shared" si="16"/>
        <v>2</v>
      </c>
    </row>
    <row r="1044" spans="29:32" x14ac:dyDescent="0.25">
      <c r="AC1044">
        <v>23.37</v>
      </c>
      <c r="AE1044">
        <v>36.22</v>
      </c>
      <c r="AF1044">
        <f t="shared" si="16"/>
        <v>1</v>
      </c>
    </row>
    <row r="1045" spans="29:32" x14ac:dyDescent="0.25">
      <c r="AC1045">
        <v>21.79</v>
      </c>
      <c r="AE1045">
        <v>36.229999999999997</v>
      </c>
      <c r="AF1045">
        <f t="shared" si="16"/>
        <v>1</v>
      </c>
    </row>
    <row r="1046" spans="29:32" x14ac:dyDescent="0.25">
      <c r="AC1046">
        <v>23.59</v>
      </c>
      <c r="AE1046">
        <v>36.229999999999997</v>
      </c>
      <c r="AF1046">
        <f t="shared" si="16"/>
        <v>2</v>
      </c>
    </row>
    <row r="1047" spans="29:32" x14ac:dyDescent="0.25">
      <c r="AC1047">
        <v>23.99</v>
      </c>
      <c r="AE1047">
        <v>36.25</v>
      </c>
      <c r="AF1047">
        <f t="shared" si="16"/>
        <v>1</v>
      </c>
    </row>
    <row r="1048" spans="29:32" x14ac:dyDescent="0.25">
      <c r="AC1048">
        <v>23.5</v>
      </c>
      <c r="AE1048">
        <v>36.31</v>
      </c>
      <c r="AF1048">
        <f t="shared" si="16"/>
        <v>1</v>
      </c>
    </row>
    <row r="1049" spans="29:32" x14ac:dyDescent="0.25">
      <c r="AC1049">
        <v>24.23</v>
      </c>
      <c r="AE1049">
        <v>36.340000000000003</v>
      </c>
      <c r="AF1049">
        <f t="shared" si="16"/>
        <v>1</v>
      </c>
    </row>
    <row r="1050" spans="29:32" x14ac:dyDescent="0.25">
      <c r="AC1050">
        <v>23.93</v>
      </c>
      <c r="AE1050">
        <v>36.409999999999997</v>
      </c>
      <c r="AF1050">
        <f t="shared" si="16"/>
        <v>1</v>
      </c>
    </row>
    <row r="1051" spans="29:32" x14ac:dyDescent="0.25">
      <c r="AC1051">
        <v>23.85</v>
      </c>
      <c r="AE1051">
        <v>36.409999999999997</v>
      </c>
      <c r="AF1051">
        <f t="shared" si="16"/>
        <v>2</v>
      </c>
    </row>
    <row r="1052" spans="29:32" x14ac:dyDescent="0.25">
      <c r="AC1052">
        <v>23.68</v>
      </c>
      <c r="AE1052">
        <v>36.43</v>
      </c>
      <c r="AF1052">
        <f t="shared" si="16"/>
        <v>1</v>
      </c>
    </row>
    <row r="1053" spans="29:32" x14ac:dyDescent="0.25">
      <c r="AC1053">
        <v>23.85</v>
      </c>
      <c r="AE1053">
        <v>36.450000000000003</v>
      </c>
      <c r="AF1053">
        <f t="shared" si="16"/>
        <v>1</v>
      </c>
    </row>
    <row r="1054" spans="29:32" x14ac:dyDescent="0.25">
      <c r="AC1054">
        <v>24.42</v>
      </c>
      <c r="AE1054">
        <v>36.47</v>
      </c>
      <c r="AF1054">
        <f t="shared" si="16"/>
        <v>1</v>
      </c>
    </row>
    <row r="1055" spans="29:32" x14ac:dyDescent="0.25">
      <c r="AC1055">
        <v>24.95</v>
      </c>
      <c r="AE1055">
        <v>36.51</v>
      </c>
      <c r="AF1055">
        <f t="shared" si="16"/>
        <v>1</v>
      </c>
    </row>
    <row r="1056" spans="29:32" x14ac:dyDescent="0.25">
      <c r="AC1056">
        <v>25.69</v>
      </c>
      <c r="AE1056">
        <v>36.51</v>
      </c>
      <c r="AF1056">
        <f t="shared" si="16"/>
        <v>2</v>
      </c>
    </row>
    <row r="1057" spans="29:32" x14ac:dyDescent="0.25">
      <c r="AC1057">
        <v>26</v>
      </c>
      <c r="AE1057">
        <v>36.54</v>
      </c>
      <c r="AF1057">
        <f t="shared" si="16"/>
        <v>1</v>
      </c>
    </row>
    <row r="1058" spans="29:32" x14ac:dyDescent="0.25">
      <c r="AC1058">
        <v>27.05</v>
      </c>
      <c r="AE1058">
        <v>36.54</v>
      </c>
      <c r="AF1058">
        <f t="shared" si="16"/>
        <v>2</v>
      </c>
    </row>
    <row r="1059" spans="29:32" x14ac:dyDescent="0.25">
      <c r="AC1059">
        <v>27.5</v>
      </c>
      <c r="AE1059">
        <v>36.549999999999997</v>
      </c>
      <c r="AF1059">
        <f t="shared" si="16"/>
        <v>1</v>
      </c>
    </row>
    <row r="1060" spans="29:32" x14ac:dyDescent="0.25">
      <c r="AC1060">
        <v>29.22</v>
      </c>
      <c r="AE1060">
        <v>36.549999999999997</v>
      </c>
      <c r="AF1060">
        <f t="shared" si="16"/>
        <v>2</v>
      </c>
    </row>
    <row r="1061" spans="29:32" x14ac:dyDescent="0.25">
      <c r="AC1061">
        <v>28.29</v>
      </c>
      <c r="AE1061">
        <v>36.549999999999997</v>
      </c>
      <c r="AF1061">
        <f t="shared" si="16"/>
        <v>3</v>
      </c>
    </row>
    <row r="1062" spans="29:32" x14ac:dyDescent="0.25">
      <c r="AC1062">
        <v>29.35</v>
      </c>
      <c r="AE1062">
        <v>36.56</v>
      </c>
      <c r="AF1062">
        <f t="shared" si="16"/>
        <v>1</v>
      </c>
    </row>
    <row r="1063" spans="29:32" x14ac:dyDescent="0.25">
      <c r="AC1063">
        <v>31.41</v>
      </c>
      <c r="AE1063">
        <v>36.57</v>
      </c>
      <c r="AF1063">
        <f t="shared" si="16"/>
        <v>1</v>
      </c>
    </row>
    <row r="1064" spans="29:32" x14ac:dyDescent="0.25">
      <c r="AC1064">
        <v>32.090000000000003</v>
      </c>
      <c r="AE1064">
        <v>36.57</v>
      </c>
      <c r="AF1064">
        <f t="shared" si="16"/>
        <v>2</v>
      </c>
    </row>
    <row r="1065" spans="29:32" x14ac:dyDescent="0.25">
      <c r="AC1065">
        <v>34.520000000000003</v>
      </c>
      <c r="AE1065">
        <v>36.590000000000003</v>
      </c>
      <c r="AF1065">
        <f t="shared" si="16"/>
        <v>1</v>
      </c>
    </row>
    <row r="1066" spans="29:32" x14ac:dyDescent="0.25">
      <c r="AC1066">
        <v>35.35</v>
      </c>
      <c r="AE1066">
        <v>36.6</v>
      </c>
      <c r="AF1066">
        <f t="shared" si="16"/>
        <v>1</v>
      </c>
    </row>
    <row r="1067" spans="29:32" x14ac:dyDescent="0.25">
      <c r="AC1067">
        <v>35.74</v>
      </c>
      <c r="AE1067">
        <v>36.61</v>
      </c>
      <c r="AF1067">
        <f t="shared" si="16"/>
        <v>1</v>
      </c>
    </row>
    <row r="1068" spans="29:32" x14ac:dyDescent="0.25">
      <c r="AC1068">
        <v>35.479999999999997</v>
      </c>
      <c r="AE1068">
        <v>36.630000000000003</v>
      </c>
      <c r="AF1068">
        <f t="shared" si="16"/>
        <v>1</v>
      </c>
    </row>
    <row r="1069" spans="29:32" x14ac:dyDescent="0.25">
      <c r="AC1069">
        <v>35.1</v>
      </c>
      <c r="AE1069">
        <v>36.64</v>
      </c>
      <c r="AF1069">
        <f t="shared" si="16"/>
        <v>1</v>
      </c>
    </row>
    <row r="1070" spans="29:32" x14ac:dyDescent="0.25">
      <c r="AC1070">
        <v>35.65</v>
      </c>
      <c r="AE1070">
        <v>36.65</v>
      </c>
      <c r="AF1070">
        <f t="shared" si="16"/>
        <v>1</v>
      </c>
    </row>
    <row r="1071" spans="29:32" x14ac:dyDescent="0.25">
      <c r="AC1071">
        <v>37.47</v>
      </c>
      <c r="AE1071">
        <v>36.72</v>
      </c>
      <c r="AF1071">
        <f t="shared" si="16"/>
        <v>1</v>
      </c>
    </row>
    <row r="1072" spans="29:32" x14ac:dyDescent="0.25">
      <c r="AC1072">
        <v>37.61</v>
      </c>
      <c r="AE1072">
        <v>36.75</v>
      </c>
      <c r="AF1072">
        <f t="shared" si="16"/>
        <v>1</v>
      </c>
    </row>
    <row r="1073" spans="29:32" x14ac:dyDescent="0.25">
      <c r="AC1073">
        <v>35.729999999999997</v>
      </c>
      <c r="AE1073">
        <v>36.770000000000003</v>
      </c>
      <c r="AF1073">
        <f t="shared" si="16"/>
        <v>1</v>
      </c>
    </row>
    <row r="1074" spans="29:32" x14ac:dyDescent="0.25">
      <c r="AC1074">
        <v>36.409999999999997</v>
      </c>
      <c r="AE1074">
        <v>36.81</v>
      </c>
      <c r="AF1074">
        <f t="shared" si="16"/>
        <v>1</v>
      </c>
    </row>
    <row r="1075" spans="29:32" x14ac:dyDescent="0.25">
      <c r="AC1075">
        <v>36.549999999999997</v>
      </c>
      <c r="AE1075">
        <v>36.81</v>
      </c>
      <c r="AF1075">
        <f t="shared" si="16"/>
        <v>2</v>
      </c>
    </row>
    <row r="1076" spans="29:32" x14ac:dyDescent="0.25">
      <c r="AC1076">
        <v>36.549999999999997</v>
      </c>
      <c r="AE1076">
        <v>36.82</v>
      </c>
      <c r="AF1076">
        <f t="shared" si="16"/>
        <v>1</v>
      </c>
    </row>
    <row r="1077" spans="29:32" x14ac:dyDescent="0.25">
      <c r="AC1077">
        <v>38.35</v>
      </c>
      <c r="AE1077">
        <v>36.82</v>
      </c>
      <c r="AF1077">
        <f t="shared" si="16"/>
        <v>2</v>
      </c>
    </row>
    <row r="1078" spans="29:32" x14ac:dyDescent="0.25">
      <c r="AC1078">
        <v>38.450000000000003</v>
      </c>
      <c r="AE1078">
        <v>36.869999999999997</v>
      </c>
      <c r="AF1078">
        <f t="shared" si="16"/>
        <v>1</v>
      </c>
    </row>
    <row r="1079" spans="29:32" x14ac:dyDescent="0.25">
      <c r="AC1079">
        <v>38.799999999999997</v>
      </c>
      <c r="AE1079">
        <v>36.869999999999997</v>
      </c>
      <c r="AF1079">
        <f t="shared" si="16"/>
        <v>2</v>
      </c>
    </row>
    <row r="1080" spans="29:32" x14ac:dyDescent="0.25">
      <c r="AC1080">
        <v>37.46</v>
      </c>
      <c r="AE1080">
        <v>36.880000000000003</v>
      </c>
      <c r="AF1080">
        <f t="shared" si="16"/>
        <v>1</v>
      </c>
    </row>
    <row r="1081" spans="29:32" x14ac:dyDescent="0.25">
      <c r="AC1081">
        <v>37.33</v>
      </c>
      <c r="AE1081">
        <v>36.93</v>
      </c>
      <c r="AF1081">
        <f t="shared" si="16"/>
        <v>1</v>
      </c>
    </row>
    <row r="1082" spans="29:32" x14ac:dyDescent="0.25">
      <c r="AC1082">
        <v>37.729999999999997</v>
      </c>
      <c r="AE1082">
        <v>36.94</v>
      </c>
      <c r="AF1082">
        <f t="shared" si="16"/>
        <v>1</v>
      </c>
    </row>
    <row r="1083" spans="29:32" x14ac:dyDescent="0.25">
      <c r="AC1083">
        <v>39.369999999999997</v>
      </c>
      <c r="AE1083">
        <v>36.94</v>
      </c>
      <c r="AF1083">
        <f t="shared" si="16"/>
        <v>2</v>
      </c>
    </row>
    <row r="1084" spans="29:32" x14ac:dyDescent="0.25">
      <c r="AC1084">
        <v>39.43</v>
      </c>
      <c r="AE1084">
        <v>36.950000000000003</v>
      </c>
      <c r="AF1084">
        <f t="shared" si="16"/>
        <v>1</v>
      </c>
    </row>
    <row r="1085" spans="29:32" x14ac:dyDescent="0.25">
      <c r="AC1085">
        <v>39.33</v>
      </c>
      <c r="AE1085">
        <v>36.96</v>
      </c>
      <c r="AF1085">
        <f t="shared" si="16"/>
        <v>1</v>
      </c>
    </row>
    <row r="1086" spans="29:32" x14ac:dyDescent="0.25">
      <c r="AC1086">
        <v>37.51</v>
      </c>
      <c r="AE1086">
        <v>37</v>
      </c>
      <c r="AF1086">
        <f t="shared" si="16"/>
        <v>1</v>
      </c>
    </row>
    <row r="1087" spans="29:32" x14ac:dyDescent="0.25">
      <c r="AC1087">
        <v>39.33</v>
      </c>
      <c r="AE1087">
        <v>37</v>
      </c>
      <c r="AF1087">
        <f t="shared" si="16"/>
        <v>2</v>
      </c>
    </row>
    <row r="1088" spans="29:32" x14ac:dyDescent="0.25">
      <c r="AC1088">
        <v>40.020000000000003</v>
      </c>
      <c r="AE1088">
        <v>37.01</v>
      </c>
      <c r="AF1088">
        <f t="shared" si="16"/>
        <v>1</v>
      </c>
    </row>
    <row r="1089" spans="29:32" x14ac:dyDescent="0.25">
      <c r="AC1089">
        <v>38.450000000000003</v>
      </c>
      <c r="AE1089">
        <v>37.03</v>
      </c>
      <c r="AF1089">
        <f t="shared" si="16"/>
        <v>1</v>
      </c>
    </row>
    <row r="1090" spans="29:32" x14ac:dyDescent="0.25">
      <c r="AC1090">
        <v>39.39</v>
      </c>
      <c r="AE1090">
        <v>37.03</v>
      </c>
      <c r="AF1090">
        <f t="shared" si="16"/>
        <v>2</v>
      </c>
    </row>
    <row r="1091" spans="29:32" x14ac:dyDescent="0.25">
      <c r="AC1091">
        <v>39.799999999999997</v>
      </c>
      <c r="AE1091">
        <v>37.049999999999997</v>
      </c>
      <c r="AF1091">
        <f t="shared" si="16"/>
        <v>1</v>
      </c>
    </row>
    <row r="1092" spans="29:32" x14ac:dyDescent="0.25">
      <c r="AC1092">
        <v>40.29</v>
      </c>
      <c r="AE1092">
        <v>37.06</v>
      </c>
      <c r="AF1092">
        <f t="shared" ref="AF1092:AF1155" si="17">IF(AE1092=AE1091,AF1091+1,1)</f>
        <v>1</v>
      </c>
    </row>
    <row r="1093" spans="29:32" x14ac:dyDescent="0.25">
      <c r="AC1093">
        <v>40.159999999999997</v>
      </c>
      <c r="AE1093">
        <v>37.07</v>
      </c>
      <c r="AF1093">
        <f t="shared" si="17"/>
        <v>1</v>
      </c>
    </row>
    <row r="1094" spans="29:32" x14ac:dyDescent="0.25">
      <c r="AC1094">
        <v>40.1</v>
      </c>
      <c r="AE1094">
        <v>37.090000000000003</v>
      </c>
      <c r="AF1094">
        <f t="shared" si="17"/>
        <v>1</v>
      </c>
    </row>
    <row r="1095" spans="29:32" x14ac:dyDescent="0.25">
      <c r="AC1095">
        <v>39.68</v>
      </c>
      <c r="AE1095">
        <v>37.090000000000003</v>
      </c>
      <c r="AF1095">
        <f t="shared" si="17"/>
        <v>2</v>
      </c>
    </row>
    <row r="1096" spans="29:32" x14ac:dyDescent="0.25">
      <c r="AC1096">
        <v>40.26</v>
      </c>
      <c r="AE1096">
        <v>37.11</v>
      </c>
      <c r="AF1096">
        <f t="shared" si="17"/>
        <v>1</v>
      </c>
    </row>
    <row r="1097" spans="29:32" x14ac:dyDescent="0.25">
      <c r="AC1097">
        <v>39.24</v>
      </c>
      <c r="AE1097">
        <v>37.11</v>
      </c>
      <c r="AF1097">
        <f t="shared" si="17"/>
        <v>2</v>
      </c>
    </row>
    <row r="1098" spans="29:32" x14ac:dyDescent="0.25">
      <c r="AC1098">
        <v>39.99</v>
      </c>
      <c r="AE1098">
        <v>37.130000000000003</v>
      </c>
      <c r="AF1098">
        <f t="shared" si="17"/>
        <v>1</v>
      </c>
    </row>
    <row r="1099" spans="29:32" x14ac:dyDescent="0.25">
      <c r="AC1099">
        <v>39.33</v>
      </c>
      <c r="AE1099">
        <v>37.15</v>
      </c>
      <c r="AF1099">
        <f t="shared" si="17"/>
        <v>1</v>
      </c>
    </row>
    <row r="1100" spans="29:32" x14ac:dyDescent="0.25">
      <c r="AC1100">
        <v>40.130000000000003</v>
      </c>
      <c r="AE1100">
        <v>37.18</v>
      </c>
      <c r="AF1100">
        <f t="shared" si="17"/>
        <v>1</v>
      </c>
    </row>
    <row r="1101" spans="29:32" x14ac:dyDescent="0.25">
      <c r="AC1101">
        <v>40.74</v>
      </c>
      <c r="AE1101">
        <v>37.19</v>
      </c>
      <c r="AF1101">
        <f t="shared" si="17"/>
        <v>1</v>
      </c>
    </row>
    <row r="1102" spans="29:32" x14ac:dyDescent="0.25">
      <c r="AC1102">
        <v>40.229999999999997</v>
      </c>
      <c r="AE1102">
        <v>37.19</v>
      </c>
      <c r="AF1102">
        <f t="shared" si="17"/>
        <v>2</v>
      </c>
    </row>
    <row r="1103" spans="29:32" x14ac:dyDescent="0.25">
      <c r="AC1103">
        <v>41.5</v>
      </c>
      <c r="AE1103">
        <v>37.19</v>
      </c>
      <c r="AF1103">
        <f t="shared" si="17"/>
        <v>3</v>
      </c>
    </row>
    <row r="1104" spans="29:32" x14ac:dyDescent="0.25">
      <c r="AC1104">
        <v>40.659999999999997</v>
      </c>
      <c r="AE1104">
        <v>37.200000000000003</v>
      </c>
      <c r="AF1104">
        <f t="shared" si="17"/>
        <v>1</v>
      </c>
    </row>
    <row r="1105" spans="29:32" x14ac:dyDescent="0.25">
      <c r="AC1105">
        <v>41.13</v>
      </c>
      <c r="AE1105">
        <v>37.21</v>
      </c>
      <c r="AF1105">
        <f t="shared" si="17"/>
        <v>1</v>
      </c>
    </row>
    <row r="1106" spans="29:32" x14ac:dyDescent="0.25">
      <c r="AC1106">
        <v>41.14</v>
      </c>
      <c r="AE1106">
        <v>37.21</v>
      </c>
      <c r="AF1106">
        <f t="shared" si="17"/>
        <v>2</v>
      </c>
    </row>
    <row r="1107" spans="29:32" x14ac:dyDescent="0.25">
      <c r="AC1107">
        <v>41.39</v>
      </c>
      <c r="AE1107">
        <v>37.229999999999997</v>
      </c>
      <c r="AF1107">
        <f t="shared" si="17"/>
        <v>1</v>
      </c>
    </row>
    <row r="1108" spans="29:32" x14ac:dyDescent="0.25">
      <c r="AC1108">
        <v>41.53</v>
      </c>
      <c r="AE1108">
        <v>37.229999999999997</v>
      </c>
      <c r="AF1108">
        <f t="shared" si="17"/>
        <v>2</v>
      </c>
    </row>
    <row r="1109" spans="29:32" x14ac:dyDescent="0.25">
      <c r="AC1109">
        <v>42.08</v>
      </c>
      <c r="AE1109">
        <v>37.29</v>
      </c>
      <c r="AF1109">
        <f t="shared" si="17"/>
        <v>1</v>
      </c>
    </row>
    <row r="1110" spans="29:32" x14ac:dyDescent="0.25">
      <c r="AC1110">
        <v>42.01</v>
      </c>
      <c r="AE1110">
        <v>37.32</v>
      </c>
      <c r="AF1110">
        <f t="shared" si="17"/>
        <v>1</v>
      </c>
    </row>
    <row r="1111" spans="29:32" x14ac:dyDescent="0.25">
      <c r="AC1111">
        <v>41.67</v>
      </c>
      <c r="AE1111">
        <v>37.32</v>
      </c>
      <c r="AF1111">
        <f t="shared" si="17"/>
        <v>2</v>
      </c>
    </row>
    <row r="1112" spans="29:32" x14ac:dyDescent="0.25">
      <c r="AC1112">
        <v>41.58</v>
      </c>
      <c r="AE1112">
        <v>37.33</v>
      </c>
      <c r="AF1112">
        <f t="shared" si="17"/>
        <v>1</v>
      </c>
    </row>
    <row r="1113" spans="29:32" x14ac:dyDescent="0.25">
      <c r="AC1113">
        <v>42</v>
      </c>
      <c r="AE1113">
        <v>37.35</v>
      </c>
      <c r="AF1113">
        <f t="shared" si="17"/>
        <v>1</v>
      </c>
    </row>
    <row r="1114" spans="29:32" x14ac:dyDescent="0.25">
      <c r="AC1114">
        <v>42.21</v>
      </c>
      <c r="AE1114">
        <v>37.35</v>
      </c>
      <c r="AF1114">
        <f t="shared" si="17"/>
        <v>2</v>
      </c>
    </row>
    <row r="1115" spans="29:32" x14ac:dyDescent="0.25">
      <c r="AC1115">
        <v>41.96</v>
      </c>
      <c r="AE1115">
        <v>37.380000000000003</v>
      </c>
      <c r="AF1115">
        <f t="shared" si="17"/>
        <v>1</v>
      </c>
    </row>
    <row r="1116" spans="29:32" x14ac:dyDescent="0.25">
      <c r="AC1116">
        <v>41.82</v>
      </c>
      <c r="AE1116">
        <v>37.4</v>
      </c>
      <c r="AF1116">
        <f t="shared" si="17"/>
        <v>1</v>
      </c>
    </row>
    <row r="1117" spans="29:32" x14ac:dyDescent="0.25">
      <c r="AC1117">
        <v>41.61</v>
      </c>
      <c r="AE1117">
        <v>37.409999999999997</v>
      </c>
      <c r="AF1117">
        <f t="shared" si="17"/>
        <v>1</v>
      </c>
    </row>
    <row r="1118" spans="29:32" x14ac:dyDescent="0.25">
      <c r="AC1118">
        <v>42.23</v>
      </c>
      <c r="AE1118">
        <v>37.409999999999997</v>
      </c>
      <c r="AF1118">
        <f t="shared" si="17"/>
        <v>2</v>
      </c>
    </row>
    <row r="1119" spans="29:32" x14ac:dyDescent="0.25">
      <c r="AC1119">
        <v>41.73</v>
      </c>
      <c r="AE1119">
        <v>37.44</v>
      </c>
      <c r="AF1119">
        <f t="shared" si="17"/>
        <v>1</v>
      </c>
    </row>
    <row r="1120" spans="29:32" x14ac:dyDescent="0.25">
      <c r="AC1120">
        <v>41.33</v>
      </c>
      <c r="AE1120">
        <v>37.46</v>
      </c>
      <c r="AF1120">
        <f t="shared" si="17"/>
        <v>1</v>
      </c>
    </row>
    <row r="1121" spans="29:32" x14ac:dyDescent="0.25">
      <c r="AC1121">
        <v>42.42</v>
      </c>
      <c r="AE1121">
        <v>37.47</v>
      </c>
      <c r="AF1121">
        <f t="shared" si="17"/>
        <v>1</v>
      </c>
    </row>
    <row r="1122" spans="29:32" x14ac:dyDescent="0.25">
      <c r="AC1122">
        <v>40.99</v>
      </c>
      <c r="AE1122">
        <v>37.47</v>
      </c>
      <c r="AF1122">
        <f t="shared" si="17"/>
        <v>2</v>
      </c>
    </row>
    <row r="1123" spans="29:32" x14ac:dyDescent="0.25">
      <c r="AC1123">
        <v>42.5</v>
      </c>
      <c r="AE1123">
        <v>37.479999999999997</v>
      </c>
      <c r="AF1123">
        <f t="shared" si="17"/>
        <v>1</v>
      </c>
    </row>
    <row r="1124" spans="29:32" x14ac:dyDescent="0.25">
      <c r="AC1124">
        <v>41.41</v>
      </c>
      <c r="AE1124">
        <v>37.51</v>
      </c>
      <c r="AF1124">
        <f t="shared" si="17"/>
        <v>1</v>
      </c>
    </row>
    <row r="1125" spans="29:32" x14ac:dyDescent="0.25">
      <c r="AC1125">
        <v>42.43</v>
      </c>
      <c r="AE1125">
        <v>37.51</v>
      </c>
      <c r="AF1125">
        <f t="shared" si="17"/>
        <v>2</v>
      </c>
    </row>
    <row r="1126" spans="29:32" x14ac:dyDescent="0.25">
      <c r="AC1126">
        <v>43.02</v>
      </c>
      <c r="AE1126">
        <v>37.53</v>
      </c>
      <c r="AF1126">
        <f t="shared" si="17"/>
        <v>1</v>
      </c>
    </row>
    <row r="1127" spans="29:32" x14ac:dyDescent="0.25">
      <c r="AC1127">
        <v>42.78</v>
      </c>
      <c r="AE1127">
        <v>37.56</v>
      </c>
      <c r="AF1127">
        <f t="shared" si="17"/>
        <v>1</v>
      </c>
    </row>
    <row r="1128" spans="29:32" x14ac:dyDescent="0.25">
      <c r="AC1128">
        <v>41.41</v>
      </c>
      <c r="AE1128">
        <v>37.56</v>
      </c>
      <c r="AF1128">
        <f t="shared" si="17"/>
        <v>2</v>
      </c>
    </row>
    <row r="1129" spans="29:32" x14ac:dyDescent="0.25">
      <c r="AC1129">
        <v>42.03</v>
      </c>
      <c r="AE1129">
        <v>37.57</v>
      </c>
      <c r="AF1129">
        <f t="shared" si="17"/>
        <v>1</v>
      </c>
    </row>
    <row r="1130" spans="29:32" x14ac:dyDescent="0.25">
      <c r="AC1130">
        <v>42.29</v>
      </c>
      <c r="AE1130">
        <v>37.57</v>
      </c>
      <c r="AF1130">
        <f t="shared" si="17"/>
        <v>2</v>
      </c>
    </row>
    <row r="1131" spans="29:32" x14ac:dyDescent="0.25">
      <c r="AC1131">
        <v>43.18</v>
      </c>
      <c r="AE1131">
        <v>37.57</v>
      </c>
      <c r="AF1131">
        <f t="shared" si="17"/>
        <v>3</v>
      </c>
    </row>
    <row r="1132" spans="29:32" x14ac:dyDescent="0.25">
      <c r="AC1132">
        <v>41.82</v>
      </c>
      <c r="AE1132">
        <v>37.58</v>
      </c>
      <c r="AF1132">
        <f t="shared" si="17"/>
        <v>1</v>
      </c>
    </row>
    <row r="1133" spans="29:32" x14ac:dyDescent="0.25">
      <c r="AC1133">
        <v>42.91</v>
      </c>
      <c r="AE1133">
        <v>37.590000000000003</v>
      </c>
      <c r="AF1133">
        <f t="shared" si="17"/>
        <v>1</v>
      </c>
    </row>
    <row r="1134" spans="29:32" x14ac:dyDescent="0.25">
      <c r="AC1134">
        <v>42.76</v>
      </c>
      <c r="AE1134">
        <v>37.590000000000003</v>
      </c>
      <c r="AF1134">
        <f t="shared" si="17"/>
        <v>2</v>
      </c>
    </row>
    <row r="1135" spans="29:32" x14ac:dyDescent="0.25">
      <c r="AC1135">
        <v>43.32</v>
      </c>
      <c r="AE1135">
        <v>37.61</v>
      </c>
      <c r="AF1135">
        <f t="shared" si="17"/>
        <v>1</v>
      </c>
    </row>
    <row r="1136" spans="29:32" x14ac:dyDescent="0.25">
      <c r="AC1136">
        <v>42.83</v>
      </c>
      <c r="AE1136">
        <v>37.619999999999997</v>
      </c>
      <c r="AF1136">
        <f t="shared" si="17"/>
        <v>1</v>
      </c>
    </row>
    <row r="1137" spans="29:32" x14ac:dyDescent="0.25">
      <c r="AC1137">
        <v>43.31</v>
      </c>
      <c r="AE1137">
        <v>37.619999999999997</v>
      </c>
      <c r="AF1137">
        <f t="shared" si="17"/>
        <v>2</v>
      </c>
    </row>
    <row r="1138" spans="29:32" x14ac:dyDescent="0.25">
      <c r="AC1138">
        <v>43.41</v>
      </c>
      <c r="AE1138">
        <v>37.64</v>
      </c>
      <c r="AF1138">
        <f t="shared" si="17"/>
        <v>1</v>
      </c>
    </row>
    <row r="1139" spans="29:32" x14ac:dyDescent="0.25">
      <c r="AC1139">
        <v>43.66</v>
      </c>
      <c r="AE1139">
        <v>37.64</v>
      </c>
      <c r="AF1139">
        <f t="shared" si="17"/>
        <v>2</v>
      </c>
    </row>
    <row r="1140" spans="29:32" x14ac:dyDescent="0.25">
      <c r="AC1140">
        <v>41.91</v>
      </c>
      <c r="AE1140">
        <v>37.65</v>
      </c>
      <c r="AF1140">
        <f t="shared" si="17"/>
        <v>1</v>
      </c>
    </row>
    <row r="1141" spans="29:32" x14ac:dyDescent="0.25">
      <c r="AC1141">
        <v>43.18</v>
      </c>
      <c r="AE1141">
        <v>37.65</v>
      </c>
      <c r="AF1141">
        <f t="shared" si="17"/>
        <v>2</v>
      </c>
    </row>
    <row r="1142" spans="29:32" x14ac:dyDescent="0.25">
      <c r="AC1142">
        <v>44.54</v>
      </c>
      <c r="AE1142">
        <v>37.659999999999997</v>
      </c>
      <c r="AF1142">
        <f t="shared" si="17"/>
        <v>1</v>
      </c>
    </row>
    <row r="1143" spans="29:32" x14ac:dyDescent="0.25">
      <c r="AC1143">
        <v>44.1</v>
      </c>
      <c r="AE1143">
        <v>37.68</v>
      </c>
      <c r="AF1143">
        <f t="shared" si="17"/>
        <v>1</v>
      </c>
    </row>
    <row r="1144" spans="29:32" x14ac:dyDescent="0.25">
      <c r="AC1144">
        <v>44.69</v>
      </c>
      <c r="AE1144">
        <v>37.69</v>
      </c>
      <c r="AF1144">
        <f t="shared" si="17"/>
        <v>1</v>
      </c>
    </row>
    <row r="1145" spans="29:32" x14ac:dyDescent="0.25">
      <c r="AC1145">
        <v>44.24</v>
      </c>
      <c r="AE1145">
        <v>37.69</v>
      </c>
      <c r="AF1145">
        <f t="shared" si="17"/>
        <v>2</v>
      </c>
    </row>
    <row r="1146" spans="29:32" x14ac:dyDescent="0.25">
      <c r="AC1146">
        <v>44.58</v>
      </c>
      <c r="AE1146">
        <v>37.700000000000003</v>
      </c>
      <c r="AF1146">
        <f t="shared" si="17"/>
        <v>1</v>
      </c>
    </row>
    <row r="1147" spans="29:32" x14ac:dyDescent="0.25">
      <c r="AC1147">
        <v>43.76</v>
      </c>
      <c r="AE1147">
        <v>37.700000000000003</v>
      </c>
      <c r="AF1147">
        <f t="shared" si="17"/>
        <v>2</v>
      </c>
    </row>
    <row r="1148" spans="29:32" x14ac:dyDescent="0.25">
      <c r="AC1148">
        <v>42.93</v>
      </c>
      <c r="AE1148">
        <v>37.71</v>
      </c>
      <c r="AF1148">
        <f t="shared" si="17"/>
        <v>1</v>
      </c>
    </row>
    <row r="1149" spans="29:32" x14ac:dyDescent="0.25">
      <c r="AC1149">
        <v>45.11</v>
      </c>
      <c r="AE1149">
        <v>37.71</v>
      </c>
      <c r="AF1149">
        <f t="shared" si="17"/>
        <v>2</v>
      </c>
    </row>
    <row r="1150" spans="29:32" x14ac:dyDescent="0.25">
      <c r="AC1150">
        <v>43.03</v>
      </c>
      <c r="AE1150">
        <v>37.71</v>
      </c>
      <c r="AF1150">
        <f t="shared" si="17"/>
        <v>3</v>
      </c>
    </row>
    <row r="1151" spans="29:32" x14ac:dyDescent="0.25">
      <c r="AC1151">
        <v>43.14</v>
      </c>
      <c r="AE1151">
        <v>37.72</v>
      </c>
      <c r="AF1151">
        <f t="shared" si="17"/>
        <v>1</v>
      </c>
    </row>
    <row r="1152" spans="29:32" x14ac:dyDescent="0.25">
      <c r="AC1152">
        <v>44.48</v>
      </c>
      <c r="AE1152">
        <v>37.72</v>
      </c>
      <c r="AF1152">
        <f t="shared" si="17"/>
        <v>2</v>
      </c>
    </row>
    <row r="1153" spans="29:32" x14ac:dyDescent="0.25">
      <c r="AC1153">
        <v>44.53</v>
      </c>
      <c r="AE1153">
        <v>37.729999999999997</v>
      </c>
      <c r="AF1153">
        <f t="shared" si="17"/>
        <v>1</v>
      </c>
    </row>
    <row r="1154" spans="29:32" x14ac:dyDescent="0.25">
      <c r="AC1154">
        <v>44.38</v>
      </c>
      <c r="AE1154">
        <v>37.729999999999997</v>
      </c>
      <c r="AF1154">
        <f t="shared" si="17"/>
        <v>2</v>
      </c>
    </row>
    <row r="1155" spans="29:32" x14ac:dyDescent="0.25">
      <c r="AC1155">
        <v>43.28</v>
      </c>
      <c r="AE1155">
        <v>37.75</v>
      </c>
      <c r="AF1155">
        <f t="shared" si="17"/>
        <v>1</v>
      </c>
    </row>
    <row r="1156" spans="29:32" x14ac:dyDescent="0.25">
      <c r="AC1156">
        <v>47.29</v>
      </c>
      <c r="AE1156">
        <v>37.770000000000003</v>
      </c>
      <c r="AF1156">
        <f t="shared" ref="AF1156:AF1219" si="18">IF(AE1156=AE1155,AF1155+1,1)</f>
        <v>1</v>
      </c>
    </row>
    <row r="1157" spans="29:32" x14ac:dyDescent="0.25">
      <c r="AC1157">
        <v>43.25</v>
      </c>
      <c r="AE1157">
        <v>37.78</v>
      </c>
      <c r="AF1157">
        <f t="shared" si="18"/>
        <v>1</v>
      </c>
    </row>
    <row r="1158" spans="29:32" x14ac:dyDescent="0.25">
      <c r="AC1158">
        <v>42.84</v>
      </c>
      <c r="AE1158">
        <v>37.79</v>
      </c>
      <c r="AF1158">
        <f t="shared" si="18"/>
        <v>1</v>
      </c>
    </row>
    <row r="1159" spans="29:32" x14ac:dyDescent="0.25">
      <c r="AC1159">
        <v>44.25</v>
      </c>
      <c r="AE1159">
        <v>37.799999999999997</v>
      </c>
      <c r="AF1159">
        <f t="shared" si="18"/>
        <v>1</v>
      </c>
    </row>
    <row r="1160" spans="29:32" x14ac:dyDescent="0.25">
      <c r="AC1160">
        <v>46.08</v>
      </c>
      <c r="AE1160">
        <v>37.81</v>
      </c>
      <c r="AF1160">
        <f t="shared" si="18"/>
        <v>1</v>
      </c>
    </row>
    <row r="1161" spans="29:32" x14ac:dyDescent="0.25">
      <c r="AC1161">
        <v>42.91</v>
      </c>
      <c r="AE1161">
        <v>37.82</v>
      </c>
      <c r="AF1161">
        <f t="shared" si="18"/>
        <v>1</v>
      </c>
    </row>
    <row r="1162" spans="29:32" x14ac:dyDescent="0.25">
      <c r="AC1162">
        <v>44.61</v>
      </c>
      <c r="AE1162">
        <v>37.83</v>
      </c>
      <c r="AF1162">
        <f t="shared" si="18"/>
        <v>1</v>
      </c>
    </row>
    <row r="1163" spans="29:32" x14ac:dyDescent="0.25">
      <c r="AC1163">
        <v>45.17</v>
      </c>
      <c r="AE1163">
        <v>37.83</v>
      </c>
      <c r="AF1163">
        <f t="shared" si="18"/>
        <v>2</v>
      </c>
    </row>
    <row r="1164" spans="29:32" x14ac:dyDescent="0.25">
      <c r="AC1164">
        <v>44.25</v>
      </c>
      <c r="AE1164">
        <v>37.840000000000003</v>
      </c>
      <c r="AF1164">
        <f t="shared" si="18"/>
        <v>1</v>
      </c>
    </row>
    <row r="1165" spans="29:32" x14ac:dyDescent="0.25">
      <c r="AC1165">
        <v>43.22</v>
      </c>
      <c r="AE1165">
        <v>37.840000000000003</v>
      </c>
      <c r="AF1165">
        <f t="shared" si="18"/>
        <v>2</v>
      </c>
    </row>
    <row r="1166" spans="29:32" x14ac:dyDescent="0.25">
      <c r="AC1166">
        <v>45.09</v>
      </c>
      <c r="AE1166">
        <v>37.85</v>
      </c>
      <c r="AF1166">
        <f t="shared" si="18"/>
        <v>1</v>
      </c>
    </row>
    <row r="1167" spans="29:32" x14ac:dyDescent="0.25">
      <c r="AC1167">
        <v>43.67</v>
      </c>
      <c r="AE1167">
        <v>37.86</v>
      </c>
      <c r="AF1167">
        <f t="shared" si="18"/>
        <v>1</v>
      </c>
    </row>
    <row r="1168" spans="29:32" x14ac:dyDescent="0.25">
      <c r="AC1168">
        <v>43.22</v>
      </c>
      <c r="AE1168">
        <v>37.86</v>
      </c>
      <c r="AF1168">
        <f t="shared" si="18"/>
        <v>2</v>
      </c>
    </row>
    <row r="1169" spans="29:32" x14ac:dyDescent="0.25">
      <c r="AC1169">
        <v>43.63</v>
      </c>
      <c r="AE1169">
        <v>37.86</v>
      </c>
      <c r="AF1169">
        <f t="shared" si="18"/>
        <v>3</v>
      </c>
    </row>
    <row r="1170" spans="29:32" x14ac:dyDescent="0.25">
      <c r="AC1170">
        <v>45.33</v>
      </c>
      <c r="AE1170">
        <v>37.869999999999997</v>
      </c>
      <c r="AF1170">
        <f t="shared" si="18"/>
        <v>1</v>
      </c>
    </row>
    <row r="1171" spans="29:32" x14ac:dyDescent="0.25">
      <c r="AC1171">
        <v>43.19</v>
      </c>
      <c r="AE1171">
        <v>37.880000000000003</v>
      </c>
      <c r="AF1171">
        <f t="shared" si="18"/>
        <v>1</v>
      </c>
    </row>
    <row r="1172" spans="29:32" x14ac:dyDescent="0.25">
      <c r="AC1172">
        <v>43.57</v>
      </c>
      <c r="AE1172">
        <v>37.880000000000003</v>
      </c>
      <c r="AF1172">
        <f t="shared" si="18"/>
        <v>2</v>
      </c>
    </row>
    <row r="1173" spans="29:32" x14ac:dyDescent="0.25">
      <c r="AC1173">
        <v>43.26</v>
      </c>
      <c r="AE1173">
        <v>37.89</v>
      </c>
      <c r="AF1173">
        <f t="shared" si="18"/>
        <v>1</v>
      </c>
    </row>
    <row r="1174" spans="29:32" x14ac:dyDescent="0.25">
      <c r="AC1174">
        <v>45.31</v>
      </c>
      <c r="AE1174">
        <v>37.9</v>
      </c>
      <c r="AF1174">
        <f t="shared" si="18"/>
        <v>1</v>
      </c>
    </row>
    <row r="1175" spans="29:32" x14ac:dyDescent="0.25">
      <c r="AC1175">
        <v>45.5</v>
      </c>
      <c r="AE1175">
        <v>37.909999999999997</v>
      </c>
      <c r="AF1175">
        <f t="shared" si="18"/>
        <v>1</v>
      </c>
    </row>
    <row r="1176" spans="29:32" x14ac:dyDescent="0.25">
      <c r="AC1176">
        <v>47.43</v>
      </c>
      <c r="AE1176">
        <v>37.92</v>
      </c>
      <c r="AF1176">
        <f t="shared" si="18"/>
        <v>1</v>
      </c>
    </row>
    <row r="1177" spans="29:32" x14ac:dyDescent="0.25">
      <c r="AC1177">
        <v>44.36</v>
      </c>
      <c r="AE1177">
        <v>37.93</v>
      </c>
      <c r="AF1177">
        <f t="shared" si="18"/>
        <v>1</v>
      </c>
    </row>
    <row r="1178" spans="29:32" x14ac:dyDescent="0.25">
      <c r="AC1178">
        <v>43.93</v>
      </c>
      <c r="AE1178">
        <v>37.94</v>
      </c>
      <c r="AF1178">
        <f t="shared" si="18"/>
        <v>1</v>
      </c>
    </row>
    <row r="1179" spans="29:32" x14ac:dyDescent="0.25">
      <c r="AC1179">
        <v>44.97</v>
      </c>
      <c r="AE1179">
        <v>37.94</v>
      </c>
      <c r="AF1179">
        <f t="shared" si="18"/>
        <v>2</v>
      </c>
    </row>
    <row r="1180" spans="29:32" x14ac:dyDescent="0.25">
      <c r="AC1180">
        <v>45.32</v>
      </c>
      <c r="AE1180">
        <v>37.979999999999997</v>
      </c>
      <c r="AF1180">
        <f t="shared" si="18"/>
        <v>1</v>
      </c>
    </row>
    <row r="1181" spans="29:32" x14ac:dyDescent="0.25">
      <c r="AC1181">
        <v>44.25</v>
      </c>
      <c r="AE1181">
        <v>37.979999999999997</v>
      </c>
      <c r="AF1181">
        <f t="shared" si="18"/>
        <v>2</v>
      </c>
    </row>
    <row r="1182" spans="29:32" x14ac:dyDescent="0.25">
      <c r="AC1182">
        <v>46.04</v>
      </c>
      <c r="AE1182">
        <v>37.979999999999997</v>
      </c>
      <c r="AF1182">
        <f t="shared" si="18"/>
        <v>3</v>
      </c>
    </row>
    <row r="1183" spans="29:32" x14ac:dyDescent="0.25">
      <c r="AC1183">
        <v>44.43</v>
      </c>
      <c r="AE1183">
        <v>37.99</v>
      </c>
      <c r="AF1183">
        <f t="shared" si="18"/>
        <v>1</v>
      </c>
    </row>
    <row r="1184" spans="29:32" x14ac:dyDescent="0.25">
      <c r="AC1184">
        <v>45.54</v>
      </c>
      <c r="AE1184">
        <v>38.01</v>
      </c>
      <c r="AF1184">
        <f t="shared" si="18"/>
        <v>1</v>
      </c>
    </row>
    <row r="1185" spans="29:32" x14ac:dyDescent="0.25">
      <c r="AC1185">
        <v>45.7</v>
      </c>
      <c r="AE1185">
        <v>38.01</v>
      </c>
      <c r="AF1185">
        <f t="shared" si="18"/>
        <v>2</v>
      </c>
    </row>
    <row r="1186" spans="29:32" x14ac:dyDescent="0.25">
      <c r="AC1186">
        <v>46.14</v>
      </c>
      <c r="AE1186">
        <v>38.020000000000003</v>
      </c>
      <c r="AF1186">
        <f t="shared" si="18"/>
        <v>1</v>
      </c>
    </row>
    <row r="1187" spans="29:32" x14ac:dyDescent="0.25">
      <c r="AC1187">
        <v>46.2</v>
      </c>
      <c r="AE1187">
        <v>38.020000000000003</v>
      </c>
      <c r="AF1187">
        <f t="shared" si="18"/>
        <v>2</v>
      </c>
    </row>
    <row r="1188" spans="29:32" x14ac:dyDescent="0.25">
      <c r="AC1188">
        <v>43.89</v>
      </c>
      <c r="AE1188">
        <v>38.03</v>
      </c>
      <c r="AF1188">
        <f t="shared" si="18"/>
        <v>1</v>
      </c>
    </row>
    <row r="1189" spans="29:32" x14ac:dyDescent="0.25">
      <c r="AC1189">
        <v>45.01</v>
      </c>
      <c r="AE1189">
        <v>38.03</v>
      </c>
      <c r="AF1189">
        <f t="shared" si="18"/>
        <v>2</v>
      </c>
    </row>
    <row r="1190" spans="29:32" x14ac:dyDescent="0.25">
      <c r="AC1190">
        <v>44.42</v>
      </c>
      <c r="AE1190">
        <v>38.049999999999997</v>
      </c>
      <c r="AF1190">
        <f t="shared" si="18"/>
        <v>1</v>
      </c>
    </row>
    <row r="1191" spans="29:32" x14ac:dyDescent="0.25">
      <c r="AC1191">
        <v>45.97</v>
      </c>
      <c r="AE1191">
        <v>38.06</v>
      </c>
      <c r="AF1191">
        <f t="shared" si="18"/>
        <v>1</v>
      </c>
    </row>
    <row r="1192" spans="29:32" x14ac:dyDescent="0.25">
      <c r="AC1192">
        <v>45.72</v>
      </c>
      <c r="AE1192">
        <v>38.06</v>
      </c>
      <c r="AF1192">
        <f t="shared" si="18"/>
        <v>2</v>
      </c>
    </row>
    <row r="1193" spans="29:32" x14ac:dyDescent="0.25">
      <c r="AC1193">
        <v>46.12</v>
      </c>
      <c r="AE1193">
        <v>38.06</v>
      </c>
      <c r="AF1193">
        <f t="shared" si="18"/>
        <v>3</v>
      </c>
    </row>
    <row r="1194" spans="29:32" x14ac:dyDescent="0.25">
      <c r="AC1194">
        <v>45.69</v>
      </c>
      <c r="AE1194">
        <v>38.07</v>
      </c>
      <c r="AF1194">
        <f t="shared" si="18"/>
        <v>1</v>
      </c>
    </row>
    <row r="1195" spans="29:32" x14ac:dyDescent="0.25">
      <c r="AC1195">
        <v>44.32</v>
      </c>
      <c r="AE1195">
        <v>38.090000000000003</v>
      </c>
      <c r="AF1195">
        <f t="shared" si="18"/>
        <v>1</v>
      </c>
    </row>
    <row r="1196" spans="29:32" x14ac:dyDescent="0.25">
      <c r="AC1196">
        <v>47.29</v>
      </c>
      <c r="AE1196">
        <v>38.1</v>
      </c>
      <c r="AF1196">
        <f t="shared" si="18"/>
        <v>1</v>
      </c>
    </row>
    <row r="1197" spans="29:32" x14ac:dyDescent="0.25">
      <c r="AC1197">
        <v>46.41</v>
      </c>
      <c r="AE1197">
        <v>38.1</v>
      </c>
      <c r="AF1197">
        <f t="shared" si="18"/>
        <v>2</v>
      </c>
    </row>
    <row r="1198" spans="29:32" x14ac:dyDescent="0.25">
      <c r="AC1198">
        <v>46.59</v>
      </c>
      <c r="AE1198">
        <v>38.1</v>
      </c>
      <c r="AF1198">
        <f t="shared" si="18"/>
        <v>3</v>
      </c>
    </row>
    <row r="1199" spans="29:32" x14ac:dyDescent="0.25">
      <c r="AC1199">
        <v>46</v>
      </c>
      <c r="AE1199">
        <v>38.11</v>
      </c>
      <c r="AF1199">
        <f t="shared" si="18"/>
        <v>1</v>
      </c>
    </row>
    <row r="1200" spans="29:32" x14ac:dyDescent="0.25">
      <c r="AC1200">
        <v>46.2</v>
      </c>
      <c r="AE1200">
        <v>38.11</v>
      </c>
      <c r="AF1200">
        <f t="shared" si="18"/>
        <v>2</v>
      </c>
    </row>
    <row r="1201" spans="29:32" x14ac:dyDescent="0.25">
      <c r="AC1201">
        <v>46.41</v>
      </c>
      <c r="AE1201">
        <v>38.119999999999997</v>
      </c>
      <c r="AF1201">
        <f t="shared" si="18"/>
        <v>1</v>
      </c>
    </row>
    <row r="1202" spans="29:32" x14ac:dyDescent="0.25">
      <c r="AC1202">
        <v>45.54</v>
      </c>
      <c r="AE1202">
        <v>38.130000000000003</v>
      </c>
      <c r="AF1202">
        <f t="shared" si="18"/>
        <v>1</v>
      </c>
    </row>
    <row r="1203" spans="29:32" x14ac:dyDescent="0.25">
      <c r="AC1203">
        <v>46.65</v>
      </c>
      <c r="AE1203">
        <v>38.159999999999997</v>
      </c>
      <c r="AF1203">
        <f t="shared" si="18"/>
        <v>1</v>
      </c>
    </row>
    <row r="1204" spans="29:32" x14ac:dyDescent="0.25">
      <c r="AC1204">
        <v>45.19</v>
      </c>
      <c r="AE1204">
        <v>38.159999999999997</v>
      </c>
      <c r="AF1204">
        <f t="shared" si="18"/>
        <v>2</v>
      </c>
    </row>
    <row r="1205" spans="29:32" x14ac:dyDescent="0.25">
      <c r="AC1205">
        <v>46.12</v>
      </c>
      <c r="AE1205">
        <v>38.159999999999997</v>
      </c>
      <c r="AF1205">
        <f t="shared" si="18"/>
        <v>3</v>
      </c>
    </row>
    <row r="1206" spans="29:32" x14ac:dyDescent="0.25">
      <c r="AC1206">
        <v>44.61</v>
      </c>
      <c r="AE1206">
        <v>38.17</v>
      </c>
      <c r="AF1206">
        <f t="shared" si="18"/>
        <v>1</v>
      </c>
    </row>
    <row r="1207" spans="29:32" x14ac:dyDescent="0.25">
      <c r="AC1207">
        <v>45.02</v>
      </c>
      <c r="AE1207">
        <v>38.17</v>
      </c>
      <c r="AF1207">
        <f t="shared" si="18"/>
        <v>2</v>
      </c>
    </row>
    <row r="1208" spans="29:32" x14ac:dyDescent="0.25">
      <c r="AC1208">
        <v>45.45</v>
      </c>
      <c r="AE1208">
        <v>38.19</v>
      </c>
      <c r="AF1208">
        <f t="shared" si="18"/>
        <v>1</v>
      </c>
    </row>
    <row r="1209" spans="29:32" x14ac:dyDescent="0.25">
      <c r="AC1209">
        <v>46.32</v>
      </c>
      <c r="AE1209">
        <v>38.21</v>
      </c>
      <c r="AF1209">
        <f t="shared" si="18"/>
        <v>1</v>
      </c>
    </row>
    <row r="1210" spans="29:32" x14ac:dyDescent="0.25">
      <c r="AC1210">
        <v>50.2</v>
      </c>
      <c r="AE1210">
        <v>38.21</v>
      </c>
      <c r="AF1210">
        <f t="shared" si="18"/>
        <v>2</v>
      </c>
    </row>
    <row r="1211" spans="29:32" x14ac:dyDescent="0.25">
      <c r="AC1211">
        <v>45.69</v>
      </c>
      <c r="AE1211">
        <v>38.22</v>
      </c>
      <c r="AF1211">
        <f t="shared" si="18"/>
        <v>1</v>
      </c>
    </row>
    <row r="1212" spans="29:32" x14ac:dyDescent="0.25">
      <c r="AC1212">
        <v>45.05</v>
      </c>
      <c r="AE1212">
        <v>38.22</v>
      </c>
      <c r="AF1212">
        <f t="shared" si="18"/>
        <v>2</v>
      </c>
    </row>
    <row r="1213" spans="29:32" x14ac:dyDescent="0.25">
      <c r="AC1213">
        <v>46.34</v>
      </c>
      <c r="AE1213">
        <v>38.24</v>
      </c>
      <c r="AF1213">
        <f t="shared" si="18"/>
        <v>1</v>
      </c>
    </row>
    <row r="1214" spans="29:32" x14ac:dyDescent="0.25">
      <c r="AC1214">
        <v>46.06</v>
      </c>
      <c r="AE1214">
        <v>38.28</v>
      </c>
      <c r="AF1214">
        <f t="shared" si="18"/>
        <v>1</v>
      </c>
    </row>
    <row r="1215" spans="29:32" x14ac:dyDescent="0.25">
      <c r="AC1215">
        <v>46.55</v>
      </c>
      <c r="AE1215">
        <v>38.28</v>
      </c>
      <c r="AF1215">
        <f t="shared" si="18"/>
        <v>2</v>
      </c>
    </row>
    <row r="1216" spans="29:32" x14ac:dyDescent="0.25">
      <c r="AC1216">
        <v>47.46</v>
      </c>
      <c r="AE1216">
        <v>38.29</v>
      </c>
      <c r="AF1216">
        <f t="shared" si="18"/>
        <v>1</v>
      </c>
    </row>
    <row r="1217" spans="29:32" x14ac:dyDescent="0.25">
      <c r="AC1217">
        <v>45.4</v>
      </c>
      <c r="AE1217">
        <v>38.29</v>
      </c>
      <c r="AF1217">
        <f t="shared" si="18"/>
        <v>2</v>
      </c>
    </row>
    <row r="1218" spans="29:32" x14ac:dyDescent="0.25">
      <c r="AC1218">
        <v>46.29</v>
      </c>
      <c r="AE1218">
        <v>38.299999999999997</v>
      </c>
      <c r="AF1218">
        <f t="shared" si="18"/>
        <v>1</v>
      </c>
    </row>
    <row r="1219" spans="29:32" x14ac:dyDescent="0.25">
      <c r="AC1219">
        <v>50.1</v>
      </c>
      <c r="AE1219">
        <v>38.31</v>
      </c>
      <c r="AF1219">
        <f t="shared" si="18"/>
        <v>1</v>
      </c>
    </row>
    <row r="1220" spans="29:32" x14ac:dyDescent="0.25">
      <c r="AC1220">
        <v>47.79</v>
      </c>
      <c r="AE1220">
        <v>38.33</v>
      </c>
      <c r="AF1220">
        <f t="shared" ref="AF1220:AF1283" si="19">IF(AE1220=AE1219,AF1219+1,1)</f>
        <v>1</v>
      </c>
    </row>
    <row r="1221" spans="29:32" x14ac:dyDescent="0.25">
      <c r="AC1221">
        <v>47.84</v>
      </c>
      <c r="AE1221">
        <v>38.33</v>
      </c>
      <c r="AF1221">
        <f t="shared" si="19"/>
        <v>2</v>
      </c>
    </row>
    <row r="1222" spans="29:32" x14ac:dyDescent="0.25">
      <c r="AC1222">
        <v>47.24</v>
      </c>
      <c r="AE1222">
        <v>38.340000000000003</v>
      </c>
      <c r="AF1222">
        <f t="shared" si="19"/>
        <v>1</v>
      </c>
    </row>
    <row r="1223" spans="29:32" x14ac:dyDescent="0.25">
      <c r="AC1223">
        <v>47.73</v>
      </c>
      <c r="AE1223">
        <v>38.35</v>
      </c>
      <c r="AF1223">
        <f t="shared" si="19"/>
        <v>1</v>
      </c>
    </row>
    <row r="1224" spans="29:32" x14ac:dyDescent="0.25">
      <c r="AC1224">
        <v>48.56</v>
      </c>
      <c r="AE1224">
        <v>38.35</v>
      </c>
      <c r="AF1224">
        <f t="shared" si="19"/>
        <v>2</v>
      </c>
    </row>
    <row r="1225" spans="29:32" x14ac:dyDescent="0.25">
      <c r="AC1225">
        <v>46.25</v>
      </c>
      <c r="AE1225">
        <v>38.35</v>
      </c>
      <c r="AF1225">
        <f t="shared" si="19"/>
        <v>3</v>
      </c>
    </row>
    <row r="1226" spans="29:32" x14ac:dyDescent="0.25">
      <c r="AC1226">
        <v>47.09</v>
      </c>
      <c r="AE1226">
        <v>38.35</v>
      </c>
      <c r="AF1226">
        <f t="shared" si="19"/>
        <v>4</v>
      </c>
    </row>
    <row r="1227" spans="29:32" x14ac:dyDescent="0.25">
      <c r="AC1227">
        <v>46.98</v>
      </c>
      <c r="AE1227">
        <v>38.380000000000003</v>
      </c>
      <c r="AF1227">
        <f t="shared" si="19"/>
        <v>1</v>
      </c>
    </row>
    <row r="1228" spans="29:32" x14ac:dyDescent="0.25">
      <c r="AC1228">
        <v>48.81</v>
      </c>
      <c r="AE1228">
        <v>38.39</v>
      </c>
      <c r="AF1228">
        <f t="shared" si="19"/>
        <v>1</v>
      </c>
    </row>
    <row r="1229" spans="29:32" x14ac:dyDescent="0.25">
      <c r="AC1229">
        <v>50.26</v>
      </c>
      <c r="AE1229">
        <v>38.39</v>
      </c>
      <c r="AF1229">
        <f t="shared" si="19"/>
        <v>2</v>
      </c>
    </row>
    <row r="1230" spans="29:32" x14ac:dyDescent="0.25">
      <c r="AC1230">
        <v>48.11</v>
      </c>
      <c r="AE1230">
        <v>38.4</v>
      </c>
      <c r="AF1230">
        <f t="shared" si="19"/>
        <v>1</v>
      </c>
    </row>
    <row r="1231" spans="29:32" x14ac:dyDescent="0.25">
      <c r="AC1231">
        <v>48.3</v>
      </c>
      <c r="AE1231">
        <v>38.4</v>
      </c>
      <c r="AF1231">
        <f t="shared" si="19"/>
        <v>2</v>
      </c>
    </row>
    <row r="1232" spans="29:32" x14ac:dyDescent="0.25">
      <c r="AC1232">
        <v>48.54</v>
      </c>
      <c r="AE1232">
        <v>38.409999999999997</v>
      </c>
      <c r="AF1232">
        <f t="shared" si="19"/>
        <v>1</v>
      </c>
    </row>
    <row r="1233" spans="29:32" x14ac:dyDescent="0.25">
      <c r="AC1233">
        <v>48.67</v>
      </c>
      <c r="AE1233">
        <v>38.409999999999997</v>
      </c>
      <c r="AF1233">
        <f t="shared" si="19"/>
        <v>2</v>
      </c>
    </row>
    <row r="1234" spans="29:32" x14ac:dyDescent="0.25">
      <c r="AC1234">
        <v>47.87</v>
      </c>
      <c r="AE1234">
        <v>38.43</v>
      </c>
      <c r="AF1234">
        <f t="shared" si="19"/>
        <v>1</v>
      </c>
    </row>
    <row r="1235" spans="29:32" x14ac:dyDescent="0.25">
      <c r="AC1235">
        <v>49.46</v>
      </c>
      <c r="AE1235">
        <v>38.44</v>
      </c>
      <c r="AF1235">
        <f t="shared" si="19"/>
        <v>1</v>
      </c>
    </row>
    <row r="1236" spans="29:32" x14ac:dyDescent="0.25">
      <c r="AC1236">
        <v>49.02</v>
      </c>
      <c r="AE1236">
        <v>38.450000000000003</v>
      </c>
      <c r="AF1236">
        <f t="shared" si="19"/>
        <v>1</v>
      </c>
    </row>
    <row r="1237" spans="29:32" x14ac:dyDescent="0.25">
      <c r="AC1237">
        <v>48.49</v>
      </c>
      <c r="AE1237">
        <v>38.450000000000003</v>
      </c>
      <c r="AF1237">
        <f t="shared" si="19"/>
        <v>2</v>
      </c>
    </row>
    <row r="1238" spans="29:32" x14ac:dyDescent="0.25">
      <c r="AC1238">
        <v>49.55</v>
      </c>
      <c r="AE1238">
        <v>38.450000000000003</v>
      </c>
      <c r="AF1238">
        <f t="shared" si="19"/>
        <v>3</v>
      </c>
    </row>
    <row r="1239" spans="29:32" x14ac:dyDescent="0.25">
      <c r="AC1239">
        <v>49.12</v>
      </c>
      <c r="AE1239">
        <v>38.46</v>
      </c>
      <c r="AF1239">
        <f t="shared" si="19"/>
        <v>1</v>
      </c>
    </row>
    <row r="1240" spans="29:32" x14ac:dyDescent="0.25">
      <c r="AC1240">
        <v>51.88</v>
      </c>
      <c r="AE1240">
        <v>38.479999999999997</v>
      </c>
      <c r="AF1240">
        <f t="shared" si="19"/>
        <v>1</v>
      </c>
    </row>
    <row r="1241" spans="29:32" x14ac:dyDescent="0.25">
      <c r="AC1241">
        <v>49.24</v>
      </c>
      <c r="AE1241">
        <v>38.49</v>
      </c>
      <c r="AF1241">
        <f t="shared" si="19"/>
        <v>1</v>
      </c>
    </row>
    <row r="1242" spans="29:32" x14ac:dyDescent="0.25">
      <c r="AC1242">
        <v>48.84</v>
      </c>
      <c r="AE1242">
        <v>38.49</v>
      </c>
      <c r="AF1242">
        <f t="shared" si="19"/>
        <v>2</v>
      </c>
    </row>
    <row r="1243" spans="29:32" x14ac:dyDescent="0.25">
      <c r="AC1243">
        <v>49.33</v>
      </c>
      <c r="AE1243">
        <v>38.5</v>
      </c>
      <c r="AF1243">
        <f t="shared" si="19"/>
        <v>1</v>
      </c>
    </row>
    <row r="1244" spans="29:32" x14ac:dyDescent="0.25">
      <c r="AC1244">
        <v>49.24</v>
      </c>
      <c r="AE1244">
        <v>38.5</v>
      </c>
      <c r="AF1244">
        <f t="shared" si="19"/>
        <v>2</v>
      </c>
    </row>
    <row r="1245" spans="29:32" x14ac:dyDescent="0.25">
      <c r="AC1245">
        <v>49.57</v>
      </c>
      <c r="AE1245">
        <v>38.51</v>
      </c>
      <c r="AF1245">
        <f t="shared" si="19"/>
        <v>1</v>
      </c>
    </row>
    <row r="1246" spans="29:32" x14ac:dyDescent="0.25">
      <c r="AC1246">
        <v>49.35</v>
      </c>
      <c r="AE1246">
        <v>38.51</v>
      </c>
      <c r="AF1246">
        <f t="shared" si="19"/>
        <v>2</v>
      </c>
    </row>
    <row r="1247" spans="29:32" x14ac:dyDescent="0.25">
      <c r="AC1247">
        <v>49.56</v>
      </c>
      <c r="AE1247">
        <v>38.51</v>
      </c>
      <c r="AF1247">
        <f t="shared" si="19"/>
        <v>3</v>
      </c>
    </row>
    <row r="1248" spans="29:32" x14ac:dyDescent="0.25">
      <c r="AC1248">
        <v>53.53</v>
      </c>
      <c r="AE1248">
        <v>38.520000000000003</v>
      </c>
      <c r="AF1248">
        <f t="shared" si="19"/>
        <v>1</v>
      </c>
    </row>
    <row r="1249" spans="29:32" x14ac:dyDescent="0.25">
      <c r="AC1249">
        <v>53.75</v>
      </c>
      <c r="AE1249">
        <v>38.520000000000003</v>
      </c>
      <c r="AF1249">
        <f t="shared" si="19"/>
        <v>2</v>
      </c>
    </row>
    <row r="1250" spans="29:32" x14ac:dyDescent="0.25">
      <c r="AC1250">
        <v>54.59</v>
      </c>
      <c r="AE1250">
        <v>38.520000000000003</v>
      </c>
      <c r="AF1250">
        <f t="shared" si="19"/>
        <v>3</v>
      </c>
    </row>
    <row r="1251" spans="29:32" x14ac:dyDescent="0.25">
      <c r="AC1251">
        <v>55.7</v>
      </c>
      <c r="AE1251">
        <v>38.53</v>
      </c>
      <c r="AF1251">
        <f t="shared" si="19"/>
        <v>1</v>
      </c>
    </row>
    <row r="1252" spans="29:32" x14ac:dyDescent="0.25">
      <c r="AC1252">
        <v>56.48</v>
      </c>
      <c r="AE1252">
        <v>38.54</v>
      </c>
      <c r="AF1252">
        <f t="shared" si="19"/>
        <v>1</v>
      </c>
    </row>
    <row r="1253" spans="29:32" x14ac:dyDescent="0.25">
      <c r="AC1253">
        <v>56.94</v>
      </c>
      <c r="AE1253">
        <v>38.54</v>
      </c>
      <c r="AF1253">
        <f t="shared" si="19"/>
        <v>2</v>
      </c>
    </row>
    <row r="1254" spans="29:32" x14ac:dyDescent="0.25">
      <c r="AC1254">
        <v>57.15</v>
      </c>
      <c r="AE1254">
        <v>38.549999999999997</v>
      </c>
      <c r="AF1254">
        <f t="shared" si="19"/>
        <v>1</v>
      </c>
    </row>
    <row r="1255" spans="29:32" x14ac:dyDescent="0.25">
      <c r="AC1255">
        <v>58.22</v>
      </c>
      <c r="AE1255">
        <v>38.549999999999997</v>
      </c>
      <c r="AF1255">
        <f t="shared" si="19"/>
        <v>2</v>
      </c>
    </row>
    <row r="1256" spans="29:32" x14ac:dyDescent="0.25">
      <c r="AC1256">
        <v>58.96</v>
      </c>
      <c r="AE1256">
        <v>38.56</v>
      </c>
      <c r="AF1256">
        <f t="shared" si="19"/>
        <v>1</v>
      </c>
    </row>
    <row r="1257" spans="29:32" x14ac:dyDescent="0.25">
      <c r="AC1257" cm="1">
        <f t="array" ref="AC1257:AC1507">U2:U252</f>
        <v>19.12</v>
      </c>
      <c r="AE1257">
        <v>38.57</v>
      </c>
      <c r="AF1257">
        <f t="shared" si="19"/>
        <v>1</v>
      </c>
    </row>
    <row r="1258" spans="29:32" x14ac:dyDescent="0.25">
      <c r="AC1258">
        <v>19.329999999999998</v>
      </c>
      <c r="AE1258">
        <v>38.590000000000003</v>
      </c>
      <c r="AF1258">
        <f t="shared" si="19"/>
        <v>1</v>
      </c>
    </row>
    <row r="1259" spans="29:32" x14ac:dyDescent="0.25">
      <c r="AC1259">
        <v>19.96</v>
      </c>
      <c r="AE1259">
        <v>38.590000000000003</v>
      </c>
      <c r="AF1259">
        <f t="shared" si="19"/>
        <v>2</v>
      </c>
    </row>
    <row r="1260" spans="29:32" x14ac:dyDescent="0.25">
      <c r="AC1260">
        <v>21.66</v>
      </c>
      <c r="AE1260">
        <v>38.6</v>
      </c>
      <c r="AF1260">
        <f t="shared" si="19"/>
        <v>1</v>
      </c>
    </row>
    <row r="1261" spans="29:32" x14ac:dyDescent="0.25">
      <c r="AC1261">
        <v>21.87</v>
      </c>
      <c r="AE1261">
        <v>38.61</v>
      </c>
      <c r="AF1261">
        <f t="shared" si="19"/>
        <v>1</v>
      </c>
    </row>
    <row r="1262" spans="29:32" x14ac:dyDescent="0.25">
      <c r="AC1262">
        <v>21.38</v>
      </c>
      <c r="AE1262">
        <v>38.630000000000003</v>
      </c>
      <c r="AF1262">
        <f t="shared" si="19"/>
        <v>1</v>
      </c>
    </row>
    <row r="1263" spans="29:32" x14ac:dyDescent="0.25">
      <c r="AC1263">
        <v>21.81</v>
      </c>
      <c r="AE1263">
        <v>38.630000000000003</v>
      </c>
      <c r="AF1263">
        <f t="shared" si="19"/>
        <v>2</v>
      </c>
    </row>
    <row r="1264" spans="29:32" x14ac:dyDescent="0.25">
      <c r="AC1264">
        <v>20.99</v>
      </c>
      <c r="AE1264">
        <v>38.630000000000003</v>
      </c>
      <c r="AF1264">
        <f t="shared" si="19"/>
        <v>3</v>
      </c>
    </row>
    <row r="1265" spans="29:32" x14ac:dyDescent="0.25">
      <c r="AC1265">
        <v>22.02</v>
      </c>
      <c r="AE1265">
        <v>38.64</v>
      </c>
      <c r="AF1265">
        <f t="shared" si="19"/>
        <v>1</v>
      </c>
    </row>
    <row r="1266" spans="29:32" x14ac:dyDescent="0.25">
      <c r="AC1266">
        <v>21.92</v>
      </c>
      <c r="AE1266">
        <v>38.65</v>
      </c>
      <c r="AF1266">
        <f t="shared" si="19"/>
        <v>1</v>
      </c>
    </row>
    <row r="1267" spans="29:32" x14ac:dyDescent="0.25">
      <c r="AC1267">
        <v>21.53</v>
      </c>
      <c r="AE1267">
        <v>38.65</v>
      </c>
      <c r="AF1267">
        <f t="shared" si="19"/>
        <v>2</v>
      </c>
    </row>
    <row r="1268" spans="29:32" x14ac:dyDescent="0.25">
      <c r="AC1268">
        <v>22.75</v>
      </c>
      <c r="AE1268">
        <v>38.659999999999997</v>
      </c>
      <c r="AF1268">
        <f t="shared" si="19"/>
        <v>1</v>
      </c>
    </row>
    <row r="1269" spans="29:32" x14ac:dyDescent="0.25">
      <c r="AC1269">
        <v>21.68</v>
      </c>
      <c r="AE1269">
        <v>38.659999999999997</v>
      </c>
      <c r="AF1269">
        <f t="shared" si="19"/>
        <v>2</v>
      </c>
    </row>
    <row r="1270" spans="29:32" x14ac:dyDescent="0.25">
      <c r="AC1270">
        <v>22.2</v>
      </c>
      <c r="AE1270">
        <v>38.67</v>
      </c>
      <c r="AF1270">
        <f t="shared" si="19"/>
        <v>1</v>
      </c>
    </row>
    <row r="1271" spans="29:32" x14ac:dyDescent="0.25">
      <c r="AC1271">
        <v>22.63</v>
      </c>
      <c r="AE1271">
        <v>38.68</v>
      </c>
      <c r="AF1271">
        <f t="shared" si="19"/>
        <v>1</v>
      </c>
    </row>
    <row r="1272" spans="29:32" x14ac:dyDescent="0.25">
      <c r="AC1272">
        <v>23.17</v>
      </c>
      <c r="AE1272">
        <v>38.69</v>
      </c>
      <c r="AF1272">
        <f t="shared" si="19"/>
        <v>1</v>
      </c>
    </row>
    <row r="1273" spans="29:32" x14ac:dyDescent="0.25">
      <c r="AC1273">
        <v>22</v>
      </c>
      <c r="AE1273">
        <v>38.69</v>
      </c>
      <c r="AF1273">
        <f t="shared" si="19"/>
        <v>2</v>
      </c>
    </row>
    <row r="1274" spans="29:32" x14ac:dyDescent="0.25">
      <c r="AC1274">
        <v>21.64</v>
      </c>
      <c r="AE1274">
        <v>38.700000000000003</v>
      </c>
      <c r="AF1274">
        <f t="shared" si="19"/>
        <v>1</v>
      </c>
    </row>
    <row r="1275" spans="29:32" x14ac:dyDescent="0.25">
      <c r="AC1275">
        <v>21.17</v>
      </c>
      <c r="AE1275">
        <v>38.71</v>
      </c>
      <c r="AF1275">
        <f t="shared" si="19"/>
        <v>1</v>
      </c>
    </row>
    <row r="1276" spans="29:32" x14ac:dyDescent="0.25">
      <c r="AC1276">
        <v>22.75</v>
      </c>
      <c r="AE1276">
        <v>38.71</v>
      </c>
      <c r="AF1276">
        <f t="shared" si="19"/>
        <v>2</v>
      </c>
    </row>
    <row r="1277" spans="29:32" x14ac:dyDescent="0.25">
      <c r="AC1277">
        <v>23.61</v>
      </c>
      <c r="AE1277">
        <v>38.71</v>
      </c>
      <c r="AF1277">
        <f t="shared" si="19"/>
        <v>3</v>
      </c>
    </row>
    <row r="1278" spans="29:32" x14ac:dyDescent="0.25">
      <c r="AC1278">
        <v>23.41</v>
      </c>
      <c r="AE1278">
        <v>38.72</v>
      </c>
      <c r="AF1278">
        <f t="shared" si="19"/>
        <v>1</v>
      </c>
    </row>
    <row r="1279" spans="29:32" x14ac:dyDescent="0.25">
      <c r="AC1279">
        <v>22.31</v>
      </c>
      <c r="AE1279">
        <v>38.72</v>
      </c>
      <c r="AF1279">
        <f t="shared" si="19"/>
        <v>2</v>
      </c>
    </row>
    <row r="1280" spans="29:32" x14ac:dyDescent="0.25">
      <c r="AC1280">
        <v>22.76</v>
      </c>
      <c r="AE1280">
        <v>38.729999999999997</v>
      </c>
      <c r="AF1280">
        <f t="shared" si="19"/>
        <v>1</v>
      </c>
    </row>
    <row r="1281" spans="29:32" x14ac:dyDescent="0.25">
      <c r="AC1281">
        <v>22.41</v>
      </c>
      <c r="AE1281">
        <v>38.75</v>
      </c>
      <c r="AF1281">
        <f t="shared" si="19"/>
        <v>1</v>
      </c>
    </row>
    <row r="1282" spans="29:32" x14ac:dyDescent="0.25">
      <c r="AC1282">
        <v>23.7</v>
      </c>
      <c r="AE1282">
        <v>38.75</v>
      </c>
      <c r="AF1282">
        <f t="shared" si="19"/>
        <v>2</v>
      </c>
    </row>
    <row r="1283" spans="29:32" x14ac:dyDescent="0.25">
      <c r="AC1283">
        <v>22.63</v>
      </c>
      <c r="AE1283">
        <v>38.75</v>
      </c>
      <c r="AF1283">
        <f t="shared" si="19"/>
        <v>3</v>
      </c>
    </row>
    <row r="1284" spans="29:32" x14ac:dyDescent="0.25">
      <c r="AC1284">
        <v>22.45</v>
      </c>
      <c r="AE1284">
        <v>38.75</v>
      </c>
      <c r="AF1284">
        <f t="shared" ref="AF1284:AF1347" si="20">IF(AE1284=AE1283,AF1283+1,1)</f>
        <v>4</v>
      </c>
    </row>
    <row r="1285" spans="29:32" x14ac:dyDescent="0.25">
      <c r="AC1285">
        <v>22.45</v>
      </c>
      <c r="AE1285">
        <v>38.75</v>
      </c>
      <c r="AF1285">
        <f t="shared" si="20"/>
        <v>5</v>
      </c>
    </row>
    <row r="1286" spans="29:32" x14ac:dyDescent="0.25">
      <c r="AC1286">
        <v>22.83</v>
      </c>
      <c r="AE1286">
        <v>38.770000000000003</v>
      </c>
      <c r="AF1286">
        <f t="shared" si="20"/>
        <v>1</v>
      </c>
    </row>
    <row r="1287" spans="29:32" x14ac:dyDescent="0.25">
      <c r="AC1287">
        <v>23.02</v>
      </c>
      <c r="AE1287">
        <v>38.770000000000003</v>
      </c>
      <c r="AF1287">
        <f t="shared" si="20"/>
        <v>2</v>
      </c>
    </row>
    <row r="1288" spans="29:32" x14ac:dyDescent="0.25">
      <c r="AC1288">
        <v>21.33</v>
      </c>
      <c r="AE1288">
        <v>38.78</v>
      </c>
      <c r="AF1288">
        <f t="shared" si="20"/>
        <v>1</v>
      </c>
    </row>
    <row r="1289" spans="29:32" x14ac:dyDescent="0.25">
      <c r="AC1289">
        <v>22.8</v>
      </c>
      <c r="AE1289">
        <v>38.78</v>
      </c>
      <c r="AF1289">
        <f t="shared" si="20"/>
        <v>2</v>
      </c>
    </row>
    <row r="1290" spans="29:32" x14ac:dyDescent="0.25">
      <c r="AC1290">
        <v>22.71</v>
      </c>
      <c r="AE1290">
        <v>38.78</v>
      </c>
      <c r="AF1290">
        <f t="shared" si="20"/>
        <v>3</v>
      </c>
    </row>
    <row r="1291" spans="29:32" x14ac:dyDescent="0.25">
      <c r="AC1291">
        <v>21.65</v>
      </c>
      <c r="AE1291">
        <v>38.79</v>
      </c>
      <c r="AF1291">
        <f t="shared" si="20"/>
        <v>1</v>
      </c>
    </row>
    <row r="1292" spans="29:32" x14ac:dyDescent="0.25">
      <c r="AC1292">
        <v>22.86</v>
      </c>
      <c r="AE1292">
        <v>38.799999999999997</v>
      </c>
      <c r="AF1292">
        <f t="shared" si="20"/>
        <v>1</v>
      </c>
    </row>
    <row r="1293" spans="29:32" x14ac:dyDescent="0.25">
      <c r="AC1293">
        <v>22.58</v>
      </c>
      <c r="AE1293">
        <v>38.81</v>
      </c>
      <c r="AF1293">
        <f t="shared" si="20"/>
        <v>1</v>
      </c>
    </row>
    <row r="1294" spans="29:32" x14ac:dyDescent="0.25">
      <c r="AC1294">
        <v>23.11</v>
      </c>
      <c r="AE1294">
        <v>38.81</v>
      </c>
      <c r="AF1294">
        <f t="shared" si="20"/>
        <v>2</v>
      </c>
    </row>
    <row r="1295" spans="29:32" x14ac:dyDescent="0.25">
      <c r="AC1295">
        <v>23.59</v>
      </c>
      <c r="AE1295">
        <v>38.81</v>
      </c>
      <c r="AF1295">
        <f t="shared" si="20"/>
        <v>3</v>
      </c>
    </row>
    <row r="1296" spans="29:32" x14ac:dyDescent="0.25">
      <c r="AC1296">
        <v>22</v>
      </c>
      <c r="AE1296">
        <v>38.82</v>
      </c>
      <c r="AF1296">
        <f t="shared" si="20"/>
        <v>1</v>
      </c>
    </row>
    <row r="1297" spans="29:32" x14ac:dyDescent="0.25">
      <c r="AC1297">
        <v>23.8</v>
      </c>
      <c r="AE1297">
        <v>38.83</v>
      </c>
      <c r="AF1297">
        <f t="shared" si="20"/>
        <v>1</v>
      </c>
    </row>
    <row r="1298" spans="29:32" x14ac:dyDescent="0.25">
      <c r="AC1298">
        <v>24.22</v>
      </c>
      <c r="AE1298">
        <v>38.85</v>
      </c>
      <c r="AF1298">
        <f t="shared" si="20"/>
        <v>1</v>
      </c>
    </row>
    <row r="1299" spans="29:32" x14ac:dyDescent="0.25">
      <c r="AC1299">
        <v>23.72</v>
      </c>
      <c r="AE1299">
        <v>38.85</v>
      </c>
      <c r="AF1299">
        <f t="shared" si="20"/>
        <v>2</v>
      </c>
    </row>
    <row r="1300" spans="29:32" x14ac:dyDescent="0.25">
      <c r="AC1300">
        <v>24.45</v>
      </c>
      <c r="AE1300">
        <v>38.85</v>
      </c>
      <c r="AF1300">
        <f t="shared" si="20"/>
        <v>3</v>
      </c>
    </row>
    <row r="1301" spans="29:32" x14ac:dyDescent="0.25">
      <c r="AC1301">
        <v>24.15</v>
      </c>
      <c r="AE1301">
        <v>38.86</v>
      </c>
      <c r="AF1301">
        <f t="shared" si="20"/>
        <v>1</v>
      </c>
    </row>
    <row r="1302" spans="29:32" x14ac:dyDescent="0.25">
      <c r="AC1302">
        <v>24.07</v>
      </c>
      <c r="AE1302">
        <v>38.869999999999997</v>
      </c>
      <c r="AF1302">
        <f t="shared" si="20"/>
        <v>1</v>
      </c>
    </row>
    <row r="1303" spans="29:32" x14ac:dyDescent="0.25">
      <c r="AC1303">
        <v>23.9</v>
      </c>
      <c r="AE1303">
        <v>38.869999999999997</v>
      </c>
      <c r="AF1303">
        <f t="shared" si="20"/>
        <v>2</v>
      </c>
    </row>
    <row r="1304" spans="29:32" x14ac:dyDescent="0.25">
      <c r="AC1304">
        <v>24.07</v>
      </c>
      <c r="AE1304">
        <v>38.880000000000003</v>
      </c>
      <c r="AF1304">
        <f t="shared" si="20"/>
        <v>1</v>
      </c>
    </row>
    <row r="1305" spans="29:32" x14ac:dyDescent="0.25">
      <c r="AC1305">
        <v>24.64</v>
      </c>
      <c r="AE1305">
        <v>38.89</v>
      </c>
      <c r="AF1305">
        <f t="shared" si="20"/>
        <v>1</v>
      </c>
    </row>
    <row r="1306" spans="29:32" x14ac:dyDescent="0.25">
      <c r="AC1306">
        <v>25.18</v>
      </c>
      <c r="AE1306">
        <v>38.9</v>
      </c>
      <c r="AF1306">
        <f t="shared" si="20"/>
        <v>1</v>
      </c>
    </row>
    <row r="1307" spans="29:32" x14ac:dyDescent="0.25">
      <c r="AC1307">
        <v>25.93</v>
      </c>
      <c r="AE1307">
        <v>38.909999999999997</v>
      </c>
      <c r="AF1307">
        <f t="shared" si="20"/>
        <v>1</v>
      </c>
    </row>
    <row r="1308" spans="29:32" x14ac:dyDescent="0.25">
      <c r="AC1308">
        <v>26.23</v>
      </c>
      <c r="AE1308">
        <v>38.909999999999997</v>
      </c>
      <c r="AF1308">
        <f t="shared" si="20"/>
        <v>2</v>
      </c>
    </row>
    <row r="1309" spans="29:32" x14ac:dyDescent="0.25">
      <c r="AC1309">
        <v>27.29</v>
      </c>
      <c r="AE1309">
        <v>38.92</v>
      </c>
      <c r="AF1309">
        <f t="shared" si="20"/>
        <v>1</v>
      </c>
    </row>
    <row r="1310" spans="29:32" x14ac:dyDescent="0.25">
      <c r="AC1310">
        <v>27.75</v>
      </c>
      <c r="AE1310">
        <v>38.92</v>
      </c>
      <c r="AF1310">
        <f t="shared" si="20"/>
        <v>2</v>
      </c>
    </row>
    <row r="1311" spans="29:32" x14ac:dyDescent="0.25">
      <c r="AC1311">
        <v>29.48</v>
      </c>
      <c r="AE1311">
        <v>38.93</v>
      </c>
      <c r="AF1311">
        <f t="shared" si="20"/>
        <v>1</v>
      </c>
    </row>
    <row r="1312" spans="29:32" x14ac:dyDescent="0.25">
      <c r="AC1312">
        <v>28.54</v>
      </c>
      <c r="AE1312">
        <v>38.93</v>
      </c>
      <c r="AF1312">
        <f t="shared" si="20"/>
        <v>2</v>
      </c>
    </row>
    <row r="1313" spans="29:32" x14ac:dyDescent="0.25">
      <c r="AC1313">
        <v>29.61</v>
      </c>
      <c r="AE1313">
        <v>38.94</v>
      </c>
      <c r="AF1313">
        <f t="shared" si="20"/>
        <v>1</v>
      </c>
    </row>
    <row r="1314" spans="29:32" x14ac:dyDescent="0.25">
      <c r="AC1314">
        <v>31.69</v>
      </c>
      <c r="AE1314">
        <v>38.94</v>
      </c>
      <c r="AF1314">
        <f t="shared" si="20"/>
        <v>2</v>
      </c>
    </row>
    <row r="1315" spans="29:32" x14ac:dyDescent="0.25">
      <c r="AC1315">
        <v>32.369999999999997</v>
      </c>
      <c r="AE1315">
        <v>38.950000000000003</v>
      </c>
      <c r="AF1315">
        <f t="shared" si="20"/>
        <v>1</v>
      </c>
    </row>
    <row r="1316" spans="29:32" x14ac:dyDescent="0.25">
      <c r="AC1316">
        <v>34.82</v>
      </c>
      <c r="AE1316">
        <v>38.96</v>
      </c>
      <c r="AF1316">
        <f t="shared" si="20"/>
        <v>1</v>
      </c>
    </row>
    <row r="1317" spans="29:32" x14ac:dyDescent="0.25">
      <c r="AC1317">
        <v>35.67</v>
      </c>
      <c r="AE1317">
        <v>38.96</v>
      </c>
      <c r="AF1317">
        <f t="shared" si="20"/>
        <v>2</v>
      </c>
    </row>
    <row r="1318" spans="29:32" x14ac:dyDescent="0.25">
      <c r="AC1318">
        <v>36.06</v>
      </c>
      <c r="AE1318">
        <v>38.97</v>
      </c>
      <c r="AF1318">
        <f t="shared" si="20"/>
        <v>1</v>
      </c>
    </row>
    <row r="1319" spans="29:32" x14ac:dyDescent="0.25">
      <c r="AC1319">
        <v>35.799999999999997</v>
      </c>
      <c r="AE1319">
        <v>38.97</v>
      </c>
      <c r="AF1319">
        <f t="shared" si="20"/>
        <v>2</v>
      </c>
    </row>
    <row r="1320" spans="29:32" x14ac:dyDescent="0.25">
      <c r="AC1320">
        <v>35.4</v>
      </c>
      <c r="AE1320">
        <v>38.979999999999997</v>
      </c>
      <c r="AF1320">
        <f t="shared" si="20"/>
        <v>1</v>
      </c>
    </row>
    <row r="1321" spans="29:32" x14ac:dyDescent="0.25">
      <c r="AC1321">
        <v>35.96</v>
      </c>
      <c r="AE1321">
        <v>39</v>
      </c>
      <c r="AF1321">
        <f t="shared" si="20"/>
        <v>1</v>
      </c>
    </row>
    <row r="1322" spans="29:32" x14ac:dyDescent="0.25">
      <c r="AC1322">
        <v>37.770000000000003</v>
      </c>
      <c r="AE1322">
        <v>39</v>
      </c>
      <c r="AF1322">
        <f t="shared" si="20"/>
        <v>2</v>
      </c>
    </row>
    <row r="1323" spans="29:32" x14ac:dyDescent="0.25">
      <c r="AC1323">
        <v>37.9</v>
      </c>
      <c r="AE1323">
        <v>39.01</v>
      </c>
      <c r="AF1323">
        <f t="shared" si="20"/>
        <v>1</v>
      </c>
    </row>
    <row r="1324" spans="29:32" x14ac:dyDescent="0.25">
      <c r="AC1324">
        <v>36.049999999999997</v>
      </c>
      <c r="AE1324">
        <v>39.01</v>
      </c>
      <c r="AF1324">
        <f t="shared" si="20"/>
        <v>2</v>
      </c>
    </row>
    <row r="1325" spans="29:32" x14ac:dyDescent="0.25">
      <c r="AC1325">
        <v>36.72</v>
      </c>
      <c r="AE1325">
        <v>39.020000000000003</v>
      </c>
      <c r="AF1325">
        <f t="shared" si="20"/>
        <v>1</v>
      </c>
    </row>
    <row r="1326" spans="29:32" x14ac:dyDescent="0.25">
      <c r="AC1326">
        <v>36.869999999999997</v>
      </c>
      <c r="AE1326">
        <v>39.03</v>
      </c>
      <c r="AF1326">
        <f t="shared" si="20"/>
        <v>1</v>
      </c>
    </row>
    <row r="1327" spans="29:32" x14ac:dyDescent="0.25">
      <c r="AC1327">
        <v>36.869999999999997</v>
      </c>
      <c r="AE1327">
        <v>39.03</v>
      </c>
      <c r="AF1327">
        <f t="shared" si="20"/>
        <v>2</v>
      </c>
    </row>
    <row r="1328" spans="29:32" x14ac:dyDescent="0.25">
      <c r="AC1328">
        <v>38.65</v>
      </c>
      <c r="AE1328">
        <v>39.03</v>
      </c>
      <c r="AF1328">
        <f t="shared" si="20"/>
        <v>3</v>
      </c>
    </row>
    <row r="1329" spans="29:32" x14ac:dyDescent="0.25">
      <c r="AC1329">
        <v>38.75</v>
      </c>
      <c r="AE1329">
        <v>39.04</v>
      </c>
      <c r="AF1329">
        <f t="shared" si="20"/>
        <v>1</v>
      </c>
    </row>
    <row r="1330" spans="29:32" x14ac:dyDescent="0.25">
      <c r="AC1330">
        <v>39.11</v>
      </c>
      <c r="AE1330">
        <v>39.04</v>
      </c>
      <c r="AF1330">
        <f t="shared" si="20"/>
        <v>2</v>
      </c>
    </row>
    <row r="1331" spans="29:32" x14ac:dyDescent="0.25">
      <c r="AC1331">
        <v>37.78</v>
      </c>
      <c r="AE1331">
        <v>39.049999999999997</v>
      </c>
      <c r="AF1331">
        <f t="shared" si="20"/>
        <v>1</v>
      </c>
    </row>
    <row r="1332" spans="29:32" x14ac:dyDescent="0.25">
      <c r="AC1332">
        <v>37.659999999999997</v>
      </c>
      <c r="AE1332">
        <v>39.049999999999997</v>
      </c>
      <c r="AF1332">
        <f t="shared" si="20"/>
        <v>2</v>
      </c>
    </row>
    <row r="1333" spans="29:32" x14ac:dyDescent="0.25">
      <c r="AC1333">
        <v>38.049999999999997</v>
      </c>
      <c r="AE1333">
        <v>39.06</v>
      </c>
      <c r="AF1333">
        <f t="shared" si="20"/>
        <v>1</v>
      </c>
    </row>
    <row r="1334" spans="29:32" x14ac:dyDescent="0.25">
      <c r="AC1334">
        <v>39.67</v>
      </c>
      <c r="AE1334">
        <v>39.07</v>
      </c>
      <c r="AF1334">
        <f t="shared" si="20"/>
        <v>1</v>
      </c>
    </row>
    <row r="1335" spans="29:32" x14ac:dyDescent="0.25">
      <c r="AC1335">
        <v>39.729999999999997</v>
      </c>
      <c r="AE1335">
        <v>39.07</v>
      </c>
      <c r="AF1335">
        <f t="shared" si="20"/>
        <v>2</v>
      </c>
    </row>
    <row r="1336" spans="29:32" x14ac:dyDescent="0.25">
      <c r="AC1336">
        <v>39.64</v>
      </c>
      <c r="AE1336">
        <v>39.07</v>
      </c>
      <c r="AF1336">
        <f t="shared" si="20"/>
        <v>3</v>
      </c>
    </row>
    <row r="1337" spans="29:32" x14ac:dyDescent="0.25">
      <c r="AC1337">
        <v>37.840000000000003</v>
      </c>
      <c r="AE1337">
        <v>39.08</v>
      </c>
      <c r="AF1337">
        <f t="shared" si="20"/>
        <v>1</v>
      </c>
    </row>
    <row r="1338" spans="29:32" x14ac:dyDescent="0.25">
      <c r="AC1338">
        <v>39.630000000000003</v>
      </c>
      <c r="AE1338">
        <v>39.090000000000003</v>
      </c>
      <c r="AF1338">
        <f t="shared" si="20"/>
        <v>1</v>
      </c>
    </row>
    <row r="1339" spans="29:32" x14ac:dyDescent="0.25">
      <c r="AC1339">
        <v>40.32</v>
      </c>
      <c r="AE1339">
        <v>39.090000000000003</v>
      </c>
      <c r="AF1339">
        <f t="shared" si="20"/>
        <v>2</v>
      </c>
    </row>
    <row r="1340" spans="29:32" x14ac:dyDescent="0.25">
      <c r="AC1340">
        <v>38.78</v>
      </c>
      <c r="AE1340">
        <v>39.1</v>
      </c>
      <c r="AF1340">
        <f t="shared" si="20"/>
        <v>1</v>
      </c>
    </row>
    <row r="1341" spans="29:32" x14ac:dyDescent="0.25">
      <c r="AC1341">
        <v>39.700000000000003</v>
      </c>
      <c r="AE1341">
        <v>39.1</v>
      </c>
      <c r="AF1341">
        <f t="shared" si="20"/>
        <v>2</v>
      </c>
    </row>
    <row r="1342" spans="29:32" x14ac:dyDescent="0.25">
      <c r="AC1342">
        <v>40.11</v>
      </c>
      <c r="AE1342">
        <v>39.11</v>
      </c>
      <c r="AF1342">
        <f t="shared" si="20"/>
        <v>1</v>
      </c>
    </row>
    <row r="1343" spans="29:32" x14ac:dyDescent="0.25">
      <c r="AC1343">
        <v>40.6</v>
      </c>
      <c r="AE1343">
        <v>39.11</v>
      </c>
      <c r="AF1343">
        <f t="shared" si="20"/>
        <v>2</v>
      </c>
    </row>
    <row r="1344" spans="29:32" x14ac:dyDescent="0.25">
      <c r="AC1344">
        <v>40.47</v>
      </c>
      <c r="AE1344">
        <v>39.11</v>
      </c>
      <c r="AF1344">
        <f t="shared" si="20"/>
        <v>3</v>
      </c>
    </row>
    <row r="1345" spans="29:32" x14ac:dyDescent="0.25">
      <c r="AC1345">
        <v>40.409999999999997</v>
      </c>
      <c r="AE1345">
        <v>39.130000000000003</v>
      </c>
      <c r="AF1345">
        <f t="shared" si="20"/>
        <v>1</v>
      </c>
    </row>
    <row r="1346" spans="29:32" x14ac:dyDescent="0.25">
      <c r="AC1346">
        <v>40.020000000000003</v>
      </c>
      <c r="AE1346">
        <v>39.130000000000003</v>
      </c>
      <c r="AF1346">
        <f t="shared" si="20"/>
        <v>2</v>
      </c>
    </row>
    <row r="1347" spans="29:32" x14ac:dyDescent="0.25">
      <c r="AC1347">
        <v>40.56</v>
      </c>
      <c r="AE1347">
        <v>39.14</v>
      </c>
      <c r="AF1347">
        <f t="shared" si="20"/>
        <v>1</v>
      </c>
    </row>
    <row r="1348" spans="29:32" x14ac:dyDescent="0.25">
      <c r="AC1348">
        <v>39.549999999999997</v>
      </c>
      <c r="AE1348">
        <v>39.15</v>
      </c>
      <c r="AF1348">
        <f t="shared" ref="AF1348:AF1411" si="21">IF(AE1348=AE1347,AF1347+1,1)</f>
        <v>1</v>
      </c>
    </row>
    <row r="1349" spans="29:32" x14ac:dyDescent="0.25">
      <c r="AC1349">
        <v>40.31</v>
      </c>
      <c r="AE1349">
        <v>39.15</v>
      </c>
      <c r="AF1349">
        <f t="shared" si="21"/>
        <v>2</v>
      </c>
    </row>
    <row r="1350" spans="29:32" x14ac:dyDescent="0.25">
      <c r="AC1350">
        <v>39.64</v>
      </c>
      <c r="AE1350">
        <v>39.15</v>
      </c>
      <c r="AF1350">
        <f t="shared" si="21"/>
        <v>3</v>
      </c>
    </row>
    <row r="1351" spans="29:32" x14ac:dyDescent="0.25">
      <c r="AC1351">
        <v>40.479999999999997</v>
      </c>
      <c r="AE1351">
        <v>39.15</v>
      </c>
      <c r="AF1351">
        <f t="shared" si="21"/>
        <v>4</v>
      </c>
    </row>
    <row r="1352" spans="29:32" x14ac:dyDescent="0.25">
      <c r="AC1352">
        <v>41.06</v>
      </c>
      <c r="AE1352">
        <v>39.15</v>
      </c>
      <c r="AF1352">
        <f t="shared" si="21"/>
        <v>5</v>
      </c>
    </row>
    <row r="1353" spans="29:32" x14ac:dyDescent="0.25">
      <c r="AC1353">
        <v>40.549999999999997</v>
      </c>
      <c r="AE1353">
        <v>39.159999999999997</v>
      </c>
      <c r="AF1353">
        <f t="shared" si="21"/>
        <v>1</v>
      </c>
    </row>
    <row r="1354" spans="29:32" x14ac:dyDescent="0.25">
      <c r="AC1354">
        <v>41.84</v>
      </c>
      <c r="AE1354">
        <v>39.19</v>
      </c>
      <c r="AF1354">
        <f t="shared" si="21"/>
        <v>1</v>
      </c>
    </row>
    <row r="1355" spans="29:32" x14ac:dyDescent="0.25">
      <c r="AC1355">
        <v>41</v>
      </c>
      <c r="AE1355">
        <v>39.19</v>
      </c>
      <c r="AF1355">
        <f t="shared" si="21"/>
        <v>2</v>
      </c>
    </row>
    <row r="1356" spans="29:32" x14ac:dyDescent="0.25">
      <c r="AC1356">
        <v>41.47</v>
      </c>
      <c r="AE1356">
        <v>39.19</v>
      </c>
      <c r="AF1356">
        <f t="shared" si="21"/>
        <v>3</v>
      </c>
    </row>
    <row r="1357" spans="29:32" x14ac:dyDescent="0.25">
      <c r="AC1357">
        <v>41.49</v>
      </c>
      <c r="AE1357">
        <v>39.19</v>
      </c>
      <c r="AF1357">
        <f t="shared" si="21"/>
        <v>4</v>
      </c>
    </row>
    <row r="1358" spans="29:32" x14ac:dyDescent="0.25">
      <c r="AC1358">
        <v>41.74</v>
      </c>
      <c r="AE1358">
        <v>39.200000000000003</v>
      </c>
      <c r="AF1358">
        <f t="shared" si="21"/>
        <v>1</v>
      </c>
    </row>
    <row r="1359" spans="29:32" x14ac:dyDescent="0.25">
      <c r="AC1359">
        <v>41.84</v>
      </c>
      <c r="AE1359">
        <v>39.21</v>
      </c>
      <c r="AF1359">
        <f t="shared" si="21"/>
        <v>1</v>
      </c>
    </row>
    <row r="1360" spans="29:32" x14ac:dyDescent="0.25">
      <c r="AC1360">
        <v>42.44</v>
      </c>
      <c r="AE1360">
        <v>39.22</v>
      </c>
      <c r="AF1360">
        <f t="shared" si="21"/>
        <v>1</v>
      </c>
    </row>
    <row r="1361" spans="29:32" x14ac:dyDescent="0.25">
      <c r="AC1361">
        <v>42.36</v>
      </c>
      <c r="AE1361">
        <v>39.22</v>
      </c>
      <c r="AF1361">
        <f t="shared" si="21"/>
        <v>2</v>
      </c>
    </row>
    <row r="1362" spans="29:32" x14ac:dyDescent="0.25">
      <c r="AC1362">
        <v>42.01</v>
      </c>
      <c r="AE1362">
        <v>39.22</v>
      </c>
      <c r="AF1362">
        <f t="shared" si="21"/>
        <v>3</v>
      </c>
    </row>
    <row r="1363" spans="29:32" x14ac:dyDescent="0.25">
      <c r="AC1363">
        <v>41.92</v>
      </c>
      <c r="AE1363">
        <v>39.229999999999997</v>
      </c>
      <c r="AF1363">
        <f t="shared" si="21"/>
        <v>1</v>
      </c>
    </row>
    <row r="1364" spans="29:32" x14ac:dyDescent="0.25">
      <c r="AC1364">
        <v>42.34</v>
      </c>
      <c r="AE1364">
        <v>39.24</v>
      </c>
      <c r="AF1364">
        <f t="shared" si="21"/>
        <v>1</v>
      </c>
    </row>
    <row r="1365" spans="29:32" x14ac:dyDescent="0.25">
      <c r="AC1365">
        <v>42.55</v>
      </c>
      <c r="AE1365">
        <v>39.25</v>
      </c>
      <c r="AF1365">
        <f t="shared" si="21"/>
        <v>1</v>
      </c>
    </row>
    <row r="1366" spans="29:32" x14ac:dyDescent="0.25">
      <c r="AC1366">
        <v>42.31</v>
      </c>
      <c r="AE1366">
        <v>39.25</v>
      </c>
      <c r="AF1366">
        <f t="shared" si="21"/>
        <v>2</v>
      </c>
    </row>
    <row r="1367" spans="29:32" x14ac:dyDescent="0.25">
      <c r="AC1367">
        <v>42.14</v>
      </c>
      <c r="AE1367">
        <v>39.26</v>
      </c>
      <c r="AF1367">
        <f t="shared" si="21"/>
        <v>1</v>
      </c>
    </row>
    <row r="1368" spans="29:32" x14ac:dyDescent="0.25">
      <c r="AC1368">
        <v>41.95</v>
      </c>
      <c r="AE1368">
        <v>39.26</v>
      </c>
      <c r="AF1368">
        <f t="shared" si="21"/>
        <v>2</v>
      </c>
    </row>
    <row r="1369" spans="29:32" x14ac:dyDescent="0.25">
      <c r="AC1369">
        <v>42.59</v>
      </c>
      <c r="AE1369">
        <v>39.26</v>
      </c>
      <c r="AF1369">
        <f t="shared" si="21"/>
        <v>3</v>
      </c>
    </row>
    <row r="1370" spans="29:32" x14ac:dyDescent="0.25">
      <c r="AC1370">
        <v>42.08</v>
      </c>
      <c r="AE1370">
        <v>39.270000000000003</v>
      </c>
      <c r="AF1370">
        <f t="shared" si="21"/>
        <v>1</v>
      </c>
    </row>
    <row r="1371" spans="29:32" x14ac:dyDescent="0.25">
      <c r="AC1371">
        <v>41.69</v>
      </c>
      <c r="AE1371">
        <v>39.28</v>
      </c>
      <c r="AF1371">
        <f t="shared" si="21"/>
        <v>1</v>
      </c>
    </row>
    <row r="1372" spans="29:32" x14ac:dyDescent="0.25">
      <c r="AC1372">
        <v>42.77</v>
      </c>
      <c r="AE1372">
        <v>39.28</v>
      </c>
      <c r="AF1372">
        <f t="shared" si="21"/>
        <v>2</v>
      </c>
    </row>
    <row r="1373" spans="29:32" x14ac:dyDescent="0.25">
      <c r="AC1373">
        <v>41.31</v>
      </c>
      <c r="AE1373">
        <v>39.29</v>
      </c>
      <c r="AF1373">
        <f t="shared" si="21"/>
        <v>1</v>
      </c>
    </row>
    <row r="1374" spans="29:32" x14ac:dyDescent="0.25">
      <c r="AC1374">
        <v>42.84</v>
      </c>
      <c r="AE1374">
        <v>39.299999999999997</v>
      </c>
      <c r="AF1374">
        <f t="shared" si="21"/>
        <v>1</v>
      </c>
    </row>
    <row r="1375" spans="29:32" x14ac:dyDescent="0.25">
      <c r="AC1375">
        <v>41.74</v>
      </c>
      <c r="AE1375">
        <v>39.299999999999997</v>
      </c>
      <c r="AF1375">
        <f t="shared" si="21"/>
        <v>2</v>
      </c>
    </row>
    <row r="1376" spans="29:32" x14ac:dyDescent="0.25">
      <c r="AC1376">
        <v>42.77</v>
      </c>
      <c r="AE1376">
        <v>39.299999999999997</v>
      </c>
      <c r="AF1376">
        <f t="shared" si="21"/>
        <v>3</v>
      </c>
    </row>
    <row r="1377" spans="29:32" x14ac:dyDescent="0.25">
      <c r="AC1377">
        <v>43.38</v>
      </c>
      <c r="AE1377">
        <v>39.31</v>
      </c>
      <c r="AF1377">
        <f t="shared" si="21"/>
        <v>1</v>
      </c>
    </row>
    <row r="1378" spans="29:32" x14ac:dyDescent="0.25">
      <c r="AC1378">
        <v>43.13</v>
      </c>
      <c r="AE1378">
        <v>39.31</v>
      </c>
      <c r="AF1378">
        <f t="shared" si="21"/>
        <v>2</v>
      </c>
    </row>
    <row r="1379" spans="29:32" x14ac:dyDescent="0.25">
      <c r="AC1379">
        <v>41.74</v>
      </c>
      <c r="AE1379">
        <v>39.31</v>
      </c>
      <c r="AF1379">
        <f t="shared" si="21"/>
        <v>3</v>
      </c>
    </row>
    <row r="1380" spans="29:32" x14ac:dyDescent="0.25">
      <c r="AC1380">
        <v>42.37</v>
      </c>
      <c r="AE1380">
        <v>39.32</v>
      </c>
      <c r="AF1380">
        <f t="shared" si="21"/>
        <v>1</v>
      </c>
    </row>
    <row r="1381" spans="29:32" x14ac:dyDescent="0.25">
      <c r="AC1381">
        <v>42.61</v>
      </c>
      <c r="AE1381">
        <v>39.33</v>
      </c>
      <c r="AF1381">
        <f t="shared" si="21"/>
        <v>1</v>
      </c>
    </row>
    <row r="1382" spans="29:32" x14ac:dyDescent="0.25">
      <c r="AC1382">
        <v>43.55</v>
      </c>
      <c r="AE1382">
        <v>39.33</v>
      </c>
      <c r="AF1382">
        <f t="shared" si="21"/>
        <v>2</v>
      </c>
    </row>
    <row r="1383" spans="29:32" x14ac:dyDescent="0.25">
      <c r="AC1383">
        <v>42.18</v>
      </c>
      <c r="AE1383">
        <v>39.33</v>
      </c>
      <c r="AF1383">
        <f t="shared" si="21"/>
        <v>3</v>
      </c>
    </row>
    <row r="1384" spans="29:32" x14ac:dyDescent="0.25">
      <c r="AC1384">
        <v>43.23</v>
      </c>
      <c r="AE1384">
        <v>39.33</v>
      </c>
      <c r="AF1384">
        <f t="shared" si="21"/>
        <v>4</v>
      </c>
    </row>
    <row r="1385" spans="29:32" x14ac:dyDescent="0.25">
      <c r="AC1385">
        <v>43.12</v>
      </c>
      <c r="AE1385">
        <v>39.340000000000003</v>
      </c>
      <c r="AF1385">
        <f t="shared" si="21"/>
        <v>1</v>
      </c>
    </row>
    <row r="1386" spans="29:32" x14ac:dyDescent="0.25">
      <c r="AC1386">
        <v>43.69</v>
      </c>
      <c r="AE1386">
        <v>39.340000000000003</v>
      </c>
      <c r="AF1386">
        <f t="shared" si="21"/>
        <v>2</v>
      </c>
    </row>
    <row r="1387" spans="29:32" x14ac:dyDescent="0.25">
      <c r="AC1387">
        <v>43.19</v>
      </c>
      <c r="AE1387">
        <v>39.35</v>
      </c>
      <c r="AF1387">
        <f t="shared" si="21"/>
        <v>1</v>
      </c>
    </row>
    <row r="1388" spans="29:32" x14ac:dyDescent="0.25">
      <c r="AC1388">
        <v>43.64</v>
      </c>
      <c r="AE1388">
        <v>39.35</v>
      </c>
      <c r="AF1388">
        <f t="shared" si="21"/>
        <v>2</v>
      </c>
    </row>
    <row r="1389" spans="29:32" x14ac:dyDescent="0.25">
      <c r="AC1389">
        <v>43.74</v>
      </c>
      <c r="AE1389">
        <v>39.35</v>
      </c>
      <c r="AF1389">
        <f t="shared" si="21"/>
        <v>3</v>
      </c>
    </row>
    <row r="1390" spans="29:32" x14ac:dyDescent="0.25">
      <c r="AC1390">
        <v>43.99</v>
      </c>
      <c r="AE1390">
        <v>39.35</v>
      </c>
      <c r="AF1390">
        <f t="shared" si="21"/>
        <v>4</v>
      </c>
    </row>
    <row r="1391" spans="29:32" x14ac:dyDescent="0.25">
      <c r="AC1391">
        <v>42.16</v>
      </c>
      <c r="AE1391">
        <v>39.36</v>
      </c>
      <c r="AF1391">
        <f t="shared" si="21"/>
        <v>1</v>
      </c>
    </row>
    <row r="1392" spans="29:32" x14ac:dyDescent="0.25">
      <c r="AC1392">
        <v>43.49</v>
      </c>
      <c r="AE1392">
        <v>39.369999999999997</v>
      </c>
      <c r="AF1392">
        <f t="shared" si="21"/>
        <v>1</v>
      </c>
    </row>
    <row r="1393" spans="29:32" x14ac:dyDescent="0.25">
      <c r="AC1393">
        <v>44.86</v>
      </c>
      <c r="AE1393">
        <v>39.369999999999997</v>
      </c>
      <c r="AF1393">
        <f t="shared" si="21"/>
        <v>2</v>
      </c>
    </row>
    <row r="1394" spans="29:32" x14ac:dyDescent="0.25">
      <c r="AC1394">
        <v>44.43</v>
      </c>
      <c r="AE1394">
        <v>39.369999999999997</v>
      </c>
      <c r="AF1394">
        <f t="shared" si="21"/>
        <v>3</v>
      </c>
    </row>
    <row r="1395" spans="29:32" x14ac:dyDescent="0.25">
      <c r="AC1395">
        <v>45.02</v>
      </c>
      <c r="AE1395">
        <v>39.369999999999997</v>
      </c>
      <c r="AF1395">
        <f t="shared" si="21"/>
        <v>4</v>
      </c>
    </row>
    <row r="1396" spans="29:32" x14ac:dyDescent="0.25">
      <c r="AC1396">
        <v>44.57</v>
      </c>
      <c r="AE1396">
        <v>39.369999999999997</v>
      </c>
      <c r="AF1396">
        <f t="shared" si="21"/>
        <v>5</v>
      </c>
    </row>
    <row r="1397" spans="29:32" x14ac:dyDescent="0.25">
      <c r="AC1397">
        <v>44.9</v>
      </c>
      <c r="AE1397">
        <v>39.39</v>
      </c>
      <c r="AF1397">
        <f t="shared" si="21"/>
        <v>1</v>
      </c>
    </row>
    <row r="1398" spans="29:32" x14ac:dyDescent="0.25">
      <c r="AC1398">
        <v>44.08</v>
      </c>
      <c r="AE1398">
        <v>39.39</v>
      </c>
      <c r="AF1398">
        <f t="shared" si="21"/>
        <v>2</v>
      </c>
    </row>
    <row r="1399" spans="29:32" x14ac:dyDescent="0.25">
      <c r="AC1399">
        <v>43.19</v>
      </c>
      <c r="AE1399">
        <v>39.4</v>
      </c>
      <c r="AF1399">
        <f t="shared" si="21"/>
        <v>1</v>
      </c>
    </row>
    <row r="1400" spans="29:32" x14ac:dyDescent="0.25">
      <c r="AC1400">
        <v>45.45</v>
      </c>
      <c r="AE1400">
        <v>39.409999999999997</v>
      </c>
      <c r="AF1400">
        <f t="shared" si="21"/>
        <v>1</v>
      </c>
    </row>
    <row r="1401" spans="29:32" x14ac:dyDescent="0.25">
      <c r="AC1401">
        <v>43.29</v>
      </c>
      <c r="AE1401">
        <v>39.42</v>
      </c>
      <c r="AF1401">
        <f t="shared" si="21"/>
        <v>1</v>
      </c>
    </row>
    <row r="1402" spans="29:32" x14ac:dyDescent="0.25">
      <c r="AC1402">
        <v>43.41</v>
      </c>
      <c r="AE1402">
        <v>39.43</v>
      </c>
      <c r="AF1402">
        <f t="shared" si="21"/>
        <v>1</v>
      </c>
    </row>
    <row r="1403" spans="29:32" x14ac:dyDescent="0.25">
      <c r="AC1403">
        <v>44.75</v>
      </c>
      <c r="AE1403">
        <v>39.43</v>
      </c>
      <c r="AF1403">
        <f t="shared" si="21"/>
        <v>2</v>
      </c>
    </row>
    <row r="1404" spans="29:32" x14ac:dyDescent="0.25">
      <c r="AC1404">
        <v>44.86</v>
      </c>
      <c r="AE1404">
        <v>39.43</v>
      </c>
      <c r="AF1404">
        <f t="shared" si="21"/>
        <v>3</v>
      </c>
    </row>
    <row r="1405" spans="29:32" x14ac:dyDescent="0.25">
      <c r="AC1405">
        <v>44.65</v>
      </c>
      <c r="AE1405">
        <v>39.450000000000003</v>
      </c>
      <c r="AF1405">
        <f t="shared" si="21"/>
        <v>1</v>
      </c>
    </row>
    <row r="1406" spans="29:32" x14ac:dyDescent="0.25">
      <c r="AC1406">
        <v>43.57</v>
      </c>
      <c r="AE1406">
        <v>39.46</v>
      </c>
      <c r="AF1406">
        <f t="shared" si="21"/>
        <v>1</v>
      </c>
    </row>
    <row r="1407" spans="29:32" x14ac:dyDescent="0.25">
      <c r="AC1407">
        <v>47.54</v>
      </c>
      <c r="AE1407">
        <v>39.479999999999997</v>
      </c>
      <c r="AF1407">
        <f t="shared" si="21"/>
        <v>1</v>
      </c>
    </row>
    <row r="1408" spans="29:32" x14ac:dyDescent="0.25">
      <c r="AC1408">
        <v>43.54</v>
      </c>
      <c r="AE1408">
        <v>39.49</v>
      </c>
      <c r="AF1408">
        <f t="shared" si="21"/>
        <v>1</v>
      </c>
    </row>
    <row r="1409" spans="29:32" x14ac:dyDescent="0.25">
      <c r="AC1409">
        <v>43.12</v>
      </c>
      <c r="AE1409">
        <v>39.49</v>
      </c>
      <c r="AF1409">
        <f t="shared" si="21"/>
        <v>2</v>
      </c>
    </row>
    <row r="1410" spans="29:32" x14ac:dyDescent="0.25">
      <c r="AC1410">
        <v>44.51</v>
      </c>
      <c r="AE1410">
        <v>39.5</v>
      </c>
      <c r="AF1410">
        <f t="shared" si="21"/>
        <v>1</v>
      </c>
    </row>
    <row r="1411" spans="29:32" x14ac:dyDescent="0.25">
      <c r="AC1411">
        <v>46.32</v>
      </c>
      <c r="AE1411">
        <v>39.51</v>
      </c>
      <c r="AF1411">
        <f t="shared" si="21"/>
        <v>1</v>
      </c>
    </row>
    <row r="1412" spans="29:32" x14ac:dyDescent="0.25">
      <c r="AC1412">
        <v>43.19</v>
      </c>
      <c r="AE1412">
        <v>39.520000000000003</v>
      </c>
      <c r="AF1412">
        <f t="shared" ref="AF1412:AF1475" si="22">IF(AE1412=AE1411,AF1411+1,1)</f>
        <v>1</v>
      </c>
    </row>
    <row r="1413" spans="29:32" x14ac:dyDescent="0.25">
      <c r="AC1413">
        <v>44.88</v>
      </c>
      <c r="AE1413">
        <v>39.520000000000003</v>
      </c>
      <c r="AF1413">
        <f t="shared" si="22"/>
        <v>2</v>
      </c>
    </row>
    <row r="1414" spans="29:32" x14ac:dyDescent="0.25">
      <c r="AC1414">
        <v>45.43</v>
      </c>
      <c r="AE1414">
        <v>39.520000000000003</v>
      </c>
      <c r="AF1414">
        <f t="shared" si="22"/>
        <v>3</v>
      </c>
    </row>
    <row r="1415" spans="29:32" x14ac:dyDescent="0.25">
      <c r="AC1415">
        <v>44.53</v>
      </c>
      <c r="AE1415">
        <v>39.53</v>
      </c>
      <c r="AF1415">
        <f t="shared" si="22"/>
        <v>1</v>
      </c>
    </row>
    <row r="1416" spans="29:32" x14ac:dyDescent="0.25">
      <c r="AC1416">
        <v>43.51</v>
      </c>
      <c r="AE1416">
        <v>39.549999999999997</v>
      </c>
      <c r="AF1416">
        <f t="shared" si="22"/>
        <v>1</v>
      </c>
    </row>
    <row r="1417" spans="29:32" x14ac:dyDescent="0.25">
      <c r="AC1417">
        <v>45.41</v>
      </c>
      <c r="AE1417">
        <v>39.549999999999997</v>
      </c>
      <c r="AF1417">
        <f t="shared" si="22"/>
        <v>2</v>
      </c>
    </row>
    <row r="1418" spans="29:32" x14ac:dyDescent="0.25">
      <c r="AC1418">
        <v>43.95</v>
      </c>
      <c r="AE1418">
        <v>39.549999999999997</v>
      </c>
      <c r="AF1418">
        <f t="shared" si="22"/>
        <v>3</v>
      </c>
    </row>
    <row r="1419" spans="29:32" x14ac:dyDescent="0.25">
      <c r="AC1419">
        <v>43.51</v>
      </c>
      <c r="AE1419">
        <v>39.58</v>
      </c>
      <c r="AF1419">
        <f t="shared" si="22"/>
        <v>1</v>
      </c>
    </row>
    <row r="1420" spans="29:32" x14ac:dyDescent="0.25">
      <c r="AC1420">
        <v>43.92</v>
      </c>
      <c r="AE1420">
        <v>39.58</v>
      </c>
      <c r="AF1420">
        <f t="shared" si="22"/>
        <v>2</v>
      </c>
    </row>
    <row r="1421" spans="29:32" x14ac:dyDescent="0.25">
      <c r="AC1421">
        <v>45.6</v>
      </c>
      <c r="AE1421">
        <v>39.58</v>
      </c>
      <c r="AF1421">
        <f t="shared" si="22"/>
        <v>3</v>
      </c>
    </row>
    <row r="1422" spans="29:32" x14ac:dyDescent="0.25">
      <c r="AC1422">
        <v>43.47</v>
      </c>
      <c r="AE1422">
        <v>39.590000000000003</v>
      </c>
      <c r="AF1422">
        <f t="shared" si="22"/>
        <v>1</v>
      </c>
    </row>
    <row r="1423" spans="29:32" x14ac:dyDescent="0.25">
      <c r="AC1423">
        <v>43.86</v>
      </c>
      <c r="AE1423">
        <v>39.590000000000003</v>
      </c>
      <c r="AF1423">
        <f t="shared" si="22"/>
        <v>2</v>
      </c>
    </row>
    <row r="1424" spans="29:32" x14ac:dyDescent="0.25">
      <c r="AC1424">
        <v>43.53</v>
      </c>
      <c r="AE1424">
        <v>39.6</v>
      </c>
      <c r="AF1424">
        <f t="shared" si="22"/>
        <v>1</v>
      </c>
    </row>
    <row r="1425" spans="29:32" x14ac:dyDescent="0.25">
      <c r="AC1425">
        <v>45.64</v>
      </c>
      <c r="AE1425">
        <v>39.6</v>
      </c>
      <c r="AF1425">
        <f t="shared" si="22"/>
        <v>2</v>
      </c>
    </row>
    <row r="1426" spans="29:32" x14ac:dyDescent="0.25">
      <c r="AC1426">
        <v>45.83</v>
      </c>
      <c r="AE1426">
        <v>39.61</v>
      </c>
      <c r="AF1426">
        <f t="shared" si="22"/>
        <v>1</v>
      </c>
    </row>
    <row r="1427" spans="29:32" x14ac:dyDescent="0.25">
      <c r="AC1427">
        <v>47.68</v>
      </c>
      <c r="AE1427">
        <v>39.619999999999997</v>
      </c>
      <c r="AF1427">
        <f t="shared" si="22"/>
        <v>1</v>
      </c>
    </row>
    <row r="1428" spans="29:32" x14ac:dyDescent="0.25">
      <c r="AC1428">
        <v>44.65</v>
      </c>
      <c r="AE1428">
        <v>39.630000000000003</v>
      </c>
      <c r="AF1428">
        <f t="shared" si="22"/>
        <v>1</v>
      </c>
    </row>
    <row r="1429" spans="29:32" x14ac:dyDescent="0.25">
      <c r="AC1429">
        <v>44.22</v>
      </c>
      <c r="AE1429">
        <v>39.630000000000003</v>
      </c>
      <c r="AF1429">
        <f t="shared" si="22"/>
        <v>2</v>
      </c>
    </row>
    <row r="1430" spans="29:32" x14ac:dyDescent="0.25">
      <c r="AC1430">
        <v>45.27</v>
      </c>
      <c r="AE1430">
        <v>39.630000000000003</v>
      </c>
      <c r="AF1430">
        <f t="shared" si="22"/>
        <v>3</v>
      </c>
    </row>
    <row r="1431" spans="29:32" x14ac:dyDescent="0.25">
      <c r="AC1431">
        <v>45.59</v>
      </c>
      <c r="AE1431">
        <v>39.64</v>
      </c>
      <c r="AF1431">
        <f t="shared" si="22"/>
        <v>1</v>
      </c>
    </row>
    <row r="1432" spans="29:32" x14ac:dyDescent="0.25">
      <c r="AC1432">
        <v>44.53</v>
      </c>
      <c r="AE1432">
        <v>39.64</v>
      </c>
      <c r="AF1432">
        <f t="shared" si="22"/>
        <v>2</v>
      </c>
    </row>
    <row r="1433" spans="29:32" x14ac:dyDescent="0.25">
      <c r="AC1433">
        <v>46.32</v>
      </c>
      <c r="AE1433">
        <v>39.64</v>
      </c>
      <c r="AF1433">
        <f t="shared" si="22"/>
        <v>3</v>
      </c>
    </row>
    <row r="1434" spans="29:32" x14ac:dyDescent="0.25">
      <c r="AC1434">
        <v>44.71</v>
      </c>
      <c r="AE1434">
        <v>39.64</v>
      </c>
      <c r="AF1434">
        <f t="shared" si="22"/>
        <v>4</v>
      </c>
    </row>
    <row r="1435" spans="29:32" x14ac:dyDescent="0.25">
      <c r="AC1435">
        <v>45.86</v>
      </c>
      <c r="AE1435">
        <v>39.64</v>
      </c>
      <c r="AF1435">
        <f t="shared" si="22"/>
        <v>5</v>
      </c>
    </row>
    <row r="1436" spans="29:32" x14ac:dyDescent="0.25">
      <c r="AC1436">
        <v>46.02</v>
      </c>
      <c r="AE1436">
        <v>39.65</v>
      </c>
      <c r="AF1436">
        <f t="shared" si="22"/>
        <v>1</v>
      </c>
    </row>
    <row r="1437" spans="29:32" x14ac:dyDescent="0.25">
      <c r="AC1437">
        <v>46.42</v>
      </c>
      <c r="AE1437">
        <v>39.659999999999997</v>
      </c>
      <c r="AF1437">
        <f t="shared" si="22"/>
        <v>1</v>
      </c>
    </row>
    <row r="1438" spans="29:32" x14ac:dyDescent="0.25">
      <c r="AC1438">
        <v>46.53</v>
      </c>
      <c r="AE1438">
        <v>39.67</v>
      </c>
      <c r="AF1438">
        <f t="shared" si="22"/>
        <v>1</v>
      </c>
    </row>
    <row r="1439" spans="29:32" x14ac:dyDescent="0.25">
      <c r="AC1439">
        <v>44.17</v>
      </c>
      <c r="AE1439">
        <v>39.68</v>
      </c>
      <c r="AF1439">
        <f t="shared" si="22"/>
        <v>1</v>
      </c>
    </row>
    <row r="1440" spans="29:32" x14ac:dyDescent="0.25">
      <c r="AC1440">
        <v>45.31</v>
      </c>
      <c r="AE1440">
        <v>39.68</v>
      </c>
      <c r="AF1440">
        <f t="shared" si="22"/>
        <v>2</v>
      </c>
    </row>
    <row r="1441" spans="29:32" x14ac:dyDescent="0.25">
      <c r="AC1441">
        <v>44.7</v>
      </c>
      <c r="AE1441">
        <v>39.68</v>
      </c>
      <c r="AF1441">
        <f t="shared" si="22"/>
        <v>3</v>
      </c>
    </row>
    <row r="1442" spans="29:32" x14ac:dyDescent="0.25">
      <c r="AC1442">
        <v>46.3</v>
      </c>
      <c r="AE1442">
        <v>39.68</v>
      </c>
      <c r="AF1442">
        <f t="shared" si="22"/>
        <v>4</v>
      </c>
    </row>
    <row r="1443" spans="29:32" x14ac:dyDescent="0.25">
      <c r="AC1443">
        <v>46.04</v>
      </c>
      <c r="AE1443">
        <v>39.68</v>
      </c>
      <c r="AF1443">
        <f t="shared" si="22"/>
        <v>5</v>
      </c>
    </row>
    <row r="1444" spans="29:32" x14ac:dyDescent="0.25">
      <c r="AC1444">
        <v>46.45</v>
      </c>
      <c r="AE1444">
        <v>39.68</v>
      </c>
      <c r="AF1444">
        <f t="shared" si="22"/>
        <v>6</v>
      </c>
    </row>
    <row r="1445" spans="29:32" x14ac:dyDescent="0.25">
      <c r="AC1445">
        <v>46</v>
      </c>
      <c r="AE1445">
        <v>39.69</v>
      </c>
      <c r="AF1445">
        <f t="shared" si="22"/>
        <v>1</v>
      </c>
    </row>
    <row r="1446" spans="29:32" x14ac:dyDescent="0.25">
      <c r="AC1446">
        <v>44.6</v>
      </c>
      <c r="AE1446">
        <v>39.700000000000003</v>
      </c>
      <c r="AF1446">
        <f t="shared" si="22"/>
        <v>1</v>
      </c>
    </row>
    <row r="1447" spans="29:32" x14ac:dyDescent="0.25">
      <c r="AC1447">
        <v>47.54</v>
      </c>
      <c r="AE1447">
        <v>39.71</v>
      </c>
      <c r="AF1447">
        <f t="shared" si="22"/>
        <v>1</v>
      </c>
    </row>
    <row r="1448" spans="29:32" x14ac:dyDescent="0.25">
      <c r="AC1448">
        <v>46.74</v>
      </c>
      <c r="AE1448">
        <v>39.71</v>
      </c>
      <c r="AF1448">
        <f t="shared" si="22"/>
        <v>2</v>
      </c>
    </row>
    <row r="1449" spans="29:32" x14ac:dyDescent="0.25">
      <c r="AC1449">
        <v>46.85</v>
      </c>
      <c r="AE1449">
        <v>39.72</v>
      </c>
      <c r="AF1449">
        <f t="shared" si="22"/>
        <v>1</v>
      </c>
    </row>
    <row r="1450" spans="29:32" x14ac:dyDescent="0.25">
      <c r="AC1450">
        <v>46.28</v>
      </c>
      <c r="AE1450">
        <v>39.72</v>
      </c>
      <c r="AF1450">
        <f t="shared" si="22"/>
        <v>2</v>
      </c>
    </row>
    <row r="1451" spans="29:32" x14ac:dyDescent="0.25">
      <c r="AC1451">
        <v>46.53</v>
      </c>
      <c r="AE1451">
        <v>39.729999999999997</v>
      </c>
      <c r="AF1451">
        <f t="shared" si="22"/>
        <v>1</v>
      </c>
    </row>
    <row r="1452" spans="29:32" x14ac:dyDescent="0.25">
      <c r="AC1452">
        <v>46.74</v>
      </c>
      <c r="AE1452">
        <v>39.729999999999997</v>
      </c>
      <c r="AF1452">
        <f t="shared" si="22"/>
        <v>2</v>
      </c>
    </row>
    <row r="1453" spans="29:32" x14ac:dyDescent="0.25">
      <c r="AC1453">
        <v>45.85</v>
      </c>
      <c r="AE1453">
        <v>39.729999999999997</v>
      </c>
      <c r="AF1453">
        <f t="shared" si="22"/>
        <v>3</v>
      </c>
    </row>
    <row r="1454" spans="29:32" x14ac:dyDescent="0.25">
      <c r="AC1454">
        <v>46.91</v>
      </c>
      <c r="AE1454">
        <v>39.729999999999997</v>
      </c>
      <c r="AF1454">
        <f t="shared" si="22"/>
        <v>4</v>
      </c>
    </row>
    <row r="1455" spans="29:32" x14ac:dyDescent="0.25">
      <c r="AC1455">
        <v>45.48</v>
      </c>
      <c r="AE1455">
        <v>39.74</v>
      </c>
      <c r="AF1455">
        <f t="shared" si="22"/>
        <v>1</v>
      </c>
    </row>
    <row r="1456" spans="29:32" x14ac:dyDescent="0.25">
      <c r="AC1456">
        <v>46.45</v>
      </c>
      <c r="AE1456">
        <v>39.75</v>
      </c>
      <c r="AF1456">
        <f t="shared" si="22"/>
        <v>1</v>
      </c>
    </row>
    <row r="1457" spans="29:32" x14ac:dyDescent="0.25">
      <c r="AC1457">
        <v>44.9</v>
      </c>
      <c r="AE1457">
        <v>39.770000000000003</v>
      </c>
      <c r="AF1457">
        <f t="shared" si="22"/>
        <v>1</v>
      </c>
    </row>
    <row r="1458" spans="29:32" x14ac:dyDescent="0.25">
      <c r="AC1458">
        <v>45.31</v>
      </c>
      <c r="AE1458">
        <v>39.770000000000003</v>
      </c>
      <c r="AF1458">
        <f t="shared" si="22"/>
        <v>2</v>
      </c>
    </row>
    <row r="1459" spans="29:32" x14ac:dyDescent="0.25">
      <c r="AC1459">
        <v>45.76</v>
      </c>
      <c r="AE1459">
        <v>39.78</v>
      </c>
      <c r="AF1459">
        <f t="shared" si="22"/>
        <v>1</v>
      </c>
    </row>
    <row r="1460" spans="29:32" x14ac:dyDescent="0.25">
      <c r="AC1460">
        <v>46.58</v>
      </c>
      <c r="AE1460">
        <v>39.78</v>
      </c>
      <c r="AF1460">
        <f t="shared" si="22"/>
        <v>2</v>
      </c>
    </row>
    <row r="1461" spans="29:32" x14ac:dyDescent="0.25">
      <c r="AC1461">
        <v>50.47</v>
      </c>
      <c r="AE1461">
        <v>39.78</v>
      </c>
      <c r="AF1461">
        <f t="shared" si="22"/>
        <v>3</v>
      </c>
    </row>
    <row r="1462" spans="29:32" x14ac:dyDescent="0.25">
      <c r="AC1462">
        <v>46</v>
      </c>
      <c r="AE1462">
        <v>39.78</v>
      </c>
      <c r="AF1462">
        <f t="shared" si="22"/>
        <v>4</v>
      </c>
    </row>
    <row r="1463" spans="29:32" x14ac:dyDescent="0.25">
      <c r="AC1463">
        <v>45.34</v>
      </c>
      <c r="AE1463">
        <v>39.79</v>
      </c>
      <c r="AF1463">
        <f t="shared" si="22"/>
        <v>1</v>
      </c>
    </row>
    <row r="1464" spans="29:32" x14ac:dyDescent="0.25">
      <c r="AC1464">
        <v>46.65</v>
      </c>
      <c r="AE1464">
        <v>39.79</v>
      </c>
      <c r="AF1464">
        <f t="shared" si="22"/>
        <v>2</v>
      </c>
    </row>
    <row r="1465" spans="29:32" x14ac:dyDescent="0.25">
      <c r="AC1465">
        <v>46.38</v>
      </c>
      <c r="AE1465">
        <v>39.79</v>
      </c>
      <c r="AF1465">
        <f t="shared" si="22"/>
        <v>3</v>
      </c>
    </row>
    <row r="1466" spans="29:32" x14ac:dyDescent="0.25">
      <c r="AC1466">
        <v>46.86</v>
      </c>
      <c r="AE1466">
        <v>39.799999999999997</v>
      </c>
      <c r="AF1466">
        <f t="shared" si="22"/>
        <v>1</v>
      </c>
    </row>
    <row r="1467" spans="29:32" x14ac:dyDescent="0.25">
      <c r="AC1467">
        <v>47.72</v>
      </c>
      <c r="AE1467">
        <v>39.799999999999997</v>
      </c>
      <c r="AF1467">
        <f t="shared" si="22"/>
        <v>2</v>
      </c>
    </row>
    <row r="1468" spans="29:32" x14ac:dyDescent="0.25">
      <c r="AC1468">
        <v>45.69</v>
      </c>
      <c r="AE1468">
        <v>39.81</v>
      </c>
      <c r="AF1468">
        <f t="shared" si="22"/>
        <v>1</v>
      </c>
    </row>
    <row r="1469" spans="29:32" x14ac:dyDescent="0.25">
      <c r="AC1469">
        <v>46.62</v>
      </c>
      <c r="AE1469">
        <v>39.82</v>
      </c>
      <c r="AF1469">
        <f t="shared" si="22"/>
        <v>1</v>
      </c>
    </row>
    <row r="1470" spans="29:32" x14ac:dyDescent="0.25">
      <c r="AC1470">
        <v>50.37</v>
      </c>
      <c r="AE1470">
        <v>39.86</v>
      </c>
      <c r="AF1470">
        <f t="shared" si="22"/>
        <v>1</v>
      </c>
    </row>
    <row r="1471" spans="29:32" x14ac:dyDescent="0.25">
      <c r="AC1471">
        <v>48.06</v>
      </c>
      <c r="AE1471">
        <v>39.86</v>
      </c>
      <c r="AF1471">
        <f t="shared" si="22"/>
        <v>2</v>
      </c>
    </row>
    <row r="1472" spans="29:32" x14ac:dyDescent="0.25">
      <c r="AC1472">
        <v>48.1</v>
      </c>
      <c r="AE1472">
        <v>39.869999999999997</v>
      </c>
      <c r="AF1472">
        <f t="shared" si="22"/>
        <v>1</v>
      </c>
    </row>
    <row r="1473" spans="29:32" x14ac:dyDescent="0.25">
      <c r="AC1473">
        <v>47.57</v>
      </c>
      <c r="AE1473">
        <v>39.869999999999997</v>
      </c>
      <c r="AF1473">
        <f t="shared" si="22"/>
        <v>2</v>
      </c>
    </row>
    <row r="1474" spans="29:32" x14ac:dyDescent="0.25">
      <c r="AC1474">
        <v>48.01</v>
      </c>
      <c r="AE1474">
        <v>39.869999999999997</v>
      </c>
      <c r="AF1474">
        <f t="shared" si="22"/>
        <v>3</v>
      </c>
    </row>
    <row r="1475" spans="29:32" x14ac:dyDescent="0.25">
      <c r="AC1475">
        <v>48.82</v>
      </c>
      <c r="AE1475">
        <v>39.880000000000003</v>
      </c>
      <c r="AF1475">
        <f t="shared" si="22"/>
        <v>1</v>
      </c>
    </row>
    <row r="1476" spans="29:32" x14ac:dyDescent="0.25">
      <c r="AC1476">
        <v>46.57</v>
      </c>
      <c r="AE1476">
        <v>39.89</v>
      </c>
      <c r="AF1476">
        <f t="shared" ref="AF1476:AF1539" si="23">IF(AE1476=AE1475,AF1475+1,1)</f>
        <v>1</v>
      </c>
    </row>
    <row r="1477" spans="29:32" x14ac:dyDescent="0.25">
      <c r="AC1477">
        <v>47.41</v>
      </c>
      <c r="AE1477">
        <v>39.9</v>
      </c>
      <c r="AF1477">
        <f t="shared" si="23"/>
        <v>1</v>
      </c>
    </row>
    <row r="1478" spans="29:32" x14ac:dyDescent="0.25">
      <c r="AC1478">
        <v>47.3</v>
      </c>
      <c r="AE1478">
        <v>39.9</v>
      </c>
      <c r="AF1478">
        <f t="shared" si="23"/>
        <v>2</v>
      </c>
    </row>
    <row r="1479" spans="29:32" x14ac:dyDescent="0.25">
      <c r="AC1479">
        <v>49.07</v>
      </c>
      <c r="AE1479">
        <v>39.909999999999997</v>
      </c>
      <c r="AF1479">
        <f t="shared" si="23"/>
        <v>1</v>
      </c>
    </row>
    <row r="1480" spans="29:32" x14ac:dyDescent="0.25">
      <c r="AC1480">
        <v>50.52</v>
      </c>
      <c r="AE1480">
        <v>39.909999999999997</v>
      </c>
      <c r="AF1480">
        <f t="shared" si="23"/>
        <v>2</v>
      </c>
    </row>
    <row r="1481" spans="29:32" x14ac:dyDescent="0.25">
      <c r="AC1481">
        <v>48.37</v>
      </c>
      <c r="AE1481">
        <v>39.909999999999997</v>
      </c>
      <c r="AF1481">
        <f t="shared" si="23"/>
        <v>3</v>
      </c>
    </row>
    <row r="1482" spans="29:32" x14ac:dyDescent="0.25">
      <c r="AC1482">
        <v>48.56</v>
      </c>
      <c r="AE1482">
        <v>39.909999999999997</v>
      </c>
      <c r="AF1482">
        <f t="shared" si="23"/>
        <v>4</v>
      </c>
    </row>
    <row r="1483" spans="29:32" x14ac:dyDescent="0.25">
      <c r="AC1483">
        <v>48.81</v>
      </c>
      <c r="AE1483">
        <v>39.909999999999997</v>
      </c>
      <c r="AF1483">
        <f t="shared" si="23"/>
        <v>5</v>
      </c>
    </row>
    <row r="1484" spans="29:32" x14ac:dyDescent="0.25">
      <c r="AC1484">
        <v>48.96</v>
      </c>
      <c r="AE1484">
        <v>39.909999999999997</v>
      </c>
      <c r="AF1484">
        <f t="shared" si="23"/>
        <v>6</v>
      </c>
    </row>
    <row r="1485" spans="29:32" x14ac:dyDescent="0.25">
      <c r="AC1485">
        <v>48.14</v>
      </c>
      <c r="AE1485">
        <v>39.92</v>
      </c>
      <c r="AF1485">
        <f t="shared" si="23"/>
        <v>1</v>
      </c>
    </row>
    <row r="1486" spans="29:32" x14ac:dyDescent="0.25">
      <c r="AC1486">
        <v>49.75</v>
      </c>
      <c r="AE1486">
        <v>39.93</v>
      </c>
      <c r="AF1486">
        <f t="shared" si="23"/>
        <v>1</v>
      </c>
    </row>
    <row r="1487" spans="29:32" x14ac:dyDescent="0.25">
      <c r="AC1487">
        <v>49.29</v>
      </c>
      <c r="AE1487">
        <v>39.94</v>
      </c>
      <c r="AF1487">
        <f t="shared" si="23"/>
        <v>1</v>
      </c>
    </row>
    <row r="1488" spans="29:32" x14ac:dyDescent="0.25">
      <c r="AC1488">
        <v>48.77</v>
      </c>
      <c r="AE1488">
        <v>39.950000000000003</v>
      </c>
      <c r="AF1488">
        <f t="shared" si="23"/>
        <v>1</v>
      </c>
    </row>
    <row r="1489" spans="29:32" x14ac:dyDescent="0.25">
      <c r="AC1489">
        <v>49.84</v>
      </c>
      <c r="AE1489">
        <v>39.950000000000003</v>
      </c>
      <c r="AF1489">
        <f t="shared" si="23"/>
        <v>2</v>
      </c>
    </row>
    <row r="1490" spans="29:32" x14ac:dyDescent="0.25">
      <c r="AC1490">
        <v>49.4</v>
      </c>
      <c r="AE1490">
        <v>39.950000000000003</v>
      </c>
      <c r="AF1490">
        <f t="shared" si="23"/>
        <v>3</v>
      </c>
    </row>
    <row r="1491" spans="29:32" x14ac:dyDescent="0.25">
      <c r="AC1491">
        <v>52.15</v>
      </c>
      <c r="AE1491">
        <v>39.950000000000003</v>
      </c>
      <c r="AF1491">
        <f t="shared" si="23"/>
        <v>4</v>
      </c>
    </row>
    <row r="1492" spans="29:32" x14ac:dyDescent="0.25">
      <c r="AC1492">
        <v>49.52</v>
      </c>
      <c r="AE1492">
        <v>39.96</v>
      </c>
      <c r="AF1492">
        <f t="shared" si="23"/>
        <v>1</v>
      </c>
    </row>
    <row r="1493" spans="29:32" x14ac:dyDescent="0.25">
      <c r="AC1493">
        <v>49.11</v>
      </c>
      <c r="AE1493">
        <v>39.96</v>
      </c>
      <c r="AF1493">
        <f t="shared" si="23"/>
        <v>2</v>
      </c>
    </row>
    <row r="1494" spans="29:32" x14ac:dyDescent="0.25">
      <c r="AC1494">
        <v>49.61</v>
      </c>
      <c r="AE1494">
        <v>39.97</v>
      </c>
      <c r="AF1494">
        <f t="shared" si="23"/>
        <v>1</v>
      </c>
    </row>
    <row r="1495" spans="29:32" x14ac:dyDescent="0.25">
      <c r="AC1495">
        <v>49.52</v>
      </c>
      <c r="AE1495">
        <v>39.97</v>
      </c>
      <c r="AF1495">
        <f t="shared" si="23"/>
        <v>2</v>
      </c>
    </row>
    <row r="1496" spans="29:32" x14ac:dyDescent="0.25">
      <c r="AC1496">
        <v>49.85</v>
      </c>
      <c r="AE1496">
        <v>39.979999999999997</v>
      </c>
      <c r="AF1496">
        <f t="shared" si="23"/>
        <v>1</v>
      </c>
    </row>
    <row r="1497" spans="29:32" x14ac:dyDescent="0.25">
      <c r="AC1497">
        <v>49.64</v>
      </c>
      <c r="AE1497">
        <v>39.99</v>
      </c>
      <c r="AF1497">
        <f t="shared" si="23"/>
        <v>1</v>
      </c>
    </row>
    <row r="1498" spans="29:32" x14ac:dyDescent="0.25">
      <c r="AC1498">
        <v>49.85</v>
      </c>
      <c r="AE1498">
        <v>39.99</v>
      </c>
      <c r="AF1498">
        <f t="shared" si="23"/>
        <v>2</v>
      </c>
    </row>
    <row r="1499" spans="29:32" x14ac:dyDescent="0.25">
      <c r="AC1499">
        <v>53.81</v>
      </c>
      <c r="AE1499">
        <v>39.99</v>
      </c>
      <c r="AF1499">
        <f t="shared" si="23"/>
        <v>3</v>
      </c>
    </row>
    <row r="1500" spans="29:32" x14ac:dyDescent="0.25">
      <c r="AC1500">
        <v>54.03</v>
      </c>
      <c r="AE1500">
        <v>40</v>
      </c>
      <c r="AF1500">
        <f t="shared" si="23"/>
        <v>1</v>
      </c>
    </row>
    <row r="1501" spans="29:32" x14ac:dyDescent="0.25">
      <c r="AC1501">
        <v>54.88</v>
      </c>
      <c r="AE1501">
        <v>40.020000000000003</v>
      </c>
      <c r="AF1501">
        <f t="shared" si="23"/>
        <v>1</v>
      </c>
    </row>
    <row r="1502" spans="29:32" x14ac:dyDescent="0.25">
      <c r="AC1502">
        <v>55.99</v>
      </c>
      <c r="AE1502">
        <v>40.020000000000003</v>
      </c>
      <c r="AF1502">
        <f t="shared" si="23"/>
        <v>2</v>
      </c>
    </row>
    <row r="1503" spans="29:32" x14ac:dyDescent="0.25">
      <c r="AC1503">
        <v>56.77</v>
      </c>
      <c r="AE1503">
        <v>40.03</v>
      </c>
      <c r="AF1503">
        <f t="shared" si="23"/>
        <v>1</v>
      </c>
    </row>
    <row r="1504" spans="29:32" x14ac:dyDescent="0.25">
      <c r="AC1504">
        <v>57.24</v>
      </c>
      <c r="AE1504">
        <v>40.03</v>
      </c>
      <c r="AF1504">
        <f t="shared" si="23"/>
        <v>2</v>
      </c>
    </row>
    <row r="1505" spans="29:32" x14ac:dyDescent="0.25">
      <c r="AC1505">
        <v>57.44</v>
      </c>
      <c r="AE1505">
        <v>40.04</v>
      </c>
      <c r="AF1505">
        <f t="shared" si="23"/>
        <v>1</v>
      </c>
    </row>
    <row r="1506" spans="29:32" x14ac:dyDescent="0.25">
      <c r="AC1506">
        <v>58.51</v>
      </c>
      <c r="AE1506">
        <v>40.06</v>
      </c>
      <c r="AF1506">
        <f t="shared" si="23"/>
        <v>1</v>
      </c>
    </row>
    <row r="1507" spans="29:32" x14ac:dyDescent="0.25">
      <c r="AC1507">
        <v>59.26</v>
      </c>
      <c r="AE1507">
        <v>40.07</v>
      </c>
      <c r="AF1507">
        <f t="shared" si="23"/>
        <v>1</v>
      </c>
    </row>
    <row r="1508" spans="29:32" x14ac:dyDescent="0.25">
      <c r="AC1508" cm="1">
        <f t="array" ref="AC1508:AC1758">V2:V252</f>
        <v>16.04</v>
      </c>
      <c r="AE1508">
        <v>40.07</v>
      </c>
      <c r="AF1508">
        <f t="shared" si="23"/>
        <v>2</v>
      </c>
    </row>
    <row r="1509" spans="29:32" x14ac:dyDescent="0.25">
      <c r="AC1509">
        <v>16.309999999999999</v>
      </c>
      <c r="AE1509">
        <v>40.07</v>
      </c>
      <c r="AF1509">
        <f t="shared" si="23"/>
        <v>3</v>
      </c>
    </row>
    <row r="1510" spans="29:32" x14ac:dyDescent="0.25">
      <c r="AC1510">
        <v>16.64</v>
      </c>
      <c r="AE1510">
        <v>40.08</v>
      </c>
      <c r="AF1510">
        <f t="shared" si="23"/>
        <v>1</v>
      </c>
    </row>
    <row r="1511" spans="29:32" x14ac:dyDescent="0.25">
      <c r="AC1511">
        <v>17.86</v>
      </c>
      <c r="AE1511">
        <v>40.08</v>
      </c>
      <c r="AF1511">
        <f t="shared" si="23"/>
        <v>2</v>
      </c>
    </row>
    <row r="1512" spans="29:32" x14ac:dyDescent="0.25">
      <c r="AC1512">
        <v>17.91</v>
      </c>
      <c r="AE1512">
        <v>40.1</v>
      </c>
      <c r="AF1512">
        <f t="shared" si="23"/>
        <v>1</v>
      </c>
    </row>
    <row r="1513" spans="29:32" x14ac:dyDescent="0.25">
      <c r="AC1513">
        <v>17.350000000000001</v>
      </c>
      <c r="AE1513">
        <v>40.1</v>
      </c>
      <c r="AF1513">
        <f t="shared" si="23"/>
        <v>2</v>
      </c>
    </row>
    <row r="1514" spans="29:32" x14ac:dyDescent="0.25">
      <c r="AC1514">
        <v>17.899999999999999</v>
      </c>
      <c r="AE1514">
        <v>40.1</v>
      </c>
      <c r="AF1514">
        <f t="shared" si="23"/>
        <v>3</v>
      </c>
    </row>
    <row r="1515" spans="29:32" x14ac:dyDescent="0.25">
      <c r="AC1515">
        <v>17.489999999999998</v>
      </c>
      <c r="AE1515">
        <v>40.1</v>
      </c>
      <c r="AF1515">
        <f t="shared" si="23"/>
        <v>4</v>
      </c>
    </row>
    <row r="1516" spans="29:32" x14ac:dyDescent="0.25">
      <c r="AC1516">
        <v>18.010000000000002</v>
      </c>
      <c r="AE1516">
        <v>40.11</v>
      </c>
      <c r="AF1516">
        <f t="shared" si="23"/>
        <v>1</v>
      </c>
    </row>
    <row r="1517" spans="29:32" x14ac:dyDescent="0.25">
      <c r="AC1517">
        <v>17.77</v>
      </c>
      <c r="AE1517">
        <v>40.11</v>
      </c>
      <c r="AF1517">
        <f t="shared" si="23"/>
        <v>2</v>
      </c>
    </row>
    <row r="1518" spans="29:32" x14ac:dyDescent="0.25">
      <c r="AC1518">
        <v>18.12</v>
      </c>
      <c r="AE1518">
        <v>40.119999999999997</v>
      </c>
      <c r="AF1518">
        <f t="shared" si="23"/>
        <v>1</v>
      </c>
    </row>
    <row r="1519" spans="29:32" x14ac:dyDescent="0.25">
      <c r="AC1519">
        <v>18.690000000000001</v>
      </c>
      <c r="AE1519">
        <v>40.130000000000003</v>
      </c>
      <c r="AF1519">
        <f t="shared" si="23"/>
        <v>1</v>
      </c>
    </row>
    <row r="1520" spans="29:32" x14ac:dyDescent="0.25">
      <c r="AC1520">
        <v>17.829999999999998</v>
      </c>
      <c r="AE1520">
        <v>40.130000000000003</v>
      </c>
      <c r="AF1520">
        <f t="shared" si="23"/>
        <v>2</v>
      </c>
    </row>
    <row r="1521" spans="29:32" x14ac:dyDescent="0.25">
      <c r="AC1521">
        <v>18.37</v>
      </c>
      <c r="AE1521">
        <v>40.130000000000003</v>
      </c>
      <c r="AF1521">
        <f t="shared" si="23"/>
        <v>3</v>
      </c>
    </row>
    <row r="1522" spans="29:32" x14ac:dyDescent="0.25">
      <c r="AC1522">
        <v>18.510000000000002</v>
      </c>
      <c r="AE1522">
        <v>40.15</v>
      </c>
      <c r="AF1522">
        <f t="shared" si="23"/>
        <v>1</v>
      </c>
    </row>
    <row r="1523" spans="29:32" x14ac:dyDescent="0.25">
      <c r="AC1523">
        <v>18.899999999999999</v>
      </c>
      <c r="AE1523">
        <v>40.159999999999997</v>
      </c>
      <c r="AF1523">
        <f t="shared" si="23"/>
        <v>1</v>
      </c>
    </row>
    <row r="1524" spans="29:32" x14ac:dyDescent="0.25">
      <c r="AC1524">
        <v>18.2</v>
      </c>
      <c r="AE1524">
        <v>40.159999999999997</v>
      </c>
      <c r="AF1524">
        <f t="shared" si="23"/>
        <v>2</v>
      </c>
    </row>
    <row r="1525" spans="29:32" x14ac:dyDescent="0.25">
      <c r="AC1525">
        <v>17.93</v>
      </c>
      <c r="AE1525">
        <v>40.159999999999997</v>
      </c>
      <c r="AF1525">
        <f t="shared" si="23"/>
        <v>3</v>
      </c>
    </row>
    <row r="1526" spans="29:32" x14ac:dyDescent="0.25">
      <c r="AC1526">
        <v>17.510000000000002</v>
      </c>
      <c r="AE1526">
        <v>40.159999999999997</v>
      </c>
      <c r="AF1526">
        <f t="shared" si="23"/>
        <v>4</v>
      </c>
    </row>
    <row r="1527" spans="29:32" x14ac:dyDescent="0.25">
      <c r="AC1527">
        <v>18.670000000000002</v>
      </c>
      <c r="AE1527">
        <v>40.17</v>
      </c>
      <c r="AF1527">
        <f t="shared" si="23"/>
        <v>1</v>
      </c>
    </row>
    <row r="1528" spans="29:32" x14ac:dyDescent="0.25">
      <c r="AC1528">
        <v>19.13</v>
      </c>
      <c r="AE1528">
        <v>40.17</v>
      </c>
      <c r="AF1528">
        <f t="shared" si="23"/>
        <v>2</v>
      </c>
    </row>
    <row r="1529" spans="29:32" x14ac:dyDescent="0.25">
      <c r="AC1529">
        <v>19</v>
      </c>
      <c r="AE1529">
        <v>40.18</v>
      </c>
      <c r="AF1529">
        <f t="shared" si="23"/>
        <v>1</v>
      </c>
    </row>
    <row r="1530" spans="29:32" x14ac:dyDescent="0.25">
      <c r="AC1530">
        <v>18.53</v>
      </c>
      <c r="AE1530">
        <v>40.18</v>
      </c>
      <c r="AF1530">
        <f t="shared" si="23"/>
        <v>2</v>
      </c>
    </row>
    <row r="1531" spans="29:32" x14ac:dyDescent="0.25">
      <c r="AC1531">
        <v>18.88</v>
      </c>
      <c r="AE1531">
        <v>40.19</v>
      </c>
      <c r="AF1531">
        <f t="shared" si="23"/>
        <v>1</v>
      </c>
    </row>
    <row r="1532" spans="29:32" x14ac:dyDescent="0.25">
      <c r="AC1532">
        <v>17.84</v>
      </c>
      <c r="AE1532">
        <v>40.200000000000003</v>
      </c>
      <c r="AF1532">
        <f t="shared" si="23"/>
        <v>1</v>
      </c>
    </row>
    <row r="1533" spans="29:32" x14ac:dyDescent="0.25">
      <c r="AC1533">
        <v>19.190000000000001</v>
      </c>
      <c r="AE1533">
        <v>40.21</v>
      </c>
      <c r="AF1533">
        <f t="shared" si="23"/>
        <v>1</v>
      </c>
    </row>
    <row r="1534" spans="29:32" x14ac:dyDescent="0.25">
      <c r="AC1534">
        <v>18.489999999999998</v>
      </c>
      <c r="AE1534">
        <v>40.21</v>
      </c>
      <c r="AF1534">
        <f t="shared" si="23"/>
        <v>2</v>
      </c>
    </row>
    <row r="1535" spans="29:32" x14ac:dyDescent="0.25">
      <c r="AC1535">
        <v>18.37</v>
      </c>
      <c r="AE1535">
        <v>40.22</v>
      </c>
      <c r="AF1535">
        <f t="shared" si="23"/>
        <v>1</v>
      </c>
    </row>
    <row r="1536" spans="29:32" x14ac:dyDescent="0.25">
      <c r="AC1536">
        <v>18.45</v>
      </c>
      <c r="AE1536">
        <v>40.22</v>
      </c>
      <c r="AF1536">
        <f t="shared" si="23"/>
        <v>2</v>
      </c>
    </row>
    <row r="1537" spans="29:32" x14ac:dyDescent="0.25">
      <c r="AC1537">
        <v>18.690000000000001</v>
      </c>
      <c r="AE1537">
        <v>40.22</v>
      </c>
      <c r="AF1537">
        <f t="shared" si="23"/>
        <v>3</v>
      </c>
    </row>
    <row r="1538" spans="29:32" x14ac:dyDescent="0.25">
      <c r="AC1538">
        <v>19.059999999999999</v>
      </c>
      <c r="AE1538">
        <v>40.229999999999997</v>
      </c>
      <c r="AF1538">
        <f t="shared" si="23"/>
        <v>1</v>
      </c>
    </row>
    <row r="1539" spans="29:32" x14ac:dyDescent="0.25">
      <c r="AC1539">
        <v>17.850000000000001</v>
      </c>
      <c r="AE1539">
        <v>40.229999999999997</v>
      </c>
      <c r="AF1539">
        <f t="shared" si="23"/>
        <v>2</v>
      </c>
    </row>
    <row r="1540" spans="29:32" x14ac:dyDescent="0.25">
      <c r="AC1540">
        <v>18.62</v>
      </c>
      <c r="AE1540">
        <v>40.229999999999997</v>
      </c>
      <c r="AF1540">
        <f t="shared" ref="AF1540:AF1603" si="24">IF(AE1540=AE1539,AF1539+1,1)</f>
        <v>3</v>
      </c>
    </row>
    <row r="1541" spans="29:32" x14ac:dyDescent="0.25">
      <c r="AC1541">
        <v>18.91</v>
      </c>
      <c r="AE1541">
        <v>40.24</v>
      </c>
      <c r="AF1541">
        <f t="shared" si="24"/>
        <v>1</v>
      </c>
    </row>
    <row r="1542" spans="29:32" x14ac:dyDescent="0.25">
      <c r="AC1542">
        <v>18.18</v>
      </c>
      <c r="AE1542">
        <v>40.25</v>
      </c>
      <c r="AF1542">
        <f t="shared" si="24"/>
        <v>1</v>
      </c>
    </row>
    <row r="1543" spans="29:32" x14ac:dyDescent="0.25">
      <c r="AC1543">
        <v>18.34</v>
      </c>
      <c r="AE1543">
        <v>40.25</v>
      </c>
      <c r="AF1543">
        <f t="shared" si="24"/>
        <v>2</v>
      </c>
    </row>
    <row r="1544" spans="29:32" x14ac:dyDescent="0.25">
      <c r="AC1544">
        <v>18.13</v>
      </c>
      <c r="AE1544">
        <v>40.25</v>
      </c>
      <c r="AF1544">
        <f t="shared" si="24"/>
        <v>3</v>
      </c>
    </row>
    <row r="1545" spans="29:32" x14ac:dyDescent="0.25">
      <c r="AC1545">
        <v>18.71</v>
      </c>
      <c r="AE1545">
        <v>40.26</v>
      </c>
      <c r="AF1545">
        <f t="shared" si="24"/>
        <v>1</v>
      </c>
    </row>
    <row r="1546" spans="29:32" x14ac:dyDescent="0.25">
      <c r="AC1546">
        <v>18.940000000000001</v>
      </c>
      <c r="AE1546">
        <v>40.26</v>
      </c>
      <c r="AF1546">
        <f t="shared" si="24"/>
        <v>2</v>
      </c>
    </row>
    <row r="1547" spans="29:32" x14ac:dyDescent="0.25">
      <c r="AC1547">
        <v>18.350000000000001</v>
      </c>
      <c r="AE1547">
        <v>40.26</v>
      </c>
      <c r="AF1547">
        <f t="shared" si="24"/>
        <v>3</v>
      </c>
    </row>
    <row r="1548" spans="29:32" x14ac:dyDescent="0.25">
      <c r="AC1548">
        <v>19.09</v>
      </c>
      <c r="AE1548">
        <v>40.26</v>
      </c>
      <c r="AF1548">
        <f t="shared" si="24"/>
        <v>4</v>
      </c>
    </row>
    <row r="1549" spans="29:32" x14ac:dyDescent="0.25">
      <c r="AC1549">
        <v>19.649999999999999</v>
      </c>
      <c r="AE1549">
        <v>40.270000000000003</v>
      </c>
      <c r="AF1549">
        <f t="shared" si="24"/>
        <v>1</v>
      </c>
    </row>
    <row r="1550" spans="29:32" x14ac:dyDescent="0.25">
      <c r="AC1550">
        <v>19.440000000000001</v>
      </c>
      <c r="AE1550">
        <v>40.28</v>
      </c>
      <c r="AF1550">
        <f t="shared" si="24"/>
        <v>1</v>
      </c>
    </row>
    <row r="1551" spans="29:32" x14ac:dyDescent="0.25">
      <c r="AC1551">
        <v>19.87</v>
      </c>
      <c r="AE1551">
        <v>40.28</v>
      </c>
      <c r="AF1551">
        <f t="shared" si="24"/>
        <v>2</v>
      </c>
    </row>
    <row r="1552" spans="29:32" x14ac:dyDescent="0.25">
      <c r="AC1552">
        <v>19.7</v>
      </c>
      <c r="AE1552">
        <v>40.29</v>
      </c>
      <c r="AF1552">
        <f t="shared" si="24"/>
        <v>1</v>
      </c>
    </row>
    <row r="1553" spans="29:32" x14ac:dyDescent="0.25">
      <c r="AC1553">
        <v>19.48</v>
      </c>
      <c r="AE1553">
        <v>40.29</v>
      </c>
      <c r="AF1553">
        <f t="shared" si="24"/>
        <v>2</v>
      </c>
    </row>
    <row r="1554" spans="29:32" x14ac:dyDescent="0.25">
      <c r="AC1554">
        <v>19.53</v>
      </c>
      <c r="AE1554">
        <v>40.29</v>
      </c>
      <c r="AF1554">
        <f t="shared" si="24"/>
        <v>3</v>
      </c>
    </row>
    <row r="1555" spans="29:32" x14ac:dyDescent="0.25">
      <c r="AC1555">
        <v>19.59</v>
      </c>
      <c r="AE1555">
        <v>40.29</v>
      </c>
      <c r="AF1555">
        <f t="shared" si="24"/>
        <v>4</v>
      </c>
    </row>
    <row r="1556" spans="29:32" x14ac:dyDescent="0.25">
      <c r="AC1556">
        <v>20.04</v>
      </c>
      <c r="AE1556">
        <v>40.31</v>
      </c>
      <c r="AF1556">
        <f t="shared" si="24"/>
        <v>1</v>
      </c>
    </row>
    <row r="1557" spans="29:32" x14ac:dyDescent="0.25">
      <c r="AC1557">
        <v>20.079999999999998</v>
      </c>
      <c r="AE1557">
        <v>40.31</v>
      </c>
      <c r="AF1557">
        <f t="shared" si="24"/>
        <v>2</v>
      </c>
    </row>
    <row r="1558" spans="29:32" x14ac:dyDescent="0.25">
      <c r="AC1558">
        <v>21.15</v>
      </c>
      <c r="AE1558">
        <v>40.32</v>
      </c>
      <c r="AF1558">
        <f t="shared" si="24"/>
        <v>1</v>
      </c>
    </row>
    <row r="1559" spans="29:32" x14ac:dyDescent="0.25">
      <c r="AC1559">
        <v>21.38</v>
      </c>
      <c r="AE1559">
        <v>40.32</v>
      </c>
      <c r="AF1559">
        <f t="shared" si="24"/>
        <v>2</v>
      </c>
    </row>
    <row r="1560" spans="29:32" x14ac:dyDescent="0.25">
      <c r="AC1560">
        <v>21.96</v>
      </c>
      <c r="AE1560">
        <v>40.33</v>
      </c>
      <c r="AF1560">
        <f t="shared" si="24"/>
        <v>1</v>
      </c>
    </row>
    <row r="1561" spans="29:32" x14ac:dyDescent="0.25">
      <c r="AC1561">
        <v>22.31</v>
      </c>
      <c r="AE1561">
        <v>40.33</v>
      </c>
      <c r="AF1561">
        <f t="shared" si="24"/>
        <v>2</v>
      </c>
    </row>
    <row r="1562" spans="29:32" x14ac:dyDescent="0.25">
      <c r="AC1562">
        <v>23.44</v>
      </c>
      <c r="AE1562">
        <v>40.33</v>
      </c>
      <c r="AF1562">
        <f t="shared" si="24"/>
        <v>3</v>
      </c>
    </row>
    <row r="1563" spans="29:32" x14ac:dyDescent="0.25">
      <c r="AC1563">
        <v>23.49</v>
      </c>
      <c r="AE1563">
        <v>40.340000000000003</v>
      </c>
      <c r="AF1563">
        <f t="shared" si="24"/>
        <v>1</v>
      </c>
    </row>
    <row r="1564" spans="29:32" x14ac:dyDescent="0.25">
      <c r="AC1564">
        <v>23.86</v>
      </c>
      <c r="AE1564">
        <v>40.340000000000003</v>
      </c>
      <c r="AF1564">
        <f t="shared" si="24"/>
        <v>2</v>
      </c>
    </row>
    <row r="1565" spans="29:32" x14ac:dyDescent="0.25">
      <c r="AC1565">
        <v>25.47</v>
      </c>
      <c r="AE1565">
        <v>40.35</v>
      </c>
      <c r="AF1565">
        <f t="shared" si="24"/>
        <v>1</v>
      </c>
    </row>
    <row r="1566" spans="29:32" x14ac:dyDescent="0.25">
      <c r="AC1566">
        <v>25.9</v>
      </c>
      <c r="AE1566">
        <v>40.35</v>
      </c>
      <c r="AF1566">
        <f t="shared" si="24"/>
        <v>2</v>
      </c>
    </row>
    <row r="1567" spans="29:32" x14ac:dyDescent="0.25">
      <c r="AC1567">
        <v>28.02</v>
      </c>
      <c r="AE1567">
        <v>40.35</v>
      </c>
      <c r="AF1567">
        <f t="shared" si="24"/>
        <v>3</v>
      </c>
    </row>
    <row r="1568" spans="29:32" x14ac:dyDescent="0.25">
      <c r="AC1568">
        <v>28.29</v>
      </c>
      <c r="AE1568">
        <v>40.36</v>
      </c>
      <c r="AF1568">
        <f t="shared" si="24"/>
        <v>1</v>
      </c>
    </row>
    <row r="1569" spans="29:32" x14ac:dyDescent="0.25">
      <c r="AC1569">
        <v>28.6</v>
      </c>
      <c r="AE1569">
        <v>40.36</v>
      </c>
      <c r="AF1569">
        <f t="shared" si="24"/>
        <v>2</v>
      </c>
    </row>
    <row r="1570" spans="29:32" x14ac:dyDescent="0.25">
      <c r="AC1570">
        <v>28.52</v>
      </c>
      <c r="AE1570">
        <v>40.369999999999997</v>
      </c>
      <c r="AF1570">
        <f t="shared" si="24"/>
        <v>1</v>
      </c>
    </row>
    <row r="1571" spans="29:32" x14ac:dyDescent="0.25">
      <c r="AC1571">
        <v>28.65</v>
      </c>
      <c r="AE1571">
        <v>40.369999999999997</v>
      </c>
      <c r="AF1571">
        <f t="shared" si="24"/>
        <v>2</v>
      </c>
    </row>
    <row r="1572" spans="29:32" x14ac:dyDescent="0.25">
      <c r="AC1572">
        <v>28.51</v>
      </c>
      <c r="AE1572">
        <v>40.380000000000003</v>
      </c>
      <c r="AF1572">
        <f t="shared" si="24"/>
        <v>1</v>
      </c>
    </row>
    <row r="1573" spans="29:32" x14ac:dyDescent="0.25">
      <c r="AC1573">
        <v>30.58</v>
      </c>
      <c r="AE1573">
        <v>40.380000000000003</v>
      </c>
      <c r="AF1573">
        <f t="shared" si="24"/>
        <v>2</v>
      </c>
    </row>
    <row r="1574" spans="29:32" x14ac:dyDescent="0.25">
      <c r="AC1574">
        <v>30.66</v>
      </c>
      <c r="AE1574">
        <v>40.380000000000003</v>
      </c>
      <c r="AF1574">
        <f t="shared" si="24"/>
        <v>3</v>
      </c>
    </row>
    <row r="1575" spans="29:32" x14ac:dyDescent="0.25">
      <c r="AC1575">
        <v>28.61</v>
      </c>
      <c r="AE1575">
        <v>40.39</v>
      </c>
      <c r="AF1575">
        <f t="shared" si="24"/>
        <v>1</v>
      </c>
    </row>
    <row r="1576" spans="29:32" x14ac:dyDescent="0.25">
      <c r="AC1576">
        <v>29.65</v>
      </c>
      <c r="AE1576">
        <v>40.39</v>
      </c>
      <c r="AF1576">
        <f t="shared" si="24"/>
        <v>2</v>
      </c>
    </row>
    <row r="1577" spans="29:32" x14ac:dyDescent="0.25">
      <c r="AC1577">
        <v>29.18</v>
      </c>
      <c r="AE1577">
        <v>40.409999999999997</v>
      </c>
      <c r="AF1577">
        <f t="shared" si="24"/>
        <v>1</v>
      </c>
    </row>
    <row r="1578" spans="29:32" x14ac:dyDescent="0.25">
      <c r="AC1578">
        <v>29.16</v>
      </c>
      <c r="AE1578">
        <v>40.409999999999997</v>
      </c>
      <c r="AF1578">
        <f t="shared" si="24"/>
        <v>2</v>
      </c>
    </row>
    <row r="1579" spans="29:32" x14ac:dyDescent="0.25">
      <c r="AC1579">
        <v>31.13</v>
      </c>
      <c r="AE1579">
        <v>40.409999999999997</v>
      </c>
      <c r="AF1579">
        <f t="shared" si="24"/>
        <v>3</v>
      </c>
    </row>
    <row r="1580" spans="29:32" x14ac:dyDescent="0.25">
      <c r="AC1580">
        <v>31.31</v>
      </c>
      <c r="AE1580">
        <v>40.42</v>
      </c>
      <c r="AF1580">
        <f t="shared" si="24"/>
        <v>1</v>
      </c>
    </row>
    <row r="1581" spans="29:32" x14ac:dyDescent="0.25">
      <c r="AC1581">
        <v>31.57</v>
      </c>
      <c r="AE1581">
        <v>40.42</v>
      </c>
      <c r="AF1581">
        <f t="shared" si="24"/>
        <v>2</v>
      </c>
    </row>
    <row r="1582" spans="29:32" x14ac:dyDescent="0.25">
      <c r="AC1582">
        <v>29.96</v>
      </c>
      <c r="AE1582">
        <v>40.43</v>
      </c>
      <c r="AF1582">
        <f t="shared" si="24"/>
        <v>1</v>
      </c>
    </row>
    <row r="1583" spans="29:32" x14ac:dyDescent="0.25">
      <c r="AC1583">
        <v>29.96</v>
      </c>
      <c r="AE1583">
        <v>40.43</v>
      </c>
      <c r="AF1583">
        <f t="shared" si="24"/>
        <v>2</v>
      </c>
    </row>
    <row r="1584" spans="29:32" x14ac:dyDescent="0.25">
      <c r="AC1584">
        <v>30.78</v>
      </c>
      <c r="AE1584">
        <v>40.450000000000003</v>
      </c>
      <c r="AF1584">
        <f t="shared" si="24"/>
        <v>1</v>
      </c>
    </row>
    <row r="1585" spans="29:32" x14ac:dyDescent="0.25">
      <c r="AC1585">
        <v>32.24</v>
      </c>
      <c r="AE1585">
        <v>40.46</v>
      </c>
      <c r="AF1585">
        <f t="shared" si="24"/>
        <v>1</v>
      </c>
    </row>
    <row r="1586" spans="29:32" x14ac:dyDescent="0.25">
      <c r="AC1586">
        <v>32.729999999999997</v>
      </c>
      <c r="AE1586">
        <v>40.47</v>
      </c>
      <c r="AF1586">
        <f t="shared" si="24"/>
        <v>1</v>
      </c>
    </row>
    <row r="1587" spans="29:32" x14ac:dyDescent="0.25">
      <c r="AC1587">
        <v>31.95</v>
      </c>
      <c r="AE1587">
        <v>40.479999999999997</v>
      </c>
      <c r="AF1587">
        <f t="shared" si="24"/>
        <v>1</v>
      </c>
    </row>
    <row r="1588" spans="29:32" x14ac:dyDescent="0.25">
      <c r="AC1588">
        <v>30.12</v>
      </c>
      <c r="AE1588">
        <v>40.49</v>
      </c>
      <c r="AF1588">
        <f t="shared" si="24"/>
        <v>1</v>
      </c>
    </row>
    <row r="1589" spans="29:32" x14ac:dyDescent="0.25">
      <c r="AC1589">
        <v>32.56</v>
      </c>
      <c r="AE1589">
        <v>40.49</v>
      </c>
      <c r="AF1589">
        <f t="shared" si="24"/>
        <v>2</v>
      </c>
    </row>
    <row r="1590" spans="29:32" x14ac:dyDescent="0.25">
      <c r="AC1590">
        <v>33.130000000000003</v>
      </c>
      <c r="AE1590">
        <v>40.520000000000003</v>
      </c>
      <c r="AF1590">
        <f t="shared" si="24"/>
        <v>1</v>
      </c>
    </row>
    <row r="1591" spans="29:32" x14ac:dyDescent="0.25">
      <c r="AC1591">
        <v>30.75</v>
      </c>
      <c r="AE1591">
        <v>40.53</v>
      </c>
      <c r="AF1591">
        <f t="shared" si="24"/>
        <v>1</v>
      </c>
    </row>
    <row r="1592" spans="29:32" x14ac:dyDescent="0.25">
      <c r="AC1592">
        <v>32.11</v>
      </c>
      <c r="AE1592">
        <v>40.53</v>
      </c>
      <c r="AF1592">
        <f t="shared" si="24"/>
        <v>2</v>
      </c>
    </row>
    <row r="1593" spans="29:32" x14ac:dyDescent="0.25">
      <c r="AC1593">
        <v>32.340000000000003</v>
      </c>
      <c r="AE1593">
        <v>40.54</v>
      </c>
      <c r="AF1593">
        <f t="shared" si="24"/>
        <v>1</v>
      </c>
    </row>
    <row r="1594" spans="29:32" x14ac:dyDescent="0.25">
      <c r="AC1594">
        <v>33.479999999999997</v>
      </c>
      <c r="AE1594">
        <v>40.54</v>
      </c>
      <c r="AF1594">
        <f t="shared" si="24"/>
        <v>2</v>
      </c>
    </row>
    <row r="1595" spans="29:32" x14ac:dyDescent="0.25">
      <c r="AC1595">
        <v>33.64</v>
      </c>
      <c r="AE1595">
        <v>40.549999999999997</v>
      </c>
      <c r="AF1595">
        <f t="shared" si="24"/>
        <v>1</v>
      </c>
    </row>
    <row r="1596" spans="29:32" x14ac:dyDescent="0.25">
      <c r="AC1596">
        <v>33.57</v>
      </c>
      <c r="AE1596">
        <v>40.549999999999997</v>
      </c>
      <c r="AF1596">
        <f t="shared" si="24"/>
        <v>2</v>
      </c>
    </row>
    <row r="1597" spans="29:32" x14ac:dyDescent="0.25">
      <c r="AC1597">
        <v>32.119999999999997</v>
      </c>
      <c r="AE1597">
        <v>40.549999999999997</v>
      </c>
      <c r="AF1597">
        <f t="shared" si="24"/>
        <v>3</v>
      </c>
    </row>
    <row r="1598" spans="29:32" x14ac:dyDescent="0.25">
      <c r="AC1598">
        <v>34.04</v>
      </c>
      <c r="AE1598">
        <v>40.56</v>
      </c>
      <c r="AF1598">
        <f t="shared" si="24"/>
        <v>1</v>
      </c>
    </row>
    <row r="1599" spans="29:32" x14ac:dyDescent="0.25">
      <c r="AC1599">
        <v>32.29</v>
      </c>
      <c r="AE1599">
        <v>40.56</v>
      </c>
      <c r="AF1599">
        <f t="shared" si="24"/>
        <v>2</v>
      </c>
    </row>
    <row r="1600" spans="29:32" x14ac:dyDescent="0.25">
      <c r="AC1600">
        <v>32.950000000000003</v>
      </c>
      <c r="AE1600">
        <v>40.57</v>
      </c>
      <c r="AF1600">
        <f t="shared" si="24"/>
        <v>1</v>
      </c>
    </row>
    <row r="1601" spans="29:32" x14ac:dyDescent="0.25">
      <c r="AC1601">
        <v>32.26</v>
      </c>
      <c r="AE1601">
        <v>40.57</v>
      </c>
      <c r="AF1601">
        <f t="shared" si="24"/>
        <v>2</v>
      </c>
    </row>
    <row r="1602" spans="29:32" x14ac:dyDescent="0.25">
      <c r="AC1602">
        <v>32.450000000000003</v>
      </c>
      <c r="AE1602">
        <v>40.57</v>
      </c>
      <c r="AF1602">
        <f t="shared" si="24"/>
        <v>3</v>
      </c>
    </row>
    <row r="1603" spans="29:32" x14ac:dyDescent="0.25">
      <c r="AC1603">
        <v>33.44</v>
      </c>
      <c r="AE1603">
        <v>40.58</v>
      </c>
      <c r="AF1603">
        <f t="shared" si="24"/>
        <v>1</v>
      </c>
    </row>
    <row r="1604" spans="29:32" x14ac:dyDescent="0.25">
      <c r="AC1604">
        <v>32.65</v>
      </c>
      <c r="AE1604">
        <v>40.58</v>
      </c>
      <c r="AF1604">
        <f t="shared" ref="AF1604:AF1667" si="25">IF(AE1604=AE1603,AF1603+1,1)</f>
        <v>2</v>
      </c>
    </row>
    <row r="1605" spans="29:32" x14ac:dyDescent="0.25">
      <c r="AC1605">
        <v>33.479999999999997</v>
      </c>
      <c r="AE1605">
        <v>40.58</v>
      </c>
      <c r="AF1605">
        <f t="shared" si="25"/>
        <v>3</v>
      </c>
    </row>
    <row r="1606" spans="29:32" x14ac:dyDescent="0.25">
      <c r="AC1606">
        <v>32.57</v>
      </c>
      <c r="AE1606">
        <v>40.590000000000003</v>
      </c>
      <c r="AF1606">
        <f t="shared" si="25"/>
        <v>1</v>
      </c>
    </row>
    <row r="1607" spans="29:32" x14ac:dyDescent="0.25">
      <c r="AC1607">
        <v>33.01</v>
      </c>
      <c r="AE1607">
        <v>40.6</v>
      </c>
      <c r="AF1607">
        <f t="shared" si="25"/>
        <v>1</v>
      </c>
    </row>
    <row r="1608" spans="29:32" x14ac:dyDescent="0.25">
      <c r="AC1608">
        <v>33</v>
      </c>
      <c r="AE1608">
        <v>40.6</v>
      </c>
      <c r="AF1608">
        <f t="shared" si="25"/>
        <v>2</v>
      </c>
    </row>
    <row r="1609" spans="29:32" x14ac:dyDescent="0.25">
      <c r="AC1609">
        <v>33.29</v>
      </c>
      <c r="AE1609">
        <v>40.6</v>
      </c>
      <c r="AF1609">
        <f t="shared" si="25"/>
        <v>3</v>
      </c>
    </row>
    <row r="1610" spans="29:32" x14ac:dyDescent="0.25">
      <c r="AC1610">
        <v>35.18</v>
      </c>
      <c r="AE1610">
        <v>40.6</v>
      </c>
      <c r="AF1610">
        <f t="shared" si="25"/>
        <v>4</v>
      </c>
    </row>
    <row r="1611" spans="29:32" x14ac:dyDescent="0.25">
      <c r="AC1611">
        <v>33.950000000000003</v>
      </c>
      <c r="AE1611">
        <v>40.6</v>
      </c>
      <c r="AF1611">
        <f t="shared" si="25"/>
        <v>5</v>
      </c>
    </row>
    <row r="1612" spans="29:32" x14ac:dyDescent="0.25">
      <c r="AC1612">
        <v>34.14</v>
      </c>
      <c r="AE1612">
        <v>40.61</v>
      </c>
      <c r="AF1612">
        <f t="shared" si="25"/>
        <v>1</v>
      </c>
    </row>
    <row r="1613" spans="29:32" x14ac:dyDescent="0.25">
      <c r="AC1613">
        <v>33.49</v>
      </c>
      <c r="AE1613">
        <v>40.619999999999997</v>
      </c>
      <c r="AF1613">
        <f t="shared" si="25"/>
        <v>1</v>
      </c>
    </row>
    <row r="1614" spans="29:32" x14ac:dyDescent="0.25">
      <c r="AC1614">
        <v>33.380000000000003</v>
      </c>
      <c r="AE1614">
        <v>40.619999999999997</v>
      </c>
      <c r="AF1614">
        <f t="shared" si="25"/>
        <v>2</v>
      </c>
    </row>
    <row r="1615" spans="29:32" x14ac:dyDescent="0.25">
      <c r="AC1615">
        <v>33.89</v>
      </c>
      <c r="AE1615">
        <v>40.619999999999997</v>
      </c>
      <c r="AF1615">
        <f t="shared" si="25"/>
        <v>3</v>
      </c>
    </row>
    <row r="1616" spans="29:32" x14ac:dyDescent="0.25">
      <c r="AC1616">
        <v>33.99</v>
      </c>
      <c r="AE1616">
        <v>40.64</v>
      </c>
      <c r="AF1616">
        <f t="shared" si="25"/>
        <v>1</v>
      </c>
    </row>
    <row r="1617" spans="29:32" x14ac:dyDescent="0.25">
      <c r="AC1617">
        <v>33.590000000000003</v>
      </c>
      <c r="AE1617">
        <v>40.64</v>
      </c>
      <c r="AF1617">
        <f t="shared" si="25"/>
        <v>2</v>
      </c>
    </row>
    <row r="1618" spans="29:32" x14ac:dyDescent="0.25">
      <c r="AC1618">
        <v>35.65</v>
      </c>
      <c r="AE1618">
        <v>40.64</v>
      </c>
      <c r="AF1618">
        <f t="shared" si="25"/>
        <v>3</v>
      </c>
    </row>
    <row r="1619" spans="29:32" x14ac:dyDescent="0.25">
      <c r="AC1619">
        <v>33.57</v>
      </c>
      <c r="AE1619">
        <v>40.65</v>
      </c>
      <c r="AF1619">
        <f t="shared" si="25"/>
        <v>1</v>
      </c>
    </row>
    <row r="1620" spans="29:32" x14ac:dyDescent="0.25">
      <c r="AC1620">
        <v>33.869999999999997</v>
      </c>
      <c r="AE1620">
        <v>40.65</v>
      </c>
      <c r="AF1620">
        <f t="shared" si="25"/>
        <v>2</v>
      </c>
    </row>
    <row r="1621" spans="29:32" x14ac:dyDescent="0.25">
      <c r="AC1621">
        <v>33.51</v>
      </c>
      <c r="AE1621">
        <v>40.659999999999997</v>
      </c>
      <c r="AF1621">
        <f t="shared" si="25"/>
        <v>1</v>
      </c>
    </row>
    <row r="1622" spans="29:32" x14ac:dyDescent="0.25">
      <c r="AC1622">
        <v>33.369999999999997</v>
      </c>
      <c r="AE1622">
        <v>40.659999999999997</v>
      </c>
      <c r="AF1622">
        <f t="shared" si="25"/>
        <v>2</v>
      </c>
    </row>
    <row r="1623" spans="29:32" x14ac:dyDescent="0.25">
      <c r="AC1623">
        <v>34.43</v>
      </c>
      <c r="AE1623">
        <v>40.659999999999997</v>
      </c>
      <c r="AF1623">
        <f t="shared" si="25"/>
        <v>3</v>
      </c>
    </row>
    <row r="1624" spans="29:32" x14ac:dyDescent="0.25">
      <c r="AC1624">
        <v>33.270000000000003</v>
      </c>
      <c r="AE1624">
        <v>40.659999999999997</v>
      </c>
      <c r="AF1624">
        <f t="shared" si="25"/>
        <v>4</v>
      </c>
    </row>
    <row r="1625" spans="29:32" x14ac:dyDescent="0.25">
      <c r="AC1625">
        <v>34.33</v>
      </c>
      <c r="AE1625">
        <v>40.659999999999997</v>
      </c>
      <c r="AF1625">
        <f t="shared" si="25"/>
        <v>5</v>
      </c>
    </row>
    <row r="1626" spans="29:32" x14ac:dyDescent="0.25">
      <c r="AC1626">
        <v>33.29</v>
      </c>
      <c r="AE1626">
        <v>40.659999999999997</v>
      </c>
      <c r="AF1626">
        <f t="shared" si="25"/>
        <v>6</v>
      </c>
    </row>
    <row r="1627" spans="29:32" x14ac:dyDescent="0.25">
      <c r="AC1627">
        <v>34.22</v>
      </c>
      <c r="AE1627">
        <v>40.68</v>
      </c>
      <c r="AF1627">
        <f t="shared" si="25"/>
        <v>1</v>
      </c>
    </row>
    <row r="1628" spans="29:32" x14ac:dyDescent="0.25">
      <c r="AC1628">
        <v>34.76</v>
      </c>
      <c r="AE1628">
        <v>40.68</v>
      </c>
      <c r="AF1628">
        <f t="shared" si="25"/>
        <v>2</v>
      </c>
    </row>
    <row r="1629" spans="29:32" x14ac:dyDescent="0.25">
      <c r="AC1629">
        <v>34.67</v>
      </c>
      <c r="AE1629">
        <v>40.69</v>
      </c>
      <c r="AF1629">
        <f t="shared" si="25"/>
        <v>1</v>
      </c>
    </row>
    <row r="1630" spans="29:32" x14ac:dyDescent="0.25">
      <c r="AC1630">
        <v>33.340000000000003</v>
      </c>
      <c r="AE1630">
        <v>40.700000000000003</v>
      </c>
      <c r="AF1630">
        <f t="shared" si="25"/>
        <v>1</v>
      </c>
    </row>
    <row r="1631" spans="29:32" x14ac:dyDescent="0.25">
      <c r="AC1631">
        <v>34.14</v>
      </c>
      <c r="AE1631">
        <v>40.700000000000003</v>
      </c>
      <c r="AF1631">
        <f t="shared" si="25"/>
        <v>2</v>
      </c>
    </row>
    <row r="1632" spans="29:32" x14ac:dyDescent="0.25">
      <c r="AC1632">
        <v>36.07</v>
      </c>
      <c r="AE1632">
        <v>40.700000000000003</v>
      </c>
      <c r="AF1632">
        <f t="shared" si="25"/>
        <v>3</v>
      </c>
    </row>
    <row r="1633" spans="29:32" x14ac:dyDescent="0.25">
      <c r="AC1633">
        <v>34.78</v>
      </c>
      <c r="AE1633">
        <v>40.71</v>
      </c>
      <c r="AF1633">
        <f t="shared" si="25"/>
        <v>1</v>
      </c>
    </row>
    <row r="1634" spans="29:32" x14ac:dyDescent="0.25">
      <c r="AC1634">
        <v>33.93</v>
      </c>
      <c r="AE1634">
        <v>40.72</v>
      </c>
      <c r="AF1634">
        <f t="shared" si="25"/>
        <v>1</v>
      </c>
    </row>
    <row r="1635" spans="29:32" x14ac:dyDescent="0.25">
      <c r="AC1635">
        <v>36.54</v>
      </c>
      <c r="AE1635">
        <v>40.729999999999997</v>
      </c>
      <c r="AF1635">
        <f t="shared" si="25"/>
        <v>1</v>
      </c>
    </row>
    <row r="1636" spans="29:32" x14ac:dyDescent="0.25">
      <c r="AC1636">
        <v>34.69</v>
      </c>
      <c r="AE1636">
        <v>40.729999999999997</v>
      </c>
      <c r="AF1636">
        <f t="shared" si="25"/>
        <v>2</v>
      </c>
    </row>
    <row r="1637" spans="29:32" x14ac:dyDescent="0.25">
      <c r="AC1637">
        <v>34.92</v>
      </c>
      <c r="AE1637">
        <v>40.74</v>
      </c>
      <c r="AF1637">
        <f t="shared" si="25"/>
        <v>1</v>
      </c>
    </row>
    <row r="1638" spans="29:32" x14ac:dyDescent="0.25">
      <c r="AC1638">
        <v>34.64</v>
      </c>
      <c r="AE1638">
        <v>40.74</v>
      </c>
      <c r="AF1638">
        <f t="shared" si="25"/>
        <v>2</v>
      </c>
    </row>
    <row r="1639" spans="29:32" x14ac:dyDescent="0.25">
      <c r="AC1639">
        <v>36.950000000000003</v>
      </c>
      <c r="AE1639">
        <v>40.74</v>
      </c>
      <c r="AF1639">
        <f t="shared" si="25"/>
        <v>3</v>
      </c>
    </row>
    <row r="1640" spans="29:32" x14ac:dyDescent="0.25">
      <c r="AC1640">
        <v>37.03</v>
      </c>
      <c r="AE1640">
        <v>40.74</v>
      </c>
      <c r="AF1640">
        <f t="shared" si="25"/>
        <v>4</v>
      </c>
    </row>
    <row r="1641" spans="29:32" x14ac:dyDescent="0.25">
      <c r="AC1641">
        <v>37.64</v>
      </c>
      <c r="AE1641">
        <v>40.75</v>
      </c>
      <c r="AF1641">
        <f t="shared" si="25"/>
        <v>1</v>
      </c>
    </row>
    <row r="1642" spans="29:32" x14ac:dyDescent="0.25">
      <c r="AC1642">
        <v>37.58</v>
      </c>
      <c r="AE1642">
        <v>40.76</v>
      </c>
      <c r="AF1642">
        <f t="shared" si="25"/>
        <v>1</v>
      </c>
    </row>
    <row r="1643" spans="29:32" x14ac:dyDescent="0.25">
      <c r="AC1643">
        <v>37.479999999999997</v>
      </c>
      <c r="AE1643">
        <v>40.770000000000003</v>
      </c>
      <c r="AF1643">
        <f t="shared" si="25"/>
        <v>1</v>
      </c>
    </row>
    <row r="1644" spans="29:32" x14ac:dyDescent="0.25">
      <c r="AC1644">
        <v>38.1</v>
      </c>
      <c r="AE1644">
        <v>40.770000000000003</v>
      </c>
      <c r="AF1644">
        <f t="shared" si="25"/>
        <v>2</v>
      </c>
    </row>
    <row r="1645" spans="29:32" x14ac:dyDescent="0.25">
      <c r="AC1645">
        <v>37.81</v>
      </c>
      <c r="AE1645">
        <v>40.770000000000003</v>
      </c>
      <c r="AF1645">
        <f t="shared" si="25"/>
        <v>3</v>
      </c>
    </row>
    <row r="1646" spans="29:32" x14ac:dyDescent="0.25">
      <c r="AC1646">
        <v>38.39</v>
      </c>
      <c r="AE1646">
        <v>40.78</v>
      </c>
      <c r="AF1646">
        <f t="shared" si="25"/>
        <v>1</v>
      </c>
    </row>
    <row r="1647" spans="29:32" x14ac:dyDescent="0.25">
      <c r="AC1647">
        <v>38.35</v>
      </c>
      <c r="AE1647">
        <v>40.79</v>
      </c>
      <c r="AF1647">
        <f t="shared" si="25"/>
        <v>1</v>
      </c>
    </row>
    <row r="1648" spans="29:32" x14ac:dyDescent="0.25">
      <c r="AC1648">
        <v>38.49</v>
      </c>
      <c r="AE1648">
        <v>40.799999999999997</v>
      </c>
      <c r="AF1648">
        <f t="shared" si="25"/>
        <v>1</v>
      </c>
    </row>
    <row r="1649" spans="29:32" x14ac:dyDescent="0.25">
      <c r="AC1649">
        <v>38.06</v>
      </c>
      <c r="AE1649">
        <v>40.799999999999997</v>
      </c>
      <c r="AF1649">
        <f t="shared" si="25"/>
        <v>2</v>
      </c>
    </row>
    <row r="1650" spans="29:32" x14ac:dyDescent="0.25">
      <c r="AC1650">
        <v>38.520000000000003</v>
      </c>
      <c r="AE1650">
        <v>40.799999999999997</v>
      </c>
      <c r="AF1650">
        <f t="shared" si="25"/>
        <v>3</v>
      </c>
    </row>
    <row r="1651" spans="29:32" x14ac:dyDescent="0.25">
      <c r="AC1651">
        <v>38.69</v>
      </c>
      <c r="AE1651">
        <v>40.81</v>
      </c>
      <c r="AF1651">
        <f t="shared" si="25"/>
        <v>1</v>
      </c>
    </row>
    <row r="1652" spans="29:32" x14ac:dyDescent="0.25">
      <c r="AC1652">
        <v>38.6</v>
      </c>
      <c r="AE1652">
        <v>40.83</v>
      </c>
      <c r="AF1652">
        <f t="shared" si="25"/>
        <v>1</v>
      </c>
    </row>
    <row r="1653" spans="29:32" x14ac:dyDescent="0.25">
      <c r="AC1653">
        <v>38.71</v>
      </c>
      <c r="AE1653">
        <v>40.840000000000003</v>
      </c>
      <c r="AF1653">
        <f t="shared" si="25"/>
        <v>1</v>
      </c>
    </row>
    <row r="1654" spans="29:32" x14ac:dyDescent="0.25">
      <c r="AC1654">
        <v>39.19</v>
      </c>
      <c r="AE1654">
        <v>40.840000000000003</v>
      </c>
      <c r="AF1654">
        <f t="shared" si="25"/>
        <v>2</v>
      </c>
    </row>
    <row r="1655" spans="29:32" x14ac:dyDescent="0.25">
      <c r="AC1655">
        <v>38.86</v>
      </c>
      <c r="AE1655">
        <v>40.85</v>
      </c>
      <c r="AF1655">
        <f t="shared" si="25"/>
        <v>1</v>
      </c>
    </row>
    <row r="1656" spans="29:32" x14ac:dyDescent="0.25">
      <c r="AC1656">
        <v>39.15</v>
      </c>
      <c r="AE1656">
        <v>40.880000000000003</v>
      </c>
      <c r="AF1656">
        <f t="shared" si="25"/>
        <v>1</v>
      </c>
    </row>
    <row r="1657" spans="29:32" x14ac:dyDescent="0.25">
      <c r="AC1657">
        <v>38.97</v>
      </c>
      <c r="AE1657">
        <v>40.880000000000003</v>
      </c>
      <c r="AF1657">
        <f t="shared" si="25"/>
        <v>2</v>
      </c>
    </row>
    <row r="1658" spans="29:32" x14ac:dyDescent="0.25">
      <c r="AC1658">
        <v>39.94</v>
      </c>
      <c r="AE1658">
        <v>40.89</v>
      </c>
      <c r="AF1658">
        <f t="shared" si="25"/>
        <v>1</v>
      </c>
    </row>
    <row r="1659" spans="29:32" x14ac:dyDescent="0.25">
      <c r="AC1659">
        <v>39</v>
      </c>
      <c r="AE1659">
        <v>40.9</v>
      </c>
      <c r="AF1659">
        <f t="shared" si="25"/>
        <v>1</v>
      </c>
    </row>
    <row r="1660" spans="29:32" x14ac:dyDescent="0.25">
      <c r="AC1660">
        <v>38.85</v>
      </c>
      <c r="AE1660">
        <v>40.9</v>
      </c>
      <c r="AF1660">
        <f t="shared" si="25"/>
        <v>2</v>
      </c>
    </row>
    <row r="1661" spans="29:32" x14ac:dyDescent="0.25">
      <c r="AC1661">
        <v>39.299999999999997</v>
      </c>
      <c r="AE1661">
        <v>40.9</v>
      </c>
      <c r="AF1661">
        <f t="shared" si="25"/>
        <v>3</v>
      </c>
    </row>
    <row r="1662" spans="29:32" x14ac:dyDescent="0.25">
      <c r="AC1662">
        <v>40.200000000000003</v>
      </c>
      <c r="AE1662">
        <v>40.909999999999997</v>
      </c>
      <c r="AF1662">
        <f t="shared" si="25"/>
        <v>1</v>
      </c>
    </row>
    <row r="1663" spans="29:32" x14ac:dyDescent="0.25">
      <c r="AC1663">
        <v>38.770000000000003</v>
      </c>
      <c r="AE1663">
        <v>40.93</v>
      </c>
      <c r="AF1663">
        <f t="shared" si="25"/>
        <v>1</v>
      </c>
    </row>
    <row r="1664" spans="29:32" x14ac:dyDescent="0.25">
      <c r="AC1664">
        <v>39.270000000000003</v>
      </c>
      <c r="AE1664">
        <v>40.94</v>
      </c>
      <c r="AF1664">
        <f t="shared" si="25"/>
        <v>1</v>
      </c>
    </row>
    <row r="1665" spans="29:32" x14ac:dyDescent="0.25">
      <c r="AC1665">
        <v>39.340000000000003</v>
      </c>
      <c r="AE1665">
        <v>40.94</v>
      </c>
      <c r="AF1665">
        <f t="shared" si="25"/>
        <v>2</v>
      </c>
    </row>
    <row r="1666" spans="29:32" x14ac:dyDescent="0.25">
      <c r="AC1666">
        <v>39.869999999999997</v>
      </c>
      <c r="AE1666">
        <v>40.950000000000003</v>
      </c>
      <c r="AF1666">
        <f t="shared" si="25"/>
        <v>1</v>
      </c>
    </row>
    <row r="1667" spans="29:32" x14ac:dyDescent="0.25">
      <c r="AC1667">
        <v>39.39</v>
      </c>
      <c r="AE1667">
        <v>40.950000000000003</v>
      </c>
      <c r="AF1667">
        <f t="shared" si="25"/>
        <v>2</v>
      </c>
    </row>
    <row r="1668" spans="29:32" x14ac:dyDescent="0.25">
      <c r="AC1668">
        <v>39.630000000000003</v>
      </c>
      <c r="AE1668">
        <v>40.97</v>
      </c>
      <c r="AF1668">
        <f t="shared" ref="AF1668:AF1731" si="26">IF(AE1668=AE1667,AF1667+1,1)</f>
        <v>1</v>
      </c>
    </row>
    <row r="1669" spans="29:32" x14ac:dyDescent="0.25">
      <c r="AC1669">
        <v>39.68</v>
      </c>
      <c r="AE1669">
        <v>40.97</v>
      </c>
      <c r="AF1669">
        <f t="shared" si="26"/>
        <v>2</v>
      </c>
    </row>
    <row r="1670" spans="29:32" x14ac:dyDescent="0.25">
      <c r="AC1670">
        <v>39.26</v>
      </c>
      <c r="AE1670">
        <v>40.97</v>
      </c>
      <c r="AF1670">
        <f t="shared" si="26"/>
        <v>3</v>
      </c>
    </row>
    <row r="1671" spans="29:32" x14ac:dyDescent="0.25">
      <c r="AC1671">
        <v>39.14</v>
      </c>
      <c r="AE1671">
        <v>40.97</v>
      </c>
      <c r="AF1671">
        <f t="shared" si="26"/>
        <v>4</v>
      </c>
    </row>
    <row r="1672" spans="29:32" x14ac:dyDescent="0.25">
      <c r="AC1672">
        <v>39.65</v>
      </c>
      <c r="AE1672">
        <v>40.98</v>
      </c>
      <c r="AF1672">
        <f t="shared" si="26"/>
        <v>1</v>
      </c>
    </row>
    <row r="1673" spans="29:32" x14ac:dyDescent="0.25">
      <c r="AC1673">
        <v>38.979999999999997</v>
      </c>
      <c r="AE1673">
        <v>40.99</v>
      </c>
      <c r="AF1673">
        <f t="shared" si="26"/>
        <v>1</v>
      </c>
    </row>
    <row r="1674" spans="29:32" x14ac:dyDescent="0.25">
      <c r="AC1674">
        <v>39.36</v>
      </c>
      <c r="AE1674">
        <v>40.99</v>
      </c>
      <c r="AF1674">
        <f t="shared" si="26"/>
        <v>2</v>
      </c>
    </row>
    <row r="1675" spans="29:32" x14ac:dyDescent="0.25">
      <c r="AC1675">
        <v>39.6</v>
      </c>
      <c r="AE1675">
        <v>40.99</v>
      </c>
      <c r="AF1675">
        <f t="shared" si="26"/>
        <v>3</v>
      </c>
    </row>
    <row r="1676" spans="29:32" x14ac:dyDescent="0.25">
      <c r="AC1676">
        <v>40.1</v>
      </c>
      <c r="AE1676">
        <v>41</v>
      </c>
      <c r="AF1676">
        <f t="shared" si="26"/>
        <v>1</v>
      </c>
    </row>
    <row r="1677" spans="29:32" x14ac:dyDescent="0.25">
      <c r="AC1677">
        <v>40.130000000000003</v>
      </c>
      <c r="AE1677">
        <v>41</v>
      </c>
      <c r="AF1677">
        <f t="shared" si="26"/>
        <v>2</v>
      </c>
    </row>
    <row r="1678" spans="29:32" x14ac:dyDescent="0.25">
      <c r="AC1678">
        <v>41.17</v>
      </c>
      <c r="AE1678">
        <v>41</v>
      </c>
      <c r="AF1678">
        <f t="shared" si="26"/>
        <v>3</v>
      </c>
    </row>
    <row r="1679" spans="29:32" x14ac:dyDescent="0.25">
      <c r="AC1679">
        <v>39.869999999999997</v>
      </c>
      <c r="AE1679">
        <v>41.02</v>
      </c>
      <c r="AF1679">
        <f t="shared" si="26"/>
        <v>1</v>
      </c>
    </row>
    <row r="1680" spans="29:32" x14ac:dyDescent="0.25">
      <c r="AC1680">
        <v>39.869999999999997</v>
      </c>
      <c r="AE1680">
        <v>41.02</v>
      </c>
      <c r="AF1680">
        <f t="shared" si="26"/>
        <v>2</v>
      </c>
    </row>
    <row r="1681" spans="29:32" x14ac:dyDescent="0.25">
      <c r="AC1681">
        <v>40.33</v>
      </c>
      <c r="AE1681">
        <v>41.03</v>
      </c>
      <c r="AF1681">
        <f t="shared" si="26"/>
        <v>1</v>
      </c>
    </row>
    <row r="1682" spans="29:32" x14ac:dyDescent="0.25">
      <c r="AC1682">
        <v>40.04</v>
      </c>
      <c r="AE1682">
        <v>41.03</v>
      </c>
      <c r="AF1682">
        <f t="shared" si="26"/>
        <v>2</v>
      </c>
    </row>
    <row r="1683" spans="29:32" x14ac:dyDescent="0.25">
      <c r="AC1683">
        <v>40.18</v>
      </c>
      <c r="AE1683">
        <v>41.05</v>
      </c>
      <c r="AF1683">
        <f t="shared" si="26"/>
        <v>1</v>
      </c>
    </row>
    <row r="1684" spans="29:32" x14ac:dyDescent="0.25">
      <c r="AC1684">
        <v>40.340000000000003</v>
      </c>
      <c r="AE1684">
        <v>41.06</v>
      </c>
      <c r="AF1684">
        <f t="shared" si="26"/>
        <v>1</v>
      </c>
    </row>
    <row r="1685" spans="29:32" x14ac:dyDescent="0.25">
      <c r="AC1685">
        <v>40.17</v>
      </c>
      <c r="AE1685">
        <v>41.06</v>
      </c>
      <c r="AF1685">
        <f t="shared" si="26"/>
        <v>2</v>
      </c>
    </row>
    <row r="1686" spans="29:32" x14ac:dyDescent="0.25">
      <c r="AC1686">
        <v>40.07</v>
      </c>
      <c r="AE1686">
        <v>41.06</v>
      </c>
      <c r="AF1686">
        <f t="shared" si="26"/>
        <v>3</v>
      </c>
    </row>
    <row r="1687" spans="29:32" x14ac:dyDescent="0.25">
      <c r="AC1687">
        <v>40.270000000000003</v>
      </c>
      <c r="AE1687">
        <v>41.07</v>
      </c>
      <c r="AF1687">
        <f t="shared" si="26"/>
        <v>1</v>
      </c>
    </row>
    <row r="1688" spans="29:32" x14ac:dyDescent="0.25">
      <c r="AC1688">
        <v>40.28</v>
      </c>
      <c r="AE1688">
        <v>41.08</v>
      </c>
      <c r="AF1688">
        <f t="shared" si="26"/>
        <v>1</v>
      </c>
    </row>
    <row r="1689" spans="29:32" x14ac:dyDescent="0.25">
      <c r="AC1689">
        <v>40.69</v>
      </c>
      <c r="AE1689">
        <v>41.08</v>
      </c>
      <c r="AF1689">
        <f t="shared" si="26"/>
        <v>2</v>
      </c>
    </row>
    <row r="1690" spans="29:32" x14ac:dyDescent="0.25">
      <c r="AC1690">
        <v>39.729999999999997</v>
      </c>
      <c r="AE1690">
        <v>41.08</v>
      </c>
      <c r="AF1690">
        <f t="shared" si="26"/>
        <v>3</v>
      </c>
    </row>
    <row r="1691" spans="29:32" x14ac:dyDescent="0.25">
      <c r="AC1691">
        <v>40.57</v>
      </c>
      <c r="AE1691">
        <v>41.08</v>
      </c>
      <c r="AF1691">
        <f t="shared" si="26"/>
        <v>4</v>
      </c>
    </row>
    <row r="1692" spans="29:32" x14ac:dyDescent="0.25">
      <c r="AC1692">
        <v>40.56</v>
      </c>
      <c r="AE1692">
        <v>41.09</v>
      </c>
      <c r="AF1692">
        <f t="shared" si="26"/>
        <v>1</v>
      </c>
    </row>
    <row r="1693" spans="29:32" x14ac:dyDescent="0.25">
      <c r="AC1693">
        <v>40.58</v>
      </c>
      <c r="AE1693">
        <v>41.09</v>
      </c>
      <c r="AF1693">
        <f t="shared" si="26"/>
        <v>2</v>
      </c>
    </row>
    <row r="1694" spans="29:32" x14ac:dyDescent="0.25">
      <c r="AC1694">
        <v>40.06</v>
      </c>
      <c r="AE1694">
        <v>41.1</v>
      </c>
      <c r="AF1694">
        <f t="shared" si="26"/>
        <v>1</v>
      </c>
    </row>
    <row r="1695" spans="29:32" x14ac:dyDescent="0.25">
      <c r="AC1695">
        <v>40.65</v>
      </c>
      <c r="AE1695">
        <v>41.1</v>
      </c>
      <c r="AF1695">
        <f t="shared" si="26"/>
        <v>2</v>
      </c>
    </row>
    <row r="1696" spans="29:32" x14ac:dyDescent="0.25">
      <c r="AC1696">
        <v>40.94</v>
      </c>
      <c r="AE1696">
        <v>41.11</v>
      </c>
      <c r="AF1696">
        <f t="shared" si="26"/>
        <v>1</v>
      </c>
    </row>
    <row r="1697" spans="29:32" x14ac:dyDescent="0.25">
      <c r="AC1697">
        <v>40.58</v>
      </c>
      <c r="AE1697">
        <v>41.12</v>
      </c>
      <c r="AF1697">
        <f t="shared" si="26"/>
        <v>1</v>
      </c>
    </row>
    <row r="1698" spans="29:32" x14ac:dyDescent="0.25">
      <c r="AC1698">
        <v>41.19</v>
      </c>
      <c r="AE1698">
        <v>41.13</v>
      </c>
      <c r="AF1698">
        <f t="shared" si="26"/>
        <v>1</v>
      </c>
    </row>
    <row r="1699" spans="29:32" x14ac:dyDescent="0.25">
      <c r="AC1699">
        <v>40.770000000000003</v>
      </c>
      <c r="AE1699">
        <v>41.13</v>
      </c>
      <c r="AF1699">
        <f t="shared" si="26"/>
        <v>2</v>
      </c>
    </row>
    <row r="1700" spans="29:32" x14ac:dyDescent="0.25">
      <c r="AC1700">
        <v>40.75</v>
      </c>
      <c r="AE1700">
        <v>41.13</v>
      </c>
      <c r="AF1700">
        <f t="shared" si="26"/>
        <v>3</v>
      </c>
    </row>
    <row r="1701" spans="29:32" x14ac:dyDescent="0.25">
      <c r="AC1701">
        <v>40.22</v>
      </c>
      <c r="AE1701">
        <v>41.14</v>
      </c>
      <c r="AF1701">
        <f t="shared" si="26"/>
        <v>1</v>
      </c>
    </row>
    <row r="1702" spans="29:32" x14ac:dyDescent="0.25">
      <c r="AC1702">
        <v>40.950000000000003</v>
      </c>
      <c r="AE1702">
        <v>41.14</v>
      </c>
      <c r="AF1702">
        <f t="shared" si="26"/>
        <v>2</v>
      </c>
    </row>
    <row r="1703" spans="29:32" x14ac:dyDescent="0.25">
      <c r="AC1703">
        <v>41.02</v>
      </c>
      <c r="AE1703">
        <v>41.16</v>
      </c>
      <c r="AF1703">
        <f t="shared" si="26"/>
        <v>1</v>
      </c>
    </row>
    <row r="1704" spans="29:32" x14ac:dyDescent="0.25">
      <c r="AC1704">
        <v>40.97</v>
      </c>
      <c r="AE1704">
        <v>41.17</v>
      </c>
      <c r="AF1704">
        <f t="shared" si="26"/>
        <v>1</v>
      </c>
    </row>
    <row r="1705" spans="29:32" x14ac:dyDescent="0.25">
      <c r="AC1705">
        <v>41.23</v>
      </c>
      <c r="AE1705">
        <v>41.17</v>
      </c>
      <c r="AF1705">
        <f t="shared" si="26"/>
        <v>2</v>
      </c>
    </row>
    <row r="1706" spans="29:32" x14ac:dyDescent="0.25">
      <c r="AC1706">
        <v>41.2</v>
      </c>
      <c r="AE1706">
        <v>41.18</v>
      </c>
      <c r="AF1706">
        <f t="shared" si="26"/>
        <v>1</v>
      </c>
    </row>
    <row r="1707" spans="29:32" x14ac:dyDescent="0.25">
      <c r="AC1707">
        <v>40.49</v>
      </c>
      <c r="AE1707">
        <v>41.18</v>
      </c>
      <c r="AF1707">
        <f t="shared" si="26"/>
        <v>2</v>
      </c>
    </row>
    <row r="1708" spans="29:32" x14ac:dyDescent="0.25">
      <c r="AC1708">
        <v>40.64</v>
      </c>
      <c r="AE1708">
        <v>41.19</v>
      </c>
      <c r="AF1708">
        <f t="shared" si="26"/>
        <v>1</v>
      </c>
    </row>
    <row r="1709" spans="29:32" x14ac:dyDescent="0.25">
      <c r="AC1709">
        <v>40.53</v>
      </c>
      <c r="AE1709">
        <v>41.19</v>
      </c>
      <c r="AF1709">
        <f t="shared" si="26"/>
        <v>2</v>
      </c>
    </row>
    <row r="1710" spans="29:32" x14ac:dyDescent="0.25">
      <c r="AC1710">
        <v>40.85</v>
      </c>
      <c r="AE1710">
        <v>41.19</v>
      </c>
      <c r="AF1710">
        <f t="shared" si="26"/>
        <v>3</v>
      </c>
    </row>
    <row r="1711" spans="29:32" x14ac:dyDescent="0.25">
      <c r="AC1711">
        <v>41.18</v>
      </c>
      <c r="AE1711">
        <v>41.19</v>
      </c>
      <c r="AF1711">
        <f t="shared" si="26"/>
        <v>4</v>
      </c>
    </row>
    <row r="1712" spans="29:32" x14ac:dyDescent="0.25">
      <c r="AC1712">
        <v>41.38</v>
      </c>
      <c r="AE1712">
        <v>41.2</v>
      </c>
      <c r="AF1712">
        <f t="shared" si="26"/>
        <v>1</v>
      </c>
    </row>
    <row r="1713" spans="29:32" x14ac:dyDescent="0.25">
      <c r="AC1713">
        <v>41.08</v>
      </c>
      <c r="AE1713">
        <v>41.2</v>
      </c>
      <c r="AF1713">
        <f t="shared" si="26"/>
        <v>2</v>
      </c>
    </row>
    <row r="1714" spans="29:32" x14ac:dyDescent="0.25">
      <c r="AC1714">
        <v>40.53</v>
      </c>
      <c r="AE1714">
        <v>41.21</v>
      </c>
      <c r="AF1714">
        <f t="shared" si="26"/>
        <v>1</v>
      </c>
    </row>
    <row r="1715" spans="29:32" x14ac:dyDescent="0.25">
      <c r="AC1715">
        <v>41.35</v>
      </c>
      <c r="AE1715">
        <v>41.21</v>
      </c>
      <c r="AF1715">
        <f t="shared" si="26"/>
        <v>2</v>
      </c>
    </row>
    <row r="1716" spans="29:32" x14ac:dyDescent="0.25">
      <c r="AC1716">
        <v>41.31</v>
      </c>
      <c r="AE1716">
        <v>41.21</v>
      </c>
      <c r="AF1716">
        <f t="shared" si="26"/>
        <v>3</v>
      </c>
    </row>
    <row r="1717" spans="29:32" x14ac:dyDescent="0.25">
      <c r="AC1717">
        <v>41.78</v>
      </c>
      <c r="AE1717">
        <v>41.22</v>
      </c>
      <c r="AF1717">
        <f t="shared" si="26"/>
        <v>1</v>
      </c>
    </row>
    <row r="1718" spans="29:32" x14ac:dyDescent="0.25">
      <c r="AC1718">
        <v>41.88</v>
      </c>
      <c r="AE1718">
        <v>41.22</v>
      </c>
      <c r="AF1718">
        <f t="shared" si="26"/>
        <v>2</v>
      </c>
    </row>
    <row r="1719" spans="29:32" x14ac:dyDescent="0.25">
      <c r="AC1719">
        <v>40.9</v>
      </c>
      <c r="AE1719">
        <v>41.23</v>
      </c>
      <c r="AF1719">
        <f t="shared" si="26"/>
        <v>1</v>
      </c>
    </row>
    <row r="1720" spans="29:32" x14ac:dyDescent="0.25">
      <c r="AC1720">
        <v>41.35</v>
      </c>
      <c r="AE1720">
        <v>41.23</v>
      </c>
      <c r="AF1720">
        <f t="shared" si="26"/>
        <v>2</v>
      </c>
    </row>
    <row r="1721" spans="29:32" x14ac:dyDescent="0.25">
      <c r="AC1721">
        <v>41.66</v>
      </c>
      <c r="AE1721">
        <v>41.23</v>
      </c>
      <c r="AF1721">
        <f t="shared" si="26"/>
        <v>3</v>
      </c>
    </row>
    <row r="1722" spans="29:32" x14ac:dyDescent="0.25">
      <c r="AC1722">
        <v>41.3</v>
      </c>
      <c r="AE1722">
        <v>41.23</v>
      </c>
      <c r="AF1722">
        <f t="shared" si="26"/>
        <v>4</v>
      </c>
    </row>
    <row r="1723" spans="29:32" x14ac:dyDescent="0.25">
      <c r="AC1723">
        <v>41.47</v>
      </c>
      <c r="AE1723">
        <v>41.24</v>
      </c>
      <c r="AF1723">
        <f t="shared" si="26"/>
        <v>1</v>
      </c>
    </row>
    <row r="1724" spans="29:32" x14ac:dyDescent="0.25">
      <c r="AC1724">
        <v>41.69</v>
      </c>
      <c r="AE1724">
        <v>41.24</v>
      </c>
      <c r="AF1724">
        <f t="shared" si="26"/>
        <v>2</v>
      </c>
    </row>
    <row r="1725" spans="29:32" x14ac:dyDescent="0.25">
      <c r="AC1725">
        <v>41.25</v>
      </c>
      <c r="AE1725">
        <v>41.25</v>
      </c>
      <c r="AF1725">
        <f t="shared" si="26"/>
        <v>1</v>
      </c>
    </row>
    <row r="1726" spans="29:32" x14ac:dyDescent="0.25">
      <c r="AC1726">
        <v>42.27</v>
      </c>
      <c r="AE1726">
        <v>41.25</v>
      </c>
      <c r="AF1726">
        <f t="shared" si="26"/>
        <v>2</v>
      </c>
    </row>
    <row r="1727" spans="29:32" x14ac:dyDescent="0.25">
      <c r="AC1727">
        <v>41.55</v>
      </c>
      <c r="AE1727">
        <v>41.25</v>
      </c>
      <c r="AF1727">
        <f t="shared" si="26"/>
        <v>3</v>
      </c>
    </row>
    <row r="1728" spans="29:32" x14ac:dyDescent="0.25">
      <c r="AC1728">
        <v>41.66</v>
      </c>
      <c r="AE1728">
        <v>41.25</v>
      </c>
      <c r="AF1728">
        <f t="shared" si="26"/>
        <v>4</v>
      </c>
    </row>
    <row r="1729" spans="29:32" x14ac:dyDescent="0.25">
      <c r="AC1729">
        <v>42.19</v>
      </c>
      <c r="AE1729">
        <v>41.26</v>
      </c>
      <c r="AF1729">
        <f t="shared" si="26"/>
        <v>1</v>
      </c>
    </row>
    <row r="1730" spans="29:32" x14ac:dyDescent="0.25">
      <c r="AC1730">
        <v>42.38</v>
      </c>
      <c r="AE1730">
        <v>41.28</v>
      </c>
      <c r="AF1730">
        <f t="shared" si="26"/>
        <v>1</v>
      </c>
    </row>
    <row r="1731" spans="29:32" x14ac:dyDescent="0.25">
      <c r="AC1731">
        <v>41.64</v>
      </c>
      <c r="AE1731">
        <v>41.28</v>
      </c>
      <c r="AF1731">
        <f t="shared" si="26"/>
        <v>2</v>
      </c>
    </row>
    <row r="1732" spans="29:32" x14ac:dyDescent="0.25">
      <c r="AC1732">
        <v>42.07</v>
      </c>
      <c r="AE1732">
        <v>41.28</v>
      </c>
      <c r="AF1732">
        <f t="shared" ref="AF1732:AF1795" si="27">IF(AE1732=AE1731,AF1731+1,1)</f>
        <v>3</v>
      </c>
    </row>
    <row r="1733" spans="29:32" x14ac:dyDescent="0.25">
      <c r="AC1733">
        <v>42.22</v>
      </c>
      <c r="AE1733">
        <v>41.28</v>
      </c>
      <c r="AF1733">
        <f t="shared" si="27"/>
        <v>4</v>
      </c>
    </row>
    <row r="1734" spans="29:32" x14ac:dyDescent="0.25">
      <c r="AC1734">
        <v>42.49</v>
      </c>
      <c r="AE1734">
        <v>41.29</v>
      </c>
      <c r="AF1734">
        <f t="shared" si="27"/>
        <v>1</v>
      </c>
    </row>
    <row r="1735" spans="29:32" x14ac:dyDescent="0.25">
      <c r="AC1735">
        <v>42.08</v>
      </c>
      <c r="AE1735">
        <v>41.29</v>
      </c>
      <c r="AF1735">
        <f t="shared" si="27"/>
        <v>2</v>
      </c>
    </row>
    <row r="1736" spans="29:32" x14ac:dyDescent="0.25">
      <c r="AC1736">
        <v>42.26</v>
      </c>
      <c r="AE1736">
        <v>41.3</v>
      </c>
      <c r="AF1736">
        <f t="shared" si="27"/>
        <v>1</v>
      </c>
    </row>
    <row r="1737" spans="29:32" x14ac:dyDescent="0.25">
      <c r="AC1737">
        <v>42.7</v>
      </c>
      <c r="AE1737">
        <v>41.3</v>
      </c>
      <c r="AF1737">
        <f t="shared" si="27"/>
        <v>2</v>
      </c>
    </row>
    <row r="1738" spans="29:32" x14ac:dyDescent="0.25">
      <c r="AC1738">
        <v>42.52</v>
      </c>
      <c r="AE1738">
        <v>41.3</v>
      </c>
      <c r="AF1738">
        <f t="shared" si="27"/>
        <v>3</v>
      </c>
    </row>
    <row r="1739" spans="29:32" x14ac:dyDescent="0.25">
      <c r="AC1739">
        <v>42.04</v>
      </c>
      <c r="AE1739">
        <v>41.31</v>
      </c>
      <c r="AF1739">
        <f t="shared" si="27"/>
        <v>1</v>
      </c>
    </row>
    <row r="1740" spans="29:32" x14ac:dyDescent="0.25">
      <c r="AC1740">
        <v>42.86</v>
      </c>
      <c r="AE1740">
        <v>41.31</v>
      </c>
      <c r="AF1740">
        <f t="shared" si="27"/>
        <v>2</v>
      </c>
    </row>
    <row r="1741" spans="29:32" x14ac:dyDescent="0.25">
      <c r="AC1741">
        <v>42.52</v>
      </c>
      <c r="AE1741">
        <v>41.31</v>
      </c>
      <c r="AF1741">
        <f t="shared" si="27"/>
        <v>3</v>
      </c>
    </row>
    <row r="1742" spans="29:32" x14ac:dyDescent="0.25">
      <c r="AC1742">
        <v>42.81</v>
      </c>
      <c r="AE1742">
        <v>41.31</v>
      </c>
      <c r="AF1742">
        <f t="shared" si="27"/>
        <v>4</v>
      </c>
    </row>
    <row r="1743" spans="29:32" x14ac:dyDescent="0.25">
      <c r="AC1743">
        <v>42.63</v>
      </c>
      <c r="AE1743">
        <v>41.31</v>
      </c>
      <c r="AF1743">
        <f t="shared" si="27"/>
        <v>5</v>
      </c>
    </row>
    <row r="1744" spans="29:32" x14ac:dyDescent="0.25">
      <c r="AC1744">
        <v>42.56</v>
      </c>
      <c r="AE1744">
        <v>41.31</v>
      </c>
      <c r="AF1744">
        <f t="shared" si="27"/>
        <v>6</v>
      </c>
    </row>
    <row r="1745" spans="29:32" x14ac:dyDescent="0.25">
      <c r="AC1745">
        <v>42.84</v>
      </c>
      <c r="AE1745">
        <v>41.32</v>
      </c>
      <c r="AF1745">
        <f t="shared" si="27"/>
        <v>1</v>
      </c>
    </row>
    <row r="1746" spans="29:32" x14ac:dyDescent="0.25">
      <c r="AC1746">
        <v>42.83</v>
      </c>
      <c r="AE1746">
        <v>41.32</v>
      </c>
      <c r="AF1746">
        <f t="shared" si="27"/>
        <v>2</v>
      </c>
    </row>
    <row r="1747" spans="29:32" x14ac:dyDescent="0.25">
      <c r="AC1747">
        <v>42.91</v>
      </c>
      <c r="AE1747">
        <v>41.33</v>
      </c>
      <c r="AF1747">
        <f t="shared" si="27"/>
        <v>1</v>
      </c>
    </row>
    <row r="1748" spans="29:32" x14ac:dyDescent="0.25">
      <c r="AC1748">
        <v>42.95</v>
      </c>
      <c r="AE1748">
        <v>41.33</v>
      </c>
      <c r="AF1748">
        <f t="shared" si="27"/>
        <v>2</v>
      </c>
    </row>
    <row r="1749" spans="29:32" x14ac:dyDescent="0.25">
      <c r="AC1749">
        <v>43.06</v>
      </c>
      <c r="AE1749">
        <v>41.35</v>
      </c>
      <c r="AF1749">
        <f t="shared" si="27"/>
        <v>1</v>
      </c>
    </row>
    <row r="1750" spans="29:32" x14ac:dyDescent="0.25">
      <c r="AC1750">
        <v>44.11</v>
      </c>
      <c r="AE1750">
        <v>41.35</v>
      </c>
      <c r="AF1750">
        <f t="shared" si="27"/>
        <v>2</v>
      </c>
    </row>
    <row r="1751" spans="29:32" x14ac:dyDescent="0.25">
      <c r="AC1751">
        <v>43.93</v>
      </c>
      <c r="AE1751">
        <v>41.35</v>
      </c>
      <c r="AF1751">
        <f t="shared" si="27"/>
        <v>3</v>
      </c>
    </row>
    <row r="1752" spans="29:32" x14ac:dyDescent="0.25">
      <c r="AC1752">
        <v>44.44</v>
      </c>
      <c r="AE1752">
        <v>41.35</v>
      </c>
      <c r="AF1752">
        <f t="shared" si="27"/>
        <v>4</v>
      </c>
    </row>
    <row r="1753" spans="29:32" x14ac:dyDescent="0.25">
      <c r="AC1753">
        <v>45.34</v>
      </c>
      <c r="AE1753">
        <v>41.37</v>
      </c>
      <c r="AF1753">
        <f t="shared" si="27"/>
        <v>1</v>
      </c>
    </row>
    <row r="1754" spans="29:32" x14ac:dyDescent="0.25">
      <c r="AC1754">
        <v>46.52</v>
      </c>
      <c r="AE1754">
        <v>41.37</v>
      </c>
      <c r="AF1754">
        <f t="shared" si="27"/>
        <v>2</v>
      </c>
    </row>
    <row r="1755" spans="29:32" x14ac:dyDescent="0.25">
      <c r="AC1755">
        <v>46.76</v>
      </c>
      <c r="AE1755">
        <v>41.38</v>
      </c>
      <c r="AF1755">
        <f t="shared" si="27"/>
        <v>1</v>
      </c>
    </row>
    <row r="1756" spans="29:32" x14ac:dyDescent="0.25">
      <c r="AC1756">
        <v>47.14</v>
      </c>
      <c r="AE1756">
        <v>41.38</v>
      </c>
      <c r="AF1756">
        <f t="shared" si="27"/>
        <v>2</v>
      </c>
    </row>
    <row r="1757" spans="29:32" x14ac:dyDescent="0.25">
      <c r="AC1757">
        <v>48.04</v>
      </c>
      <c r="AE1757">
        <v>41.38</v>
      </c>
      <c r="AF1757">
        <f t="shared" si="27"/>
        <v>3</v>
      </c>
    </row>
    <row r="1758" spans="29:32" x14ac:dyDescent="0.25">
      <c r="AC1758">
        <v>48.15</v>
      </c>
      <c r="AE1758">
        <v>41.39</v>
      </c>
      <c r="AF1758">
        <f t="shared" si="27"/>
        <v>1</v>
      </c>
    </row>
    <row r="1759" spans="29:32" x14ac:dyDescent="0.25">
      <c r="AC1759" cm="1">
        <f t="array" ref="AC1759:AC2009">W2:W252</f>
        <v>16.079999999999998</v>
      </c>
      <c r="AE1759">
        <v>41.4</v>
      </c>
      <c r="AF1759">
        <f t="shared" si="27"/>
        <v>1</v>
      </c>
    </row>
    <row r="1760" spans="29:32" x14ac:dyDescent="0.25">
      <c r="AC1760">
        <v>16.350000000000001</v>
      </c>
      <c r="AE1760">
        <v>41.4</v>
      </c>
      <c r="AF1760">
        <f t="shared" si="27"/>
        <v>2</v>
      </c>
    </row>
    <row r="1761" spans="29:32" x14ac:dyDescent="0.25">
      <c r="AC1761">
        <v>16.690000000000001</v>
      </c>
      <c r="AE1761">
        <v>41.4</v>
      </c>
      <c r="AF1761">
        <f t="shared" si="27"/>
        <v>3</v>
      </c>
    </row>
    <row r="1762" spans="29:32" x14ac:dyDescent="0.25">
      <c r="AC1762">
        <v>17.899999999999999</v>
      </c>
      <c r="AE1762">
        <v>41.4</v>
      </c>
      <c r="AF1762">
        <f t="shared" si="27"/>
        <v>4</v>
      </c>
    </row>
    <row r="1763" spans="29:32" x14ac:dyDescent="0.25">
      <c r="AC1763">
        <v>17.96</v>
      </c>
      <c r="AE1763">
        <v>41.41</v>
      </c>
      <c r="AF1763">
        <f t="shared" si="27"/>
        <v>1</v>
      </c>
    </row>
    <row r="1764" spans="29:32" x14ac:dyDescent="0.25">
      <c r="AC1764">
        <v>17.39</v>
      </c>
      <c r="AE1764">
        <v>41.41</v>
      </c>
      <c r="AF1764">
        <f t="shared" si="27"/>
        <v>2</v>
      </c>
    </row>
    <row r="1765" spans="29:32" x14ac:dyDescent="0.25">
      <c r="AC1765">
        <v>17.95</v>
      </c>
      <c r="AE1765">
        <v>41.42</v>
      </c>
      <c r="AF1765">
        <f t="shared" si="27"/>
        <v>1</v>
      </c>
    </row>
    <row r="1766" spans="29:32" x14ac:dyDescent="0.25">
      <c r="AC1766">
        <v>17.53</v>
      </c>
      <c r="AE1766">
        <v>41.42</v>
      </c>
      <c r="AF1766">
        <f t="shared" si="27"/>
        <v>2</v>
      </c>
    </row>
    <row r="1767" spans="29:32" x14ac:dyDescent="0.25">
      <c r="AC1767">
        <v>18.059999999999999</v>
      </c>
      <c r="AE1767">
        <v>41.42</v>
      </c>
      <c r="AF1767">
        <f t="shared" si="27"/>
        <v>3</v>
      </c>
    </row>
    <row r="1768" spans="29:32" x14ac:dyDescent="0.25">
      <c r="AC1768">
        <v>17.82</v>
      </c>
      <c r="AE1768">
        <v>41.42</v>
      </c>
      <c r="AF1768">
        <f t="shared" si="27"/>
        <v>4</v>
      </c>
    </row>
    <row r="1769" spans="29:32" x14ac:dyDescent="0.25">
      <c r="AC1769">
        <v>18.170000000000002</v>
      </c>
      <c r="AE1769">
        <v>41.43</v>
      </c>
      <c r="AF1769">
        <f t="shared" si="27"/>
        <v>1</v>
      </c>
    </row>
    <row r="1770" spans="29:32" x14ac:dyDescent="0.25">
      <c r="AC1770">
        <v>18.739999999999998</v>
      </c>
      <c r="AE1770">
        <v>41.43</v>
      </c>
      <c r="AF1770">
        <f t="shared" si="27"/>
        <v>2</v>
      </c>
    </row>
    <row r="1771" spans="29:32" x14ac:dyDescent="0.25">
      <c r="AC1771">
        <v>17.88</v>
      </c>
      <c r="AE1771">
        <v>41.45</v>
      </c>
      <c r="AF1771">
        <f t="shared" si="27"/>
        <v>1</v>
      </c>
    </row>
    <row r="1772" spans="29:32" x14ac:dyDescent="0.25">
      <c r="AC1772">
        <v>18.43</v>
      </c>
      <c r="AE1772">
        <v>41.46</v>
      </c>
      <c r="AF1772">
        <f t="shared" si="27"/>
        <v>1</v>
      </c>
    </row>
    <row r="1773" spans="29:32" x14ac:dyDescent="0.25">
      <c r="AC1773">
        <v>18.559999999999999</v>
      </c>
      <c r="AE1773">
        <v>41.47</v>
      </c>
      <c r="AF1773">
        <f t="shared" si="27"/>
        <v>1</v>
      </c>
    </row>
    <row r="1774" spans="29:32" x14ac:dyDescent="0.25">
      <c r="AC1774">
        <v>18.96</v>
      </c>
      <c r="AE1774">
        <v>41.47</v>
      </c>
      <c r="AF1774">
        <f t="shared" si="27"/>
        <v>2</v>
      </c>
    </row>
    <row r="1775" spans="29:32" x14ac:dyDescent="0.25">
      <c r="AC1775">
        <v>18.239999999999998</v>
      </c>
      <c r="AE1775">
        <v>41.47</v>
      </c>
      <c r="AF1775">
        <f t="shared" si="27"/>
        <v>3</v>
      </c>
    </row>
    <row r="1776" spans="29:32" x14ac:dyDescent="0.25">
      <c r="AC1776">
        <v>17.98</v>
      </c>
      <c r="AE1776">
        <v>41.47</v>
      </c>
      <c r="AF1776">
        <f t="shared" si="27"/>
        <v>4</v>
      </c>
    </row>
    <row r="1777" spans="29:32" x14ac:dyDescent="0.25">
      <c r="AC1777">
        <v>17.559999999999999</v>
      </c>
      <c r="AE1777">
        <v>41.48</v>
      </c>
      <c r="AF1777">
        <f t="shared" si="27"/>
        <v>1</v>
      </c>
    </row>
    <row r="1778" spans="29:32" x14ac:dyDescent="0.25">
      <c r="AC1778">
        <v>18.72</v>
      </c>
      <c r="AE1778">
        <v>41.49</v>
      </c>
      <c r="AF1778">
        <f t="shared" si="27"/>
        <v>1</v>
      </c>
    </row>
    <row r="1779" spans="29:32" x14ac:dyDescent="0.25">
      <c r="AC1779">
        <v>19.190000000000001</v>
      </c>
      <c r="AE1779">
        <v>41.49</v>
      </c>
      <c r="AF1779">
        <f t="shared" si="27"/>
        <v>2</v>
      </c>
    </row>
    <row r="1780" spans="29:32" x14ac:dyDescent="0.25">
      <c r="AC1780">
        <v>19.05</v>
      </c>
      <c r="AE1780">
        <v>41.49</v>
      </c>
      <c r="AF1780">
        <f t="shared" si="27"/>
        <v>3</v>
      </c>
    </row>
    <row r="1781" spans="29:32" x14ac:dyDescent="0.25">
      <c r="AC1781">
        <v>18.59</v>
      </c>
      <c r="AE1781">
        <v>41.49</v>
      </c>
      <c r="AF1781">
        <f t="shared" si="27"/>
        <v>4</v>
      </c>
    </row>
    <row r="1782" spans="29:32" x14ac:dyDescent="0.25">
      <c r="AC1782">
        <v>18.93</v>
      </c>
      <c r="AE1782">
        <v>41.5</v>
      </c>
      <c r="AF1782">
        <f t="shared" si="27"/>
        <v>1</v>
      </c>
    </row>
    <row r="1783" spans="29:32" x14ac:dyDescent="0.25">
      <c r="AC1783">
        <v>17.88</v>
      </c>
      <c r="AE1783">
        <v>41.5</v>
      </c>
      <c r="AF1783">
        <f t="shared" si="27"/>
        <v>2</v>
      </c>
    </row>
    <row r="1784" spans="29:32" x14ac:dyDescent="0.25">
      <c r="AC1784">
        <v>19.239999999999998</v>
      </c>
      <c r="AE1784">
        <v>41.51</v>
      </c>
      <c r="AF1784">
        <f t="shared" si="27"/>
        <v>1</v>
      </c>
    </row>
    <row r="1785" spans="29:32" x14ac:dyDescent="0.25">
      <c r="AC1785">
        <v>18.54</v>
      </c>
      <c r="AE1785">
        <v>41.51</v>
      </c>
      <c r="AF1785">
        <f t="shared" si="27"/>
        <v>2</v>
      </c>
    </row>
    <row r="1786" spans="29:32" x14ac:dyDescent="0.25">
      <c r="AC1786">
        <v>18.420000000000002</v>
      </c>
      <c r="AE1786">
        <v>41.52</v>
      </c>
      <c r="AF1786">
        <f t="shared" si="27"/>
        <v>1</v>
      </c>
    </row>
    <row r="1787" spans="29:32" x14ac:dyDescent="0.25">
      <c r="AC1787">
        <v>18.5</v>
      </c>
      <c r="AE1787">
        <v>41.52</v>
      </c>
      <c r="AF1787">
        <f t="shared" si="27"/>
        <v>2</v>
      </c>
    </row>
    <row r="1788" spans="29:32" x14ac:dyDescent="0.25">
      <c r="AC1788">
        <v>18.739999999999998</v>
      </c>
      <c r="AE1788">
        <v>41.52</v>
      </c>
      <c r="AF1788">
        <f t="shared" si="27"/>
        <v>3</v>
      </c>
    </row>
    <row r="1789" spans="29:32" x14ac:dyDescent="0.25">
      <c r="AC1789">
        <v>19.12</v>
      </c>
      <c r="AE1789">
        <v>41.53</v>
      </c>
      <c r="AF1789">
        <f t="shared" si="27"/>
        <v>1</v>
      </c>
    </row>
    <row r="1790" spans="29:32" x14ac:dyDescent="0.25">
      <c r="AC1790">
        <v>17.899999999999999</v>
      </c>
      <c r="AE1790">
        <v>41.55</v>
      </c>
      <c r="AF1790">
        <f t="shared" si="27"/>
        <v>1</v>
      </c>
    </row>
    <row r="1791" spans="29:32" x14ac:dyDescent="0.25">
      <c r="AC1791">
        <v>18.670000000000002</v>
      </c>
      <c r="AE1791">
        <v>41.55</v>
      </c>
      <c r="AF1791">
        <f t="shared" si="27"/>
        <v>2</v>
      </c>
    </row>
    <row r="1792" spans="29:32" x14ac:dyDescent="0.25">
      <c r="AC1792">
        <v>18.96</v>
      </c>
      <c r="AE1792">
        <v>41.55</v>
      </c>
      <c r="AF1792">
        <f t="shared" si="27"/>
        <v>3</v>
      </c>
    </row>
    <row r="1793" spans="29:32" x14ac:dyDescent="0.25">
      <c r="AC1793">
        <v>18.22</v>
      </c>
      <c r="AE1793">
        <v>41.57</v>
      </c>
      <c r="AF1793">
        <f t="shared" si="27"/>
        <v>1</v>
      </c>
    </row>
    <row r="1794" spans="29:32" x14ac:dyDescent="0.25">
      <c r="AC1794">
        <v>18.39</v>
      </c>
      <c r="AE1794">
        <v>41.58</v>
      </c>
      <c r="AF1794">
        <f t="shared" si="27"/>
        <v>1</v>
      </c>
    </row>
    <row r="1795" spans="29:32" x14ac:dyDescent="0.25">
      <c r="AC1795">
        <v>18.18</v>
      </c>
      <c r="AE1795">
        <v>41.59</v>
      </c>
      <c r="AF1795">
        <f t="shared" si="27"/>
        <v>1</v>
      </c>
    </row>
    <row r="1796" spans="29:32" x14ac:dyDescent="0.25">
      <c r="AC1796">
        <v>18.75</v>
      </c>
      <c r="AE1796">
        <v>41.59</v>
      </c>
      <c r="AF1796">
        <f t="shared" ref="AF1796:AF1859" si="28">IF(AE1796=AE1795,AF1795+1,1)</f>
        <v>2</v>
      </c>
    </row>
    <row r="1797" spans="29:32" x14ac:dyDescent="0.25">
      <c r="AC1797">
        <v>18.989999999999998</v>
      </c>
      <c r="AE1797">
        <v>41.6</v>
      </c>
      <c r="AF1797">
        <f t="shared" si="28"/>
        <v>1</v>
      </c>
    </row>
    <row r="1798" spans="29:32" x14ac:dyDescent="0.25">
      <c r="AC1798">
        <v>18.399999999999999</v>
      </c>
      <c r="AE1798">
        <v>41.61</v>
      </c>
      <c r="AF1798">
        <f t="shared" si="28"/>
        <v>1</v>
      </c>
    </row>
    <row r="1799" spans="29:32" x14ac:dyDescent="0.25">
      <c r="AC1799">
        <v>19.13</v>
      </c>
      <c r="AE1799">
        <v>41.61</v>
      </c>
      <c r="AF1799">
        <f t="shared" si="28"/>
        <v>2</v>
      </c>
    </row>
    <row r="1800" spans="29:32" x14ac:dyDescent="0.25">
      <c r="AC1800">
        <v>19.7</v>
      </c>
      <c r="AE1800">
        <v>41.61</v>
      </c>
      <c r="AF1800">
        <f t="shared" si="28"/>
        <v>3</v>
      </c>
    </row>
    <row r="1801" spans="29:32" x14ac:dyDescent="0.25">
      <c r="AC1801">
        <v>19.489999999999998</v>
      </c>
      <c r="AE1801">
        <v>41.61</v>
      </c>
      <c r="AF1801">
        <f t="shared" si="28"/>
        <v>4</v>
      </c>
    </row>
    <row r="1802" spans="29:32" x14ac:dyDescent="0.25">
      <c r="AC1802">
        <v>19.920000000000002</v>
      </c>
      <c r="AE1802">
        <v>41.61</v>
      </c>
      <c r="AF1802">
        <f t="shared" si="28"/>
        <v>5</v>
      </c>
    </row>
    <row r="1803" spans="29:32" x14ac:dyDescent="0.25">
      <c r="AC1803">
        <v>19.75</v>
      </c>
      <c r="AE1803">
        <v>41.61</v>
      </c>
      <c r="AF1803">
        <f t="shared" si="28"/>
        <v>6</v>
      </c>
    </row>
    <row r="1804" spans="29:32" x14ac:dyDescent="0.25">
      <c r="AC1804">
        <v>19.53</v>
      </c>
      <c r="AE1804">
        <v>41.64</v>
      </c>
      <c r="AF1804">
        <f t="shared" si="28"/>
        <v>1</v>
      </c>
    </row>
    <row r="1805" spans="29:32" x14ac:dyDescent="0.25">
      <c r="AC1805">
        <v>19.579999999999998</v>
      </c>
      <c r="AE1805">
        <v>41.65</v>
      </c>
      <c r="AF1805">
        <f t="shared" si="28"/>
        <v>1</v>
      </c>
    </row>
    <row r="1806" spans="29:32" x14ac:dyDescent="0.25">
      <c r="AC1806">
        <v>19.64</v>
      </c>
      <c r="AE1806">
        <v>41.66</v>
      </c>
      <c r="AF1806">
        <f t="shared" si="28"/>
        <v>1</v>
      </c>
    </row>
    <row r="1807" spans="29:32" x14ac:dyDescent="0.25">
      <c r="AC1807">
        <v>20.09</v>
      </c>
      <c r="AE1807">
        <v>41.66</v>
      </c>
      <c r="AF1807">
        <f t="shared" si="28"/>
        <v>2</v>
      </c>
    </row>
    <row r="1808" spans="29:32" x14ac:dyDescent="0.25">
      <c r="AC1808">
        <v>20.13</v>
      </c>
      <c r="AE1808">
        <v>41.66</v>
      </c>
      <c r="AF1808">
        <f t="shared" si="28"/>
        <v>3</v>
      </c>
    </row>
    <row r="1809" spans="29:32" x14ac:dyDescent="0.25">
      <c r="AC1809">
        <v>21.2</v>
      </c>
      <c r="AE1809">
        <v>41.66</v>
      </c>
      <c r="AF1809">
        <f t="shared" si="28"/>
        <v>4</v>
      </c>
    </row>
    <row r="1810" spans="29:32" x14ac:dyDescent="0.25">
      <c r="AC1810">
        <v>21.43</v>
      </c>
      <c r="AE1810">
        <v>41.66</v>
      </c>
      <c r="AF1810">
        <f t="shared" si="28"/>
        <v>5</v>
      </c>
    </row>
    <row r="1811" spans="29:32" x14ac:dyDescent="0.25">
      <c r="AC1811">
        <v>22.01</v>
      </c>
      <c r="AE1811">
        <v>41.66</v>
      </c>
      <c r="AF1811">
        <f t="shared" si="28"/>
        <v>6</v>
      </c>
    </row>
    <row r="1812" spans="29:32" x14ac:dyDescent="0.25">
      <c r="AC1812">
        <v>22.36</v>
      </c>
      <c r="AE1812">
        <v>41.67</v>
      </c>
      <c r="AF1812">
        <f t="shared" si="28"/>
        <v>1</v>
      </c>
    </row>
    <row r="1813" spans="29:32" x14ac:dyDescent="0.25">
      <c r="AC1813">
        <v>23.49</v>
      </c>
      <c r="AE1813">
        <v>41.67</v>
      </c>
      <c r="AF1813">
        <f t="shared" si="28"/>
        <v>2</v>
      </c>
    </row>
    <row r="1814" spans="29:32" x14ac:dyDescent="0.25">
      <c r="AC1814">
        <v>23.54</v>
      </c>
      <c r="AE1814">
        <v>41.68</v>
      </c>
      <c r="AF1814">
        <f t="shared" si="28"/>
        <v>1</v>
      </c>
    </row>
    <row r="1815" spans="29:32" x14ac:dyDescent="0.25">
      <c r="AC1815">
        <v>23.91</v>
      </c>
      <c r="AE1815">
        <v>41.69</v>
      </c>
      <c r="AF1815">
        <f t="shared" si="28"/>
        <v>1</v>
      </c>
    </row>
    <row r="1816" spans="29:32" x14ac:dyDescent="0.25">
      <c r="AC1816">
        <v>25.53</v>
      </c>
      <c r="AE1816">
        <v>41.69</v>
      </c>
      <c r="AF1816">
        <f t="shared" si="28"/>
        <v>2</v>
      </c>
    </row>
    <row r="1817" spans="29:32" x14ac:dyDescent="0.25">
      <c r="AC1817">
        <v>25.96</v>
      </c>
      <c r="AE1817">
        <v>41.69</v>
      </c>
      <c r="AF1817">
        <f t="shared" si="28"/>
        <v>3</v>
      </c>
    </row>
    <row r="1818" spans="29:32" x14ac:dyDescent="0.25">
      <c r="AC1818">
        <v>28.09</v>
      </c>
      <c r="AE1818">
        <v>41.69</v>
      </c>
      <c r="AF1818">
        <f t="shared" si="28"/>
        <v>4</v>
      </c>
    </row>
    <row r="1819" spans="29:32" x14ac:dyDescent="0.25">
      <c r="AC1819">
        <v>28.35</v>
      </c>
      <c r="AE1819">
        <v>41.69</v>
      </c>
      <c r="AF1819">
        <f t="shared" si="28"/>
        <v>5</v>
      </c>
    </row>
    <row r="1820" spans="29:32" x14ac:dyDescent="0.25">
      <c r="AC1820">
        <v>28.67</v>
      </c>
      <c r="AE1820">
        <v>41.69</v>
      </c>
      <c r="AF1820">
        <f t="shared" si="28"/>
        <v>6</v>
      </c>
    </row>
    <row r="1821" spans="29:32" x14ac:dyDescent="0.25">
      <c r="AC1821">
        <v>28.58</v>
      </c>
      <c r="AE1821">
        <v>41.71</v>
      </c>
      <c r="AF1821">
        <f t="shared" si="28"/>
        <v>1</v>
      </c>
    </row>
    <row r="1822" spans="29:32" x14ac:dyDescent="0.25">
      <c r="AC1822">
        <v>28.71</v>
      </c>
      <c r="AE1822">
        <v>41.71</v>
      </c>
      <c r="AF1822">
        <f t="shared" si="28"/>
        <v>2</v>
      </c>
    </row>
    <row r="1823" spans="29:32" x14ac:dyDescent="0.25">
      <c r="AC1823">
        <v>28.57</v>
      </c>
      <c r="AE1823">
        <v>41.71</v>
      </c>
      <c r="AF1823">
        <f t="shared" si="28"/>
        <v>3</v>
      </c>
    </row>
    <row r="1824" spans="29:32" x14ac:dyDescent="0.25">
      <c r="AC1824">
        <v>30.63</v>
      </c>
      <c r="AE1824">
        <v>41.71</v>
      </c>
      <c r="AF1824">
        <f t="shared" si="28"/>
        <v>4</v>
      </c>
    </row>
    <row r="1825" spans="29:32" x14ac:dyDescent="0.25">
      <c r="AC1825">
        <v>30.71</v>
      </c>
      <c r="AE1825">
        <v>41.72</v>
      </c>
      <c r="AF1825">
        <f t="shared" si="28"/>
        <v>1</v>
      </c>
    </row>
    <row r="1826" spans="29:32" x14ac:dyDescent="0.25">
      <c r="AC1826">
        <v>28.67</v>
      </c>
      <c r="AE1826">
        <v>41.72</v>
      </c>
      <c r="AF1826">
        <f t="shared" si="28"/>
        <v>2</v>
      </c>
    </row>
    <row r="1827" spans="29:32" x14ac:dyDescent="0.25">
      <c r="AC1827">
        <v>29.71</v>
      </c>
      <c r="AE1827">
        <v>41.73</v>
      </c>
      <c r="AF1827">
        <f t="shared" si="28"/>
        <v>1</v>
      </c>
    </row>
    <row r="1828" spans="29:32" x14ac:dyDescent="0.25">
      <c r="AC1828">
        <v>29.24</v>
      </c>
      <c r="AE1828">
        <v>41.73</v>
      </c>
      <c r="AF1828">
        <f t="shared" si="28"/>
        <v>2</v>
      </c>
    </row>
    <row r="1829" spans="29:32" x14ac:dyDescent="0.25">
      <c r="AC1829">
        <v>29.22</v>
      </c>
      <c r="AE1829">
        <v>41.73</v>
      </c>
      <c r="AF1829">
        <f t="shared" si="28"/>
        <v>3</v>
      </c>
    </row>
    <row r="1830" spans="29:32" x14ac:dyDescent="0.25">
      <c r="AC1830">
        <v>31.18</v>
      </c>
      <c r="AE1830">
        <v>41.73</v>
      </c>
      <c r="AF1830">
        <f t="shared" si="28"/>
        <v>4</v>
      </c>
    </row>
    <row r="1831" spans="29:32" x14ac:dyDescent="0.25">
      <c r="AC1831">
        <v>31.37</v>
      </c>
      <c r="AE1831">
        <v>41.73</v>
      </c>
      <c r="AF1831">
        <f t="shared" si="28"/>
        <v>5</v>
      </c>
    </row>
    <row r="1832" spans="29:32" x14ac:dyDescent="0.25">
      <c r="AC1832">
        <v>31.62</v>
      </c>
      <c r="AE1832">
        <v>41.74</v>
      </c>
      <c r="AF1832">
        <f t="shared" si="28"/>
        <v>1</v>
      </c>
    </row>
    <row r="1833" spans="29:32" x14ac:dyDescent="0.25">
      <c r="AC1833">
        <v>30.02</v>
      </c>
      <c r="AE1833">
        <v>41.74</v>
      </c>
      <c r="AF1833">
        <f t="shared" si="28"/>
        <v>2</v>
      </c>
    </row>
    <row r="1834" spans="29:32" x14ac:dyDescent="0.25">
      <c r="AC1834">
        <v>30.02</v>
      </c>
      <c r="AE1834">
        <v>41.74</v>
      </c>
      <c r="AF1834">
        <f t="shared" si="28"/>
        <v>3</v>
      </c>
    </row>
    <row r="1835" spans="29:32" x14ac:dyDescent="0.25">
      <c r="AC1835">
        <v>30.85</v>
      </c>
      <c r="AE1835">
        <v>41.75</v>
      </c>
      <c r="AF1835">
        <f t="shared" si="28"/>
        <v>1</v>
      </c>
    </row>
    <row r="1836" spans="29:32" x14ac:dyDescent="0.25">
      <c r="AC1836">
        <v>32.299999999999997</v>
      </c>
      <c r="AE1836">
        <v>41.75</v>
      </c>
      <c r="AF1836">
        <f t="shared" si="28"/>
        <v>2</v>
      </c>
    </row>
    <row r="1837" spans="29:32" x14ac:dyDescent="0.25">
      <c r="AC1837">
        <v>32.79</v>
      </c>
      <c r="AE1837">
        <v>41.76</v>
      </c>
      <c r="AF1837">
        <f t="shared" si="28"/>
        <v>1</v>
      </c>
    </row>
    <row r="1838" spans="29:32" x14ac:dyDescent="0.25">
      <c r="AC1838">
        <v>32.01</v>
      </c>
      <c r="AE1838">
        <v>41.76</v>
      </c>
      <c r="AF1838">
        <f t="shared" si="28"/>
        <v>2</v>
      </c>
    </row>
    <row r="1839" spans="29:32" x14ac:dyDescent="0.25">
      <c r="AC1839">
        <v>30.19</v>
      </c>
      <c r="AE1839">
        <v>41.76</v>
      </c>
      <c r="AF1839">
        <f t="shared" si="28"/>
        <v>3</v>
      </c>
    </row>
    <row r="1840" spans="29:32" x14ac:dyDescent="0.25">
      <c r="AC1840">
        <v>32.61</v>
      </c>
      <c r="AE1840">
        <v>41.76</v>
      </c>
      <c r="AF1840">
        <f t="shared" si="28"/>
        <v>4</v>
      </c>
    </row>
    <row r="1841" spans="29:32" x14ac:dyDescent="0.25">
      <c r="AC1841">
        <v>33.19</v>
      </c>
      <c r="AE1841">
        <v>41.78</v>
      </c>
      <c r="AF1841">
        <f t="shared" si="28"/>
        <v>1</v>
      </c>
    </row>
    <row r="1842" spans="29:32" x14ac:dyDescent="0.25">
      <c r="AC1842">
        <v>30.82</v>
      </c>
      <c r="AE1842">
        <v>41.79</v>
      </c>
      <c r="AF1842">
        <f t="shared" si="28"/>
        <v>1</v>
      </c>
    </row>
    <row r="1843" spans="29:32" x14ac:dyDescent="0.25">
      <c r="AC1843">
        <v>32.159999999999997</v>
      </c>
      <c r="AE1843">
        <v>41.81</v>
      </c>
      <c r="AF1843">
        <f t="shared" si="28"/>
        <v>1</v>
      </c>
    </row>
    <row r="1844" spans="29:32" x14ac:dyDescent="0.25">
      <c r="AC1844">
        <v>32.39</v>
      </c>
      <c r="AE1844">
        <v>41.82</v>
      </c>
      <c r="AF1844">
        <f t="shared" si="28"/>
        <v>1</v>
      </c>
    </row>
    <row r="1845" spans="29:32" x14ac:dyDescent="0.25">
      <c r="AC1845">
        <v>33.54</v>
      </c>
      <c r="AE1845">
        <v>41.82</v>
      </c>
      <c r="AF1845">
        <f t="shared" si="28"/>
        <v>2</v>
      </c>
    </row>
    <row r="1846" spans="29:32" x14ac:dyDescent="0.25">
      <c r="AC1846">
        <v>33.69</v>
      </c>
      <c r="AE1846">
        <v>41.83</v>
      </c>
      <c r="AF1846">
        <f t="shared" si="28"/>
        <v>1</v>
      </c>
    </row>
    <row r="1847" spans="29:32" x14ac:dyDescent="0.25">
      <c r="AC1847">
        <v>33.630000000000003</v>
      </c>
      <c r="AE1847">
        <v>41.84</v>
      </c>
      <c r="AF1847">
        <f t="shared" si="28"/>
        <v>1</v>
      </c>
    </row>
    <row r="1848" spans="29:32" x14ac:dyDescent="0.25">
      <c r="AC1848">
        <v>32.18</v>
      </c>
      <c r="AE1848">
        <v>41.84</v>
      </c>
      <c r="AF1848">
        <f t="shared" si="28"/>
        <v>2</v>
      </c>
    </row>
    <row r="1849" spans="29:32" x14ac:dyDescent="0.25">
      <c r="AC1849">
        <v>34.090000000000003</v>
      </c>
      <c r="AE1849">
        <v>41.84</v>
      </c>
      <c r="AF1849">
        <f t="shared" si="28"/>
        <v>3</v>
      </c>
    </row>
    <row r="1850" spans="29:32" x14ac:dyDescent="0.25">
      <c r="AC1850">
        <v>32.35</v>
      </c>
      <c r="AE1850">
        <v>41.85</v>
      </c>
      <c r="AF1850">
        <f t="shared" si="28"/>
        <v>1</v>
      </c>
    </row>
    <row r="1851" spans="29:32" x14ac:dyDescent="0.25">
      <c r="AC1851">
        <v>33.01</v>
      </c>
      <c r="AE1851">
        <v>41.87</v>
      </c>
      <c r="AF1851">
        <f t="shared" si="28"/>
        <v>1</v>
      </c>
    </row>
    <row r="1852" spans="29:32" x14ac:dyDescent="0.25">
      <c r="AC1852">
        <v>32.32</v>
      </c>
      <c r="AE1852">
        <v>41.87</v>
      </c>
      <c r="AF1852">
        <f t="shared" si="28"/>
        <v>2</v>
      </c>
    </row>
    <row r="1853" spans="29:32" x14ac:dyDescent="0.25">
      <c r="AC1853">
        <v>32.520000000000003</v>
      </c>
      <c r="AE1853">
        <v>41.87</v>
      </c>
      <c r="AF1853">
        <f t="shared" si="28"/>
        <v>3</v>
      </c>
    </row>
    <row r="1854" spans="29:32" x14ac:dyDescent="0.25">
      <c r="AC1854">
        <v>33.5</v>
      </c>
      <c r="AE1854">
        <v>41.87</v>
      </c>
      <c r="AF1854">
        <f t="shared" si="28"/>
        <v>4</v>
      </c>
    </row>
    <row r="1855" spans="29:32" x14ac:dyDescent="0.25">
      <c r="AC1855">
        <v>32.71</v>
      </c>
      <c r="AE1855">
        <v>41.88</v>
      </c>
      <c r="AF1855">
        <f t="shared" si="28"/>
        <v>1</v>
      </c>
    </row>
    <row r="1856" spans="29:32" x14ac:dyDescent="0.25">
      <c r="AC1856">
        <v>33.54</v>
      </c>
      <c r="AE1856">
        <v>41.88</v>
      </c>
      <c r="AF1856">
        <f t="shared" si="28"/>
        <v>2</v>
      </c>
    </row>
    <row r="1857" spans="29:32" x14ac:dyDescent="0.25">
      <c r="AC1857">
        <v>32.64</v>
      </c>
      <c r="AE1857">
        <v>41.88</v>
      </c>
      <c r="AF1857">
        <f t="shared" si="28"/>
        <v>3</v>
      </c>
    </row>
    <row r="1858" spans="29:32" x14ac:dyDescent="0.25">
      <c r="AC1858">
        <v>33.07</v>
      </c>
      <c r="AE1858">
        <v>41.88</v>
      </c>
      <c r="AF1858">
        <f t="shared" si="28"/>
        <v>4</v>
      </c>
    </row>
    <row r="1859" spans="29:32" x14ac:dyDescent="0.25">
      <c r="AC1859">
        <v>33.07</v>
      </c>
      <c r="AE1859">
        <v>41.89</v>
      </c>
      <c r="AF1859">
        <f t="shared" si="28"/>
        <v>1</v>
      </c>
    </row>
    <row r="1860" spans="29:32" x14ac:dyDescent="0.25">
      <c r="AC1860">
        <v>33.36</v>
      </c>
      <c r="AE1860">
        <v>41.91</v>
      </c>
      <c r="AF1860">
        <f t="shared" ref="AF1860:AF1923" si="29">IF(AE1860=AE1859,AF1859+1,1)</f>
        <v>1</v>
      </c>
    </row>
    <row r="1861" spans="29:32" x14ac:dyDescent="0.25">
      <c r="AC1861">
        <v>35.24</v>
      </c>
      <c r="AE1861">
        <v>41.91</v>
      </c>
      <c r="AF1861">
        <f t="shared" si="29"/>
        <v>2</v>
      </c>
    </row>
    <row r="1862" spans="29:32" x14ac:dyDescent="0.25">
      <c r="AC1862">
        <v>34.03</v>
      </c>
      <c r="AE1862">
        <v>41.91</v>
      </c>
      <c r="AF1862">
        <f t="shared" si="29"/>
        <v>3</v>
      </c>
    </row>
    <row r="1863" spans="29:32" x14ac:dyDescent="0.25">
      <c r="AC1863">
        <v>34.200000000000003</v>
      </c>
      <c r="AE1863">
        <v>41.91</v>
      </c>
      <c r="AF1863">
        <f t="shared" si="29"/>
        <v>4</v>
      </c>
    </row>
    <row r="1864" spans="29:32" x14ac:dyDescent="0.25">
      <c r="AC1864">
        <v>33.56</v>
      </c>
      <c r="AE1864">
        <v>41.91</v>
      </c>
      <c r="AF1864">
        <f t="shared" si="29"/>
        <v>5</v>
      </c>
    </row>
    <row r="1865" spans="29:32" x14ac:dyDescent="0.25">
      <c r="AC1865">
        <v>33.450000000000003</v>
      </c>
      <c r="AE1865">
        <v>41.92</v>
      </c>
      <c r="AF1865">
        <f t="shared" si="29"/>
        <v>1</v>
      </c>
    </row>
    <row r="1866" spans="29:32" x14ac:dyDescent="0.25">
      <c r="AC1866">
        <v>33.950000000000003</v>
      </c>
      <c r="AE1866">
        <v>41.92</v>
      </c>
      <c r="AF1866">
        <f t="shared" si="29"/>
        <v>2</v>
      </c>
    </row>
    <row r="1867" spans="29:32" x14ac:dyDescent="0.25">
      <c r="AC1867">
        <v>34.06</v>
      </c>
      <c r="AE1867">
        <v>41.93</v>
      </c>
      <c r="AF1867">
        <f t="shared" si="29"/>
        <v>1</v>
      </c>
    </row>
    <row r="1868" spans="29:32" x14ac:dyDescent="0.25">
      <c r="AC1868">
        <v>33.659999999999997</v>
      </c>
      <c r="AE1868">
        <v>41.94</v>
      </c>
      <c r="AF1868">
        <f t="shared" si="29"/>
        <v>1</v>
      </c>
    </row>
    <row r="1869" spans="29:32" x14ac:dyDescent="0.25">
      <c r="AC1869">
        <v>35.71</v>
      </c>
      <c r="AE1869">
        <v>41.95</v>
      </c>
      <c r="AF1869">
        <f t="shared" si="29"/>
        <v>1</v>
      </c>
    </row>
    <row r="1870" spans="29:32" x14ac:dyDescent="0.25">
      <c r="AC1870">
        <v>33.630000000000003</v>
      </c>
      <c r="AE1870">
        <v>41.96</v>
      </c>
      <c r="AF1870">
        <f t="shared" si="29"/>
        <v>1</v>
      </c>
    </row>
    <row r="1871" spans="29:32" x14ac:dyDescent="0.25">
      <c r="AC1871">
        <v>33.94</v>
      </c>
      <c r="AE1871">
        <v>41.97</v>
      </c>
      <c r="AF1871">
        <f t="shared" si="29"/>
        <v>1</v>
      </c>
    </row>
    <row r="1872" spans="29:32" x14ac:dyDescent="0.25">
      <c r="AC1872">
        <v>33.58</v>
      </c>
      <c r="AE1872">
        <v>41.97</v>
      </c>
      <c r="AF1872">
        <f t="shared" si="29"/>
        <v>2</v>
      </c>
    </row>
    <row r="1873" spans="29:32" x14ac:dyDescent="0.25">
      <c r="AC1873">
        <v>33.44</v>
      </c>
      <c r="AE1873">
        <v>41.98</v>
      </c>
      <c r="AF1873">
        <f t="shared" si="29"/>
        <v>1</v>
      </c>
    </row>
    <row r="1874" spans="29:32" x14ac:dyDescent="0.25">
      <c r="AC1874">
        <v>34.5</v>
      </c>
      <c r="AE1874">
        <v>41.98</v>
      </c>
      <c r="AF1874">
        <f t="shared" si="29"/>
        <v>2</v>
      </c>
    </row>
    <row r="1875" spans="29:32" x14ac:dyDescent="0.25">
      <c r="AC1875">
        <v>33.33</v>
      </c>
      <c r="AE1875">
        <v>42</v>
      </c>
      <c r="AF1875">
        <f t="shared" si="29"/>
        <v>1</v>
      </c>
    </row>
    <row r="1876" spans="29:32" x14ac:dyDescent="0.25">
      <c r="AC1876">
        <v>34.4</v>
      </c>
      <c r="AE1876">
        <v>42</v>
      </c>
      <c r="AF1876">
        <f t="shared" si="29"/>
        <v>2</v>
      </c>
    </row>
    <row r="1877" spans="29:32" x14ac:dyDescent="0.25">
      <c r="AC1877">
        <v>33.35</v>
      </c>
      <c r="AE1877">
        <v>42.01</v>
      </c>
      <c r="AF1877">
        <f t="shared" si="29"/>
        <v>1</v>
      </c>
    </row>
    <row r="1878" spans="29:32" x14ac:dyDescent="0.25">
      <c r="AC1878">
        <v>34.29</v>
      </c>
      <c r="AE1878">
        <v>42.01</v>
      </c>
      <c r="AF1878">
        <f t="shared" si="29"/>
        <v>2</v>
      </c>
    </row>
    <row r="1879" spans="29:32" x14ac:dyDescent="0.25">
      <c r="AC1879">
        <v>34.83</v>
      </c>
      <c r="AE1879">
        <v>42.01</v>
      </c>
      <c r="AF1879">
        <f t="shared" si="29"/>
        <v>3</v>
      </c>
    </row>
    <row r="1880" spans="29:32" x14ac:dyDescent="0.25">
      <c r="AC1880">
        <v>34.729999999999997</v>
      </c>
      <c r="AE1880">
        <v>42.02</v>
      </c>
      <c r="AF1880">
        <f t="shared" si="29"/>
        <v>1</v>
      </c>
    </row>
    <row r="1881" spans="29:32" x14ac:dyDescent="0.25">
      <c r="AC1881">
        <v>33.4</v>
      </c>
      <c r="AE1881">
        <v>42.02</v>
      </c>
      <c r="AF1881">
        <f t="shared" si="29"/>
        <v>2</v>
      </c>
    </row>
    <row r="1882" spans="29:32" x14ac:dyDescent="0.25">
      <c r="AC1882">
        <v>34.21</v>
      </c>
      <c r="AE1882">
        <v>42.03</v>
      </c>
      <c r="AF1882">
        <f t="shared" si="29"/>
        <v>1</v>
      </c>
    </row>
    <row r="1883" spans="29:32" x14ac:dyDescent="0.25">
      <c r="AC1883">
        <v>36.130000000000003</v>
      </c>
      <c r="AE1883">
        <v>42.03</v>
      </c>
      <c r="AF1883">
        <f t="shared" si="29"/>
        <v>2</v>
      </c>
    </row>
    <row r="1884" spans="29:32" x14ac:dyDescent="0.25">
      <c r="AC1884">
        <v>34.86</v>
      </c>
      <c r="AE1884">
        <v>42.03</v>
      </c>
      <c r="AF1884">
        <f t="shared" si="29"/>
        <v>3</v>
      </c>
    </row>
    <row r="1885" spans="29:32" x14ac:dyDescent="0.25">
      <c r="AC1885">
        <v>34</v>
      </c>
      <c r="AE1885">
        <v>42.04</v>
      </c>
      <c r="AF1885">
        <f t="shared" si="29"/>
        <v>1</v>
      </c>
    </row>
    <row r="1886" spans="29:32" x14ac:dyDescent="0.25">
      <c r="AC1886">
        <v>36.6</v>
      </c>
      <c r="AE1886">
        <v>42.05</v>
      </c>
      <c r="AF1886">
        <f t="shared" si="29"/>
        <v>1</v>
      </c>
    </row>
    <row r="1887" spans="29:32" x14ac:dyDescent="0.25">
      <c r="AC1887">
        <v>34.76</v>
      </c>
      <c r="AE1887">
        <v>42.05</v>
      </c>
      <c r="AF1887">
        <f t="shared" si="29"/>
        <v>2</v>
      </c>
    </row>
    <row r="1888" spans="29:32" x14ac:dyDescent="0.25">
      <c r="AC1888">
        <v>34.99</v>
      </c>
      <c r="AE1888">
        <v>42.06</v>
      </c>
      <c r="AF1888">
        <f t="shared" si="29"/>
        <v>1</v>
      </c>
    </row>
    <row r="1889" spans="29:32" x14ac:dyDescent="0.25">
      <c r="AC1889">
        <v>34.72</v>
      </c>
      <c r="AE1889">
        <v>42.07</v>
      </c>
      <c r="AF1889">
        <f t="shared" si="29"/>
        <v>1</v>
      </c>
    </row>
    <row r="1890" spans="29:32" x14ac:dyDescent="0.25">
      <c r="AC1890">
        <v>37.01</v>
      </c>
      <c r="AE1890">
        <v>42.07</v>
      </c>
      <c r="AF1890">
        <f t="shared" si="29"/>
        <v>2</v>
      </c>
    </row>
    <row r="1891" spans="29:32" x14ac:dyDescent="0.25">
      <c r="AC1891">
        <v>37.090000000000003</v>
      </c>
      <c r="AE1891">
        <v>42.07</v>
      </c>
      <c r="AF1891">
        <f t="shared" si="29"/>
        <v>3</v>
      </c>
    </row>
    <row r="1892" spans="29:32" x14ac:dyDescent="0.25">
      <c r="AC1892">
        <v>37.700000000000003</v>
      </c>
      <c r="AE1892">
        <v>42.07</v>
      </c>
      <c r="AF1892">
        <f t="shared" si="29"/>
        <v>4</v>
      </c>
    </row>
    <row r="1893" spans="29:32" x14ac:dyDescent="0.25">
      <c r="AC1893">
        <v>37.619999999999997</v>
      </c>
      <c r="AE1893">
        <v>42.07</v>
      </c>
      <c r="AF1893">
        <f t="shared" si="29"/>
        <v>5</v>
      </c>
    </row>
    <row r="1894" spans="29:32" x14ac:dyDescent="0.25">
      <c r="AC1894">
        <v>37.53</v>
      </c>
      <c r="AE1894">
        <v>42.08</v>
      </c>
      <c r="AF1894">
        <f t="shared" si="29"/>
        <v>1</v>
      </c>
    </row>
    <row r="1895" spans="29:32" x14ac:dyDescent="0.25">
      <c r="AC1895">
        <v>38.159999999999997</v>
      </c>
      <c r="AE1895">
        <v>42.08</v>
      </c>
      <c r="AF1895">
        <f t="shared" si="29"/>
        <v>2</v>
      </c>
    </row>
    <row r="1896" spans="29:32" x14ac:dyDescent="0.25">
      <c r="AC1896">
        <v>37.869999999999997</v>
      </c>
      <c r="AE1896">
        <v>42.08</v>
      </c>
      <c r="AF1896">
        <f t="shared" si="29"/>
        <v>3</v>
      </c>
    </row>
    <row r="1897" spans="29:32" x14ac:dyDescent="0.25">
      <c r="AC1897">
        <v>38.450000000000003</v>
      </c>
      <c r="AE1897">
        <v>42.08</v>
      </c>
      <c r="AF1897">
        <f t="shared" si="29"/>
        <v>4</v>
      </c>
    </row>
    <row r="1898" spans="29:32" x14ac:dyDescent="0.25">
      <c r="AC1898">
        <v>38.409999999999997</v>
      </c>
      <c r="AE1898">
        <v>42.08</v>
      </c>
      <c r="AF1898">
        <f t="shared" si="29"/>
        <v>5</v>
      </c>
    </row>
    <row r="1899" spans="29:32" x14ac:dyDescent="0.25">
      <c r="AC1899">
        <v>38.549999999999997</v>
      </c>
      <c r="AE1899">
        <v>42.09</v>
      </c>
      <c r="AF1899">
        <f t="shared" si="29"/>
        <v>1</v>
      </c>
    </row>
    <row r="1900" spans="29:32" x14ac:dyDescent="0.25">
      <c r="AC1900">
        <v>38.11</v>
      </c>
      <c r="AE1900">
        <v>42.09</v>
      </c>
      <c r="AF1900">
        <f t="shared" si="29"/>
        <v>2</v>
      </c>
    </row>
    <row r="1901" spans="29:32" x14ac:dyDescent="0.25">
      <c r="AC1901">
        <v>38.56</v>
      </c>
      <c r="AE1901">
        <v>42.1</v>
      </c>
      <c r="AF1901">
        <f t="shared" si="29"/>
        <v>1</v>
      </c>
    </row>
    <row r="1902" spans="29:32" x14ac:dyDescent="0.25">
      <c r="AC1902">
        <v>38.75</v>
      </c>
      <c r="AE1902">
        <v>42.1</v>
      </c>
      <c r="AF1902">
        <f t="shared" si="29"/>
        <v>2</v>
      </c>
    </row>
    <row r="1903" spans="29:32" x14ac:dyDescent="0.25">
      <c r="AC1903">
        <v>38.630000000000003</v>
      </c>
      <c r="AE1903">
        <v>42.1</v>
      </c>
      <c r="AF1903">
        <f t="shared" si="29"/>
        <v>3</v>
      </c>
    </row>
    <row r="1904" spans="29:32" x14ac:dyDescent="0.25">
      <c r="AC1904">
        <v>38.75</v>
      </c>
      <c r="AE1904">
        <v>42.11</v>
      </c>
      <c r="AF1904">
        <f t="shared" si="29"/>
        <v>1</v>
      </c>
    </row>
    <row r="1905" spans="29:32" x14ac:dyDescent="0.25">
      <c r="AC1905">
        <v>39.22</v>
      </c>
      <c r="AE1905">
        <v>42.12</v>
      </c>
      <c r="AF1905">
        <f t="shared" si="29"/>
        <v>1</v>
      </c>
    </row>
    <row r="1906" spans="29:32" x14ac:dyDescent="0.25">
      <c r="AC1906">
        <v>38.92</v>
      </c>
      <c r="AE1906">
        <v>42.14</v>
      </c>
      <c r="AF1906">
        <f t="shared" si="29"/>
        <v>1</v>
      </c>
    </row>
    <row r="1907" spans="29:32" x14ac:dyDescent="0.25">
      <c r="AC1907">
        <v>39.19</v>
      </c>
      <c r="AE1907">
        <v>42.15</v>
      </c>
      <c r="AF1907">
        <f t="shared" si="29"/>
        <v>1</v>
      </c>
    </row>
    <row r="1908" spans="29:32" x14ac:dyDescent="0.25">
      <c r="AC1908">
        <v>39.01</v>
      </c>
      <c r="AE1908">
        <v>42.15</v>
      </c>
      <c r="AF1908">
        <f t="shared" si="29"/>
        <v>2</v>
      </c>
    </row>
    <row r="1909" spans="29:32" x14ac:dyDescent="0.25">
      <c r="AC1909">
        <v>39.97</v>
      </c>
      <c r="AE1909">
        <v>42.15</v>
      </c>
      <c r="AF1909">
        <f t="shared" si="29"/>
        <v>3</v>
      </c>
    </row>
    <row r="1910" spans="29:32" x14ac:dyDescent="0.25">
      <c r="AC1910">
        <v>39.04</v>
      </c>
      <c r="AE1910">
        <v>42.15</v>
      </c>
      <c r="AF1910">
        <f t="shared" si="29"/>
        <v>4</v>
      </c>
    </row>
    <row r="1911" spans="29:32" x14ac:dyDescent="0.25">
      <c r="AC1911">
        <v>38.89</v>
      </c>
      <c r="AE1911">
        <v>42.15</v>
      </c>
      <c r="AF1911">
        <f t="shared" si="29"/>
        <v>5</v>
      </c>
    </row>
    <row r="1912" spans="29:32" x14ac:dyDescent="0.25">
      <c r="AC1912">
        <v>39.33</v>
      </c>
      <c r="AE1912">
        <v>42.16</v>
      </c>
      <c r="AF1912">
        <f t="shared" si="29"/>
        <v>1</v>
      </c>
    </row>
    <row r="1913" spans="29:32" x14ac:dyDescent="0.25">
      <c r="AC1913">
        <v>40.22</v>
      </c>
      <c r="AE1913">
        <v>42.16</v>
      </c>
      <c r="AF1913">
        <f t="shared" si="29"/>
        <v>2</v>
      </c>
    </row>
    <row r="1914" spans="29:32" x14ac:dyDescent="0.25">
      <c r="AC1914">
        <v>38.81</v>
      </c>
      <c r="AE1914">
        <v>42.16</v>
      </c>
      <c r="AF1914">
        <f t="shared" si="29"/>
        <v>3</v>
      </c>
    </row>
    <row r="1915" spans="29:32" x14ac:dyDescent="0.25">
      <c r="AC1915">
        <v>39.299999999999997</v>
      </c>
      <c r="AE1915">
        <v>42.16</v>
      </c>
      <c r="AF1915">
        <f t="shared" si="29"/>
        <v>4</v>
      </c>
    </row>
    <row r="1916" spans="29:32" x14ac:dyDescent="0.25">
      <c r="AC1916">
        <v>39.369999999999997</v>
      </c>
      <c r="AE1916">
        <v>42.17</v>
      </c>
      <c r="AF1916">
        <f t="shared" si="29"/>
        <v>1</v>
      </c>
    </row>
    <row r="1917" spans="29:32" x14ac:dyDescent="0.25">
      <c r="AC1917">
        <v>39.909999999999997</v>
      </c>
      <c r="AE1917">
        <v>42.18</v>
      </c>
      <c r="AF1917">
        <f t="shared" si="29"/>
        <v>1</v>
      </c>
    </row>
    <row r="1918" spans="29:32" x14ac:dyDescent="0.25">
      <c r="AC1918">
        <v>39.43</v>
      </c>
      <c r="AE1918">
        <v>42.18</v>
      </c>
      <c r="AF1918">
        <f t="shared" si="29"/>
        <v>2</v>
      </c>
    </row>
    <row r="1919" spans="29:32" x14ac:dyDescent="0.25">
      <c r="AC1919">
        <v>39.68</v>
      </c>
      <c r="AE1919">
        <v>42.18</v>
      </c>
      <c r="AF1919">
        <f t="shared" si="29"/>
        <v>3</v>
      </c>
    </row>
    <row r="1920" spans="29:32" x14ac:dyDescent="0.25">
      <c r="AC1920">
        <v>39.72</v>
      </c>
      <c r="AE1920">
        <v>42.19</v>
      </c>
      <c r="AF1920">
        <f t="shared" si="29"/>
        <v>1</v>
      </c>
    </row>
    <row r="1921" spans="29:32" x14ac:dyDescent="0.25">
      <c r="AC1921">
        <v>39.31</v>
      </c>
      <c r="AE1921">
        <v>42.19</v>
      </c>
      <c r="AF1921">
        <f t="shared" si="29"/>
        <v>2</v>
      </c>
    </row>
    <row r="1922" spans="29:32" x14ac:dyDescent="0.25">
      <c r="AC1922">
        <v>39.19</v>
      </c>
      <c r="AE1922">
        <v>42.2</v>
      </c>
      <c r="AF1922">
        <f t="shared" si="29"/>
        <v>1</v>
      </c>
    </row>
    <row r="1923" spans="29:32" x14ac:dyDescent="0.25">
      <c r="AC1923">
        <v>39.68</v>
      </c>
      <c r="AE1923">
        <v>42.21</v>
      </c>
      <c r="AF1923">
        <f t="shared" si="29"/>
        <v>1</v>
      </c>
    </row>
    <row r="1924" spans="29:32" x14ac:dyDescent="0.25">
      <c r="AC1924">
        <v>39.03</v>
      </c>
      <c r="AE1924">
        <v>42.21</v>
      </c>
      <c r="AF1924">
        <f t="shared" ref="AF1924:AF1987" si="30">IF(AE1924=AE1923,AF1923+1,1)</f>
        <v>2</v>
      </c>
    </row>
    <row r="1925" spans="29:32" x14ac:dyDescent="0.25">
      <c r="AC1925">
        <v>39.409999999999997</v>
      </c>
      <c r="AE1925">
        <v>42.22</v>
      </c>
      <c r="AF1925">
        <f t="shared" si="30"/>
        <v>1</v>
      </c>
    </row>
    <row r="1926" spans="29:32" x14ac:dyDescent="0.25">
      <c r="AC1926">
        <v>39.64</v>
      </c>
      <c r="AE1926">
        <v>42.22</v>
      </c>
      <c r="AF1926">
        <f t="shared" si="30"/>
        <v>2</v>
      </c>
    </row>
    <row r="1927" spans="29:32" x14ac:dyDescent="0.25">
      <c r="AC1927">
        <v>40.159999999999997</v>
      </c>
      <c r="AE1927">
        <v>42.22</v>
      </c>
      <c r="AF1927">
        <f t="shared" si="30"/>
        <v>3</v>
      </c>
    </row>
    <row r="1928" spans="29:32" x14ac:dyDescent="0.25">
      <c r="AC1928">
        <v>40.19</v>
      </c>
      <c r="AE1928">
        <v>42.23</v>
      </c>
      <c r="AF1928">
        <f t="shared" si="30"/>
        <v>1</v>
      </c>
    </row>
    <row r="1929" spans="29:32" x14ac:dyDescent="0.25">
      <c r="AC1929">
        <v>41.19</v>
      </c>
      <c r="AE1929">
        <v>42.24</v>
      </c>
      <c r="AF1929">
        <f t="shared" si="30"/>
        <v>1</v>
      </c>
    </row>
    <row r="1930" spans="29:32" x14ac:dyDescent="0.25">
      <c r="AC1930">
        <v>39.909999999999997</v>
      </c>
      <c r="AE1930">
        <v>42.25</v>
      </c>
      <c r="AF1930">
        <f t="shared" si="30"/>
        <v>1</v>
      </c>
    </row>
    <row r="1931" spans="29:32" x14ac:dyDescent="0.25">
      <c r="AC1931">
        <v>39.92</v>
      </c>
      <c r="AE1931">
        <v>42.25</v>
      </c>
      <c r="AF1931">
        <f t="shared" si="30"/>
        <v>2</v>
      </c>
    </row>
    <row r="1932" spans="29:32" x14ac:dyDescent="0.25">
      <c r="AC1932">
        <v>40.380000000000003</v>
      </c>
      <c r="AE1932">
        <v>42.26</v>
      </c>
      <c r="AF1932">
        <f t="shared" si="30"/>
        <v>1</v>
      </c>
    </row>
    <row r="1933" spans="29:32" x14ac:dyDescent="0.25">
      <c r="AC1933">
        <v>40.07</v>
      </c>
      <c r="AE1933">
        <v>42.27</v>
      </c>
      <c r="AF1933">
        <f t="shared" si="30"/>
        <v>1</v>
      </c>
    </row>
    <row r="1934" spans="29:32" x14ac:dyDescent="0.25">
      <c r="AC1934">
        <v>40.22</v>
      </c>
      <c r="AE1934">
        <v>42.27</v>
      </c>
      <c r="AF1934">
        <f t="shared" si="30"/>
        <v>2</v>
      </c>
    </row>
    <row r="1935" spans="29:32" x14ac:dyDescent="0.25">
      <c r="AC1935">
        <v>40.369999999999997</v>
      </c>
      <c r="AE1935">
        <v>42.27</v>
      </c>
      <c r="AF1935">
        <f t="shared" si="30"/>
        <v>3</v>
      </c>
    </row>
    <row r="1936" spans="29:32" x14ac:dyDescent="0.25">
      <c r="AC1936">
        <v>40.21</v>
      </c>
      <c r="AE1936">
        <v>42.27</v>
      </c>
      <c r="AF1936">
        <f t="shared" si="30"/>
        <v>4</v>
      </c>
    </row>
    <row r="1937" spans="29:32" x14ac:dyDescent="0.25">
      <c r="AC1937">
        <v>40.130000000000003</v>
      </c>
      <c r="AE1937">
        <v>42.27</v>
      </c>
      <c r="AF1937">
        <f t="shared" si="30"/>
        <v>5</v>
      </c>
    </row>
    <row r="1938" spans="29:32" x14ac:dyDescent="0.25">
      <c r="AC1938">
        <v>40.33</v>
      </c>
      <c r="AE1938">
        <v>42.28</v>
      </c>
      <c r="AF1938">
        <f t="shared" si="30"/>
        <v>1</v>
      </c>
    </row>
    <row r="1939" spans="29:32" x14ac:dyDescent="0.25">
      <c r="AC1939">
        <v>40.31</v>
      </c>
      <c r="AE1939">
        <v>42.29</v>
      </c>
      <c r="AF1939">
        <f t="shared" si="30"/>
        <v>1</v>
      </c>
    </row>
    <row r="1940" spans="29:32" x14ac:dyDescent="0.25">
      <c r="AC1940">
        <v>40.74</v>
      </c>
      <c r="AE1940">
        <v>42.29</v>
      </c>
      <c r="AF1940">
        <f t="shared" si="30"/>
        <v>2</v>
      </c>
    </row>
    <row r="1941" spans="29:32" x14ac:dyDescent="0.25">
      <c r="AC1941">
        <v>39.770000000000003</v>
      </c>
      <c r="AE1941">
        <v>42.29</v>
      </c>
      <c r="AF1941">
        <f t="shared" si="30"/>
        <v>3</v>
      </c>
    </row>
    <row r="1942" spans="29:32" x14ac:dyDescent="0.25">
      <c r="AC1942">
        <v>40.619999999999997</v>
      </c>
      <c r="AE1942">
        <v>42.29</v>
      </c>
      <c r="AF1942">
        <f t="shared" si="30"/>
        <v>4</v>
      </c>
    </row>
    <row r="1943" spans="29:32" x14ac:dyDescent="0.25">
      <c r="AC1943">
        <v>40.6</v>
      </c>
      <c r="AE1943">
        <v>42.29</v>
      </c>
      <c r="AF1943">
        <f t="shared" si="30"/>
        <v>5</v>
      </c>
    </row>
    <row r="1944" spans="29:32" x14ac:dyDescent="0.25">
      <c r="AC1944">
        <v>40.64</v>
      </c>
      <c r="AE1944">
        <v>42.3</v>
      </c>
      <c r="AF1944">
        <f t="shared" si="30"/>
        <v>1</v>
      </c>
    </row>
    <row r="1945" spans="29:32" x14ac:dyDescent="0.25">
      <c r="AC1945">
        <v>40.11</v>
      </c>
      <c r="AE1945">
        <v>42.31</v>
      </c>
      <c r="AF1945">
        <f t="shared" si="30"/>
        <v>1</v>
      </c>
    </row>
    <row r="1946" spans="29:32" x14ac:dyDescent="0.25">
      <c r="AC1946">
        <v>40.71</v>
      </c>
      <c r="AE1946">
        <v>42.32</v>
      </c>
      <c r="AF1946">
        <f t="shared" si="30"/>
        <v>1</v>
      </c>
    </row>
    <row r="1947" spans="29:32" x14ac:dyDescent="0.25">
      <c r="AC1947">
        <v>40.99</v>
      </c>
      <c r="AE1947">
        <v>42.32</v>
      </c>
      <c r="AF1947">
        <f t="shared" si="30"/>
        <v>2</v>
      </c>
    </row>
    <row r="1948" spans="29:32" x14ac:dyDescent="0.25">
      <c r="AC1948">
        <v>40.619999999999997</v>
      </c>
      <c r="AE1948">
        <v>42.32</v>
      </c>
      <c r="AF1948">
        <f t="shared" si="30"/>
        <v>3</v>
      </c>
    </row>
    <row r="1949" spans="29:32" x14ac:dyDescent="0.25">
      <c r="AC1949">
        <v>41.21</v>
      </c>
      <c r="AE1949">
        <v>42.32</v>
      </c>
      <c r="AF1949">
        <f t="shared" si="30"/>
        <v>4</v>
      </c>
    </row>
    <row r="1950" spans="29:32" x14ac:dyDescent="0.25">
      <c r="AC1950">
        <v>40.83</v>
      </c>
      <c r="AE1950">
        <v>42.33</v>
      </c>
      <c r="AF1950">
        <f t="shared" si="30"/>
        <v>1</v>
      </c>
    </row>
    <row r="1951" spans="29:32" x14ac:dyDescent="0.25">
      <c r="AC1951">
        <v>40.78</v>
      </c>
      <c r="AE1951">
        <v>42.33</v>
      </c>
      <c r="AF1951">
        <f t="shared" si="30"/>
        <v>2</v>
      </c>
    </row>
    <row r="1952" spans="29:32" x14ac:dyDescent="0.25">
      <c r="AC1952">
        <v>40.26</v>
      </c>
      <c r="AE1952">
        <v>42.33</v>
      </c>
      <c r="AF1952">
        <f t="shared" si="30"/>
        <v>3</v>
      </c>
    </row>
    <row r="1953" spans="29:32" x14ac:dyDescent="0.25">
      <c r="AC1953">
        <v>41</v>
      </c>
      <c r="AE1953">
        <v>42.34</v>
      </c>
      <c r="AF1953">
        <f t="shared" si="30"/>
        <v>1</v>
      </c>
    </row>
    <row r="1954" spans="29:32" x14ac:dyDescent="0.25">
      <c r="AC1954">
        <v>41.08</v>
      </c>
      <c r="AE1954">
        <v>42.35</v>
      </c>
      <c r="AF1954">
        <f t="shared" si="30"/>
        <v>1</v>
      </c>
    </row>
    <row r="1955" spans="29:32" x14ac:dyDescent="0.25">
      <c r="AC1955">
        <v>41.02</v>
      </c>
      <c r="AE1955">
        <v>42.35</v>
      </c>
      <c r="AF1955">
        <f t="shared" si="30"/>
        <v>2</v>
      </c>
    </row>
    <row r="1956" spans="29:32" x14ac:dyDescent="0.25">
      <c r="AC1956">
        <v>41.26</v>
      </c>
      <c r="AE1956">
        <v>42.35</v>
      </c>
      <c r="AF1956">
        <f t="shared" si="30"/>
        <v>3</v>
      </c>
    </row>
    <row r="1957" spans="29:32" x14ac:dyDescent="0.25">
      <c r="AC1957">
        <v>41.24</v>
      </c>
      <c r="AE1957">
        <v>42.35</v>
      </c>
      <c r="AF1957">
        <f t="shared" si="30"/>
        <v>4</v>
      </c>
    </row>
    <row r="1958" spans="29:32" x14ac:dyDescent="0.25">
      <c r="AC1958">
        <v>40.549999999999997</v>
      </c>
      <c r="AE1958">
        <v>42.36</v>
      </c>
      <c r="AF1958">
        <f t="shared" si="30"/>
        <v>1</v>
      </c>
    </row>
    <row r="1959" spans="29:32" x14ac:dyDescent="0.25">
      <c r="AC1959">
        <v>40.68</v>
      </c>
      <c r="AE1959">
        <v>42.36</v>
      </c>
      <c r="AF1959">
        <f t="shared" si="30"/>
        <v>2</v>
      </c>
    </row>
    <row r="1960" spans="29:32" x14ac:dyDescent="0.25">
      <c r="AC1960">
        <v>40.58</v>
      </c>
      <c r="AE1960">
        <v>42.36</v>
      </c>
      <c r="AF1960">
        <f t="shared" si="30"/>
        <v>3</v>
      </c>
    </row>
    <row r="1961" spans="29:32" x14ac:dyDescent="0.25">
      <c r="AC1961">
        <v>40.9</v>
      </c>
      <c r="AE1961">
        <v>42.36</v>
      </c>
      <c r="AF1961">
        <f t="shared" si="30"/>
        <v>4</v>
      </c>
    </row>
    <row r="1962" spans="29:32" x14ac:dyDescent="0.25">
      <c r="AC1962">
        <v>41.2</v>
      </c>
      <c r="AE1962">
        <v>42.37</v>
      </c>
      <c r="AF1962">
        <f t="shared" si="30"/>
        <v>1</v>
      </c>
    </row>
    <row r="1963" spans="29:32" x14ac:dyDescent="0.25">
      <c r="AC1963">
        <v>41.4</v>
      </c>
      <c r="AE1963">
        <v>42.38</v>
      </c>
      <c r="AF1963">
        <f t="shared" si="30"/>
        <v>1</v>
      </c>
    </row>
    <row r="1964" spans="29:32" x14ac:dyDescent="0.25">
      <c r="AC1964">
        <v>41.13</v>
      </c>
      <c r="AE1964">
        <v>42.39</v>
      </c>
      <c r="AF1964">
        <f t="shared" si="30"/>
        <v>1</v>
      </c>
    </row>
    <row r="1965" spans="29:32" x14ac:dyDescent="0.25">
      <c r="AC1965">
        <v>40.57</v>
      </c>
      <c r="AE1965">
        <v>42.4</v>
      </c>
      <c r="AF1965">
        <f t="shared" si="30"/>
        <v>1</v>
      </c>
    </row>
    <row r="1966" spans="29:32" x14ac:dyDescent="0.25">
      <c r="AC1966">
        <v>41.4</v>
      </c>
      <c r="AE1966">
        <v>42.4</v>
      </c>
      <c r="AF1966">
        <f t="shared" si="30"/>
        <v>2</v>
      </c>
    </row>
    <row r="1967" spans="29:32" x14ac:dyDescent="0.25">
      <c r="AC1967">
        <v>41.37</v>
      </c>
      <c r="AE1967">
        <v>42.4</v>
      </c>
      <c r="AF1967">
        <f t="shared" si="30"/>
        <v>3</v>
      </c>
    </row>
    <row r="1968" spans="29:32" x14ac:dyDescent="0.25">
      <c r="AC1968">
        <v>41.83</v>
      </c>
      <c r="AE1968">
        <v>42.41</v>
      </c>
      <c r="AF1968">
        <f t="shared" si="30"/>
        <v>1</v>
      </c>
    </row>
    <row r="1969" spans="29:32" x14ac:dyDescent="0.25">
      <c r="AC1969">
        <v>41.91</v>
      </c>
      <c r="AE1969">
        <v>42.41</v>
      </c>
      <c r="AF1969">
        <f t="shared" si="30"/>
        <v>2</v>
      </c>
    </row>
    <row r="1970" spans="29:32" x14ac:dyDescent="0.25">
      <c r="AC1970">
        <v>40.94</v>
      </c>
      <c r="AE1970">
        <v>42.42</v>
      </c>
      <c r="AF1970">
        <f t="shared" si="30"/>
        <v>1</v>
      </c>
    </row>
    <row r="1971" spans="29:32" x14ac:dyDescent="0.25">
      <c r="AC1971">
        <v>41.4</v>
      </c>
      <c r="AE1971">
        <v>42.42</v>
      </c>
      <c r="AF1971">
        <f t="shared" si="30"/>
        <v>2</v>
      </c>
    </row>
    <row r="1972" spans="29:32" x14ac:dyDescent="0.25">
      <c r="AC1972">
        <v>41.69</v>
      </c>
      <c r="AE1972">
        <v>42.43</v>
      </c>
      <c r="AF1972">
        <f t="shared" si="30"/>
        <v>1</v>
      </c>
    </row>
    <row r="1973" spans="29:32" x14ac:dyDescent="0.25">
      <c r="AC1973">
        <v>41.33</v>
      </c>
      <c r="AE1973">
        <v>42.43</v>
      </c>
      <c r="AF1973">
        <f t="shared" si="30"/>
        <v>2</v>
      </c>
    </row>
    <row r="1974" spans="29:32" x14ac:dyDescent="0.25">
      <c r="AC1974">
        <v>41.49</v>
      </c>
      <c r="AE1974">
        <v>42.43</v>
      </c>
      <c r="AF1974">
        <f t="shared" si="30"/>
        <v>3</v>
      </c>
    </row>
    <row r="1975" spans="29:32" x14ac:dyDescent="0.25">
      <c r="AC1975">
        <v>41.75</v>
      </c>
      <c r="AE1975">
        <v>42.43</v>
      </c>
      <c r="AF1975">
        <f t="shared" si="30"/>
        <v>4</v>
      </c>
    </row>
    <row r="1976" spans="29:32" x14ac:dyDescent="0.25">
      <c r="AC1976">
        <v>41.28</v>
      </c>
      <c r="AE1976">
        <v>42.43</v>
      </c>
      <c r="AF1976">
        <f t="shared" si="30"/>
        <v>5</v>
      </c>
    </row>
    <row r="1977" spans="29:32" x14ac:dyDescent="0.25">
      <c r="AC1977">
        <v>42.3</v>
      </c>
      <c r="AE1977">
        <v>42.44</v>
      </c>
      <c r="AF1977">
        <f t="shared" si="30"/>
        <v>1</v>
      </c>
    </row>
    <row r="1978" spans="29:32" x14ac:dyDescent="0.25">
      <c r="AC1978">
        <v>41.61</v>
      </c>
      <c r="AE1978">
        <v>42.44</v>
      </c>
      <c r="AF1978">
        <f t="shared" si="30"/>
        <v>2</v>
      </c>
    </row>
    <row r="1979" spans="29:32" x14ac:dyDescent="0.25">
      <c r="AC1979">
        <v>41.71</v>
      </c>
      <c r="AE1979">
        <v>42.44</v>
      </c>
      <c r="AF1979">
        <f t="shared" si="30"/>
        <v>3</v>
      </c>
    </row>
    <row r="1980" spans="29:32" x14ac:dyDescent="0.25">
      <c r="AC1980">
        <v>42.24</v>
      </c>
      <c r="AE1980">
        <v>42.45</v>
      </c>
      <c r="AF1980">
        <f t="shared" si="30"/>
        <v>1</v>
      </c>
    </row>
    <row r="1981" spans="29:32" x14ac:dyDescent="0.25">
      <c r="AC1981">
        <v>42.4</v>
      </c>
      <c r="AE1981">
        <v>42.46</v>
      </c>
      <c r="AF1981">
        <f t="shared" si="30"/>
        <v>1</v>
      </c>
    </row>
    <row r="1982" spans="29:32" x14ac:dyDescent="0.25">
      <c r="AC1982">
        <v>41.66</v>
      </c>
      <c r="AE1982">
        <v>42.47</v>
      </c>
      <c r="AF1982">
        <f t="shared" si="30"/>
        <v>1</v>
      </c>
    </row>
    <row r="1983" spans="29:32" x14ac:dyDescent="0.25">
      <c r="AC1983">
        <v>42.1</v>
      </c>
      <c r="AE1983">
        <v>42.48</v>
      </c>
      <c r="AF1983">
        <f t="shared" si="30"/>
        <v>1</v>
      </c>
    </row>
    <row r="1984" spans="29:32" x14ac:dyDescent="0.25">
      <c r="AC1984">
        <v>42.25</v>
      </c>
      <c r="AE1984">
        <v>42.49</v>
      </c>
      <c r="AF1984">
        <f t="shared" si="30"/>
        <v>1</v>
      </c>
    </row>
    <row r="1985" spans="29:32" x14ac:dyDescent="0.25">
      <c r="AC1985">
        <v>42.52</v>
      </c>
      <c r="AE1985">
        <v>42.49</v>
      </c>
      <c r="AF1985">
        <f t="shared" si="30"/>
        <v>2</v>
      </c>
    </row>
    <row r="1986" spans="29:32" x14ac:dyDescent="0.25">
      <c r="AC1986">
        <v>42.11</v>
      </c>
      <c r="AE1986">
        <v>42.5</v>
      </c>
      <c r="AF1986">
        <f t="shared" si="30"/>
        <v>1</v>
      </c>
    </row>
    <row r="1987" spans="29:32" x14ac:dyDescent="0.25">
      <c r="AC1987">
        <v>42.29</v>
      </c>
      <c r="AE1987">
        <v>42.51</v>
      </c>
      <c r="AF1987">
        <f t="shared" si="30"/>
        <v>1</v>
      </c>
    </row>
    <row r="1988" spans="29:32" x14ac:dyDescent="0.25">
      <c r="AC1988">
        <v>42.73</v>
      </c>
      <c r="AE1988">
        <v>42.51</v>
      </c>
      <c r="AF1988">
        <f t="shared" ref="AF1988:AF2051" si="31">IF(AE1988=AE1987,AF1987+1,1)</f>
        <v>2</v>
      </c>
    </row>
    <row r="1989" spans="29:32" x14ac:dyDescent="0.25">
      <c r="AC1989">
        <v>42.55</v>
      </c>
      <c r="AE1989">
        <v>42.51</v>
      </c>
      <c r="AF1989">
        <f t="shared" si="31"/>
        <v>3</v>
      </c>
    </row>
    <row r="1990" spans="29:32" x14ac:dyDescent="0.25">
      <c r="AC1990">
        <v>42.07</v>
      </c>
      <c r="AE1990">
        <v>42.51</v>
      </c>
      <c r="AF1990">
        <f t="shared" si="31"/>
        <v>4</v>
      </c>
    </row>
    <row r="1991" spans="29:32" x14ac:dyDescent="0.25">
      <c r="AC1991">
        <v>42.9</v>
      </c>
      <c r="AE1991">
        <v>42.52</v>
      </c>
      <c r="AF1991">
        <f t="shared" si="31"/>
        <v>1</v>
      </c>
    </row>
    <row r="1992" spans="29:32" x14ac:dyDescent="0.25">
      <c r="AC1992">
        <v>42.56</v>
      </c>
      <c r="AE1992">
        <v>42.52</v>
      </c>
      <c r="AF1992">
        <f t="shared" si="31"/>
        <v>2</v>
      </c>
    </row>
    <row r="1993" spans="29:32" x14ac:dyDescent="0.25">
      <c r="AC1993">
        <v>42.83</v>
      </c>
      <c r="AE1993">
        <v>42.52</v>
      </c>
      <c r="AF1993">
        <f t="shared" si="31"/>
        <v>3</v>
      </c>
    </row>
    <row r="1994" spans="29:32" x14ac:dyDescent="0.25">
      <c r="AC1994">
        <v>42.66</v>
      </c>
      <c r="AE1994">
        <v>42.52</v>
      </c>
      <c r="AF1994">
        <f t="shared" si="31"/>
        <v>4</v>
      </c>
    </row>
    <row r="1995" spans="29:32" x14ac:dyDescent="0.25">
      <c r="AC1995">
        <v>42.59</v>
      </c>
      <c r="AE1995">
        <v>42.52</v>
      </c>
      <c r="AF1995">
        <f t="shared" si="31"/>
        <v>5</v>
      </c>
    </row>
    <row r="1996" spans="29:32" x14ac:dyDescent="0.25">
      <c r="AC1996">
        <v>42.87</v>
      </c>
      <c r="AE1996">
        <v>42.52</v>
      </c>
      <c r="AF1996">
        <f t="shared" si="31"/>
        <v>6</v>
      </c>
    </row>
    <row r="1997" spans="29:32" x14ac:dyDescent="0.25">
      <c r="AC1997">
        <v>42.86</v>
      </c>
      <c r="AE1997">
        <v>42.52</v>
      </c>
      <c r="AF1997">
        <f t="shared" si="31"/>
        <v>7</v>
      </c>
    </row>
    <row r="1998" spans="29:32" x14ac:dyDescent="0.25">
      <c r="AC1998">
        <v>42.95</v>
      </c>
      <c r="AE1998">
        <v>42.53</v>
      </c>
      <c r="AF1998">
        <f t="shared" si="31"/>
        <v>1</v>
      </c>
    </row>
    <row r="1999" spans="29:32" x14ac:dyDescent="0.25">
      <c r="AC1999">
        <v>42.98</v>
      </c>
      <c r="AE1999">
        <v>42.53</v>
      </c>
      <c r="AF1999">
        <f t="shared" si="31"/>
        <v>2</v>
      </c>
    </row>
    <row r="2000" spans="29:32" x14ac:dyDescent="0.25">
      <c r="AC2000">
        <v>43.09</v>
      </c>
      <c r="AE2000">
        <v>42.53</v>
      </c>
      <c r="AF2000">
        <f t="shared" si="31"/>
        <v>3</v>
      </c>
    </row>
    <row r="2001" spans="29:32" x14ac:dyDescent="0.25">
      <c r="AC2001">
        <v>44.14</v>
      </c>
      <c r="AE2001">
        <v>42.53</v>
      </c>
      <c r="AF2001">
        <f t="shared" si="31"/>
        <v>4</v>
      </c>
    </row>
    <row r="2002" spans="29:32" x14ac:dyDescent="0.25">
      <c r="AC2002">
        <v>43.95</v>
      </c>
      <c r="AE2002">
        <v>42.54</v>
      </c>
      <c r="AF2002">
        <f t="shared" si="31"/>
        <v>1</v>
      </c>
    </row>
    <row r="2003" spans="29:32" x14ac:dyDescent="0.25">
      <c r="AC2003">
        <v>44.46</v>
      </c>
      <c r="AE2003">
        <v>42.54</v>
      </c>
      <c r="AF2003">
        <f t="shared" si="31"/>
        <v>2</v>
      </c>
    </row>
    <row r="2004" spans="29:32" x14ac:dyDescent="0.25">
      <c r="AC2004">
        <v>45.36</v>
      </c>
      <c r="AE2004">
        <v>42.54</v>
      </c>
      <c r="AF2004">
        <f t="shared" si="31"/>
        <v>3</v>
      </c>
    </row>
    <row r="2005" spans="29:32" x14ac:dyDescent="0.25">
      <c r="AC2005">
        <v>46.54</v>
      </c>
      <c r="AE2005">
        <v>42.54</v>
      </c>
      <c r="AF2005">
        <f t="shared" si="31"/>
        <v>4</v>
      </c>
    </row>
    <row r="2006" spans="29:32" x14ac:dyDescent="0.25">
      <c r="AC2006">
        <v>46.78</v>
      </c>
      <c r="AE2006">
        <v>42.55</v>
      </c>
      <c r="AF2006">
        <f t="shared" si="31"/>
        <v>1</v>
      </c>
    </row>
    <row r="2007" spans="29:32" x14ac:dyDescent="0.25">
      <c r="AC2007">
        <v>47.16</v>
      </c>
      <c r="AE2007">
        <v>42.55</v>
      </c>
      <c r="AF2007">
        <f t="shared" si="31"/>
        <v>2</v>
      </c>
    </row>
    <row r="2008" spans="29:32" x14ac:dyDescent="0.25">
      <c r="AC2008">
        <v>48.06</v>
      </c>
      <c r="AE2008">
        <v>42.56</v>
      </c>
      <c r="AF2008">
        <f t="shared" si="31"/>
        <v>1</v>
      </c>
    </row>
    <row r="2009" spans="29:32" x14ac:dyDescent="0.25">
      <c r="AC2009">
        <v>48.17</v>
      </c>
      <c r="AE2009">
        <v>42.56</v>
      </c>
      <c r="AF2009">
        <f t="shared" si="31"/>
        <v>2</v>
      </c>
    </row>
    <row r="2010" spans="29:32" x14ac:dyDescent="0.25">
      <c r="AC2010" cm="1">
        <f t="array" ref="AC2010:AC2260">X2:X252</f>
        <v>16.12</v>
      </c>
      <c r="AE2010">
        <v>42.56</v>
      </c>
      <c r="AF2010">
        <f t="shared" si="31"/>
        <v>3</v>
      </c>
    </row>
    <row r="2011" spans="29:32" x14ac:dyDescent="0.25">
      <c r="AC2011">
        <v>16.39</v>
      </c>
      <c r="AE2011">
        <v>42.56</v>
      </c>
      <c r="AF2011">
        <f t="shared" si="31"/>
        <v>4</v>
      </c>
    </row>
    <row r="2012" spans="29:32" x14ac:dyDescent="0.25">
      <c r="AC2012">
        <v>16.73</v>
      </c>
      <c r="AE2012">
        <v>42.57</v>
      </c>
      <c r="AF2012">
        <f t="shared" si="31"/>
        <v>1</v>
      </c>
    </row>
    <row r="2013" spans="29:32" x14ac:dyDescent="0.25">
      <c r="AC2013">
        <v>17.95</v>
      </c>
      <c r="AE2013">
        <v>42.57</v>
      </c>
      <c r="AF2013">
        <f t="shared" si="31"/>
        <v>2</v>
      </c>
    </row>
    <row r="2014" spans="29:32" x14ac:dyDescent="0.25">
      <c r="AC2014">
        <v>18.010000000000002</v>
      </c>
      <c r="AE2014">
        <v>42.57</v>
      </c>
      <c r="AF2014">
        <f t="shared" si="31"/>
        <v>3</v>
      </c>
    </row>
    <row r="2015" spans="29:32" x14ac:dyDescent="0.25">
      <c r="AC2015">
        <v>17.43</v>
      </c>
      <c r="AE2015">
        <v>42.57</v>
      </c>
      <c r="AF2015">
        <f t="shared" si="31"/>
        <v>4</v>
      </c>
    </row>
    <row r="2016" spans="29:32" x14ac:dyDescent="0.25">
      <c r="AC2016">
        <v>18</v>
      </c>
      <c r="AE2016">
        <v>42.57</v>
      </c>
      <c r="AF2016">
        <f t="shared" si="31"/>
        <v>5</v>
      </c>
    </row>
    <row r="2017" spans="29:32" x14ac:dyDescent="0.25">
      <c r="AC2017">
        <v>17.579999999999998</v>
      </c>
      <c r="AE2017">
        <v>42.58</v>
      </c>
      <c r="AF2017">
        <f t="shared" si="31"/>
        <v>1</v>
      </c>
    </row>
    <row r="2018" spans="29:32" x14ac:dyDescent="0.25">
      <c r="AC2018">
        <v>18.11</v>
      </c>
      <c r="AE2018">
        <v>42.58</v>
      </c>
      <c r="AF2018">
        <f t="shared" si="31"/>
        <v>2</v>
      </c>
    </row>
    <row r="2019" spans="29:32" x14ac:dyDescent="0.25">
      <c r="AC2019">
        <v>17.86</v>
      </c>
      <c r="AE2019">
        <v>42.58</v>
      </c>
      <c r="AF2019">
        <f t="shared" si="31"/>
        <v>3</v>
      </c>
    </row>
    <row r="2020" spans="29:32" x14ac:dyDescent="0.25">
      <c r="AC2020">
        <v>18.21</v>
      </c>
      <c r="AE2020">
        <v>42.59</v>
      </c>
      <c r="AF2020">
        <f t="shared" si="31"/>
        <v>1</v>
      </c>
    </row>
    <row r="2021" spans="29:32" x14ac:dyDescent="0.25">
      <c r="AC2021">
        <v>18.79</v>
      </c>
      <c r="AE2021">
        <v>42.59</v>
      </c>
      <c r="AF2021">
        <f t="shared" si="31"/>
        <v>2</v>
      </c>
    </row>
    <row r="2022" spans="29:32" x14ac:dyDescent="0.25">
      <c r="AC2022">
        <v>17.93</v>
      </c>
      <c r="AE2022">
        <v>42.59</v>
      </c>
      <c r="AF2022">
        <f t="shared" si="31"/>
        <v>3</v>
      </c>
    </row>
    <row r="2023" spans="29:32" x14ac:dyDescent="0.25">
      <c r="AC2023">
        <v>18.48</v>
      </c>
      <c r="AE2023">
        <v>42.59</v>
      </c>
      <c r="AF2023">
        <f t="shared" si="31"/>
        <v>4</v>
      </c>
    </row>
    <row r="2024" spans="29:32" x14ac:dyDescent="0.25">
      <c r="AC2024">
        <v>18.61</v>
      </c>
      <c r="AE2024">
        <v>42.6</v>
      </c>
      <c r="AF2024">
        <f t="shared" si="31"/>
        <v>1</v>
      </c>
    </row>
    <row r="2025" spans="29:32" x14ac:dyDescent="0.25">
      <c r="AC2025">
        <v>19.010000000000002</v>
      </c>
      <c r="AE2025">
        <v>42.6</v>
      </c>
      <c r="AF2025">
        <f t="shared" si="31"/>
        <v>2</v>
      </c>
    </row>
    <row r="2026" spans="29:32" x14ac:dyDescent="0.25">
      <c r="AC2026">
        <v>18.29</v>
      </c>
      <c r="AE2026">
        <v>42.61</v>
      </c>
      <c r="AF2026">
        <f t="shared" si="31"/>
        <v>1</v>
      </c>
    </row>
    <row r="2027" spans="29:32" x14ac:dyDescent="0.25">
      <c r="AC2027">
        <v>18.03</v>
      </c>
      <c r="AE2027">
        <v>42.61</v>
      </c>
      <c r="AF2027">
        <f t="shared" si="31"/>
        <v>2</v>
      </c>
    </row>
    <row r="2028" spans="29:32" x14ac:dyDescent="0.25">
      <c r="AC2028">
        <v>17.61</v>
      </c>
      <c r="AE2028">
        <v>42.61</v>
      </c>
      <c r="AF2028">
        <f t="shared" si="31"/>
        <v>3</v>
      </c>
    </row>
    <row r="2029" spans="29:32" x14ac:dyDescent="0.25">
      <c r="AC2029">
        <v>18.77</v>
      </c>
      <c r="AE2029">
        <v>42.62</v>
      </c>
      <c r="AF2029">
        <f t="shared" si="31"/>
        <v>1</v>
      </c>
    </row>
    <row r="2030" spans="29:32" x14ac:dyDescent="0.25">
      <c r="AC2030">
        <v>19.239999999999998</v>
      </c>
      <c r="AE2030">
        <v>42.63</v>
      </c>
      <c r="AF2030">
        <f t="shared" si="31"/>
        <v>1</v>
      </c>
    </row>
    <row r="2031" spans="29:32" x14ac:dyDescent="0.25">
      <c r="AC2031">
        <v>19.11</v>
      </c>
      <c r="AE2031">
        <v>42.63</v>
      </c>
      <c r="AF2031">
        <f t="shared" si="31"/>
        <v>2</v>
      </c>
    </row>
    <row r="2032" spans="29:32" x14ac:dyDescent="0.25">
      <c r="AC2032">
        <v>18.64</v>
      </c>
      <c r="AE2032">
        <v>42.63</v>
      </c>
      <c r="AF2032">
        <f t="shared" si="31"/>
        <v>3</v>
      </c>
    </row>
    <row r="2033" spans="29:32" x14ac:dyDescent="0.25">
      <c r="AC2033">
        <v>18.98</v>
      </c>
      <c r="AE2033">
        <v>42.63</v>
      </c>
      <c r="AF2033">
        <f t="shared" si="31"/>
        <v>4</v>
      </c>
    </row>
    <row r="2034" spans="29:32" x14ac:dyDescent="0.25">
      <c r="AC2034">
        <v>17.93</v>
      </c>
      <c r="AE2034">
        <v>42.64</v>
      </c>
      <c r="AF2034">
        <f t="shared" si="31"/>
        <v>1</v>
      </c>
    </row>
    <row r="2035" spans="29:32" x14ac:dyDescent="0.25">
      <c r="AC2035">
        <v>19.3</v>
      </c>
      <c r="AE2035">
        <v>42.66</v>
      </c>
      <c r="AF2035">
        <f t="shared" si="31"/>
        <v>1</v>
      </c>
    </row>
    <row r="2036" spans="29:32" x14ac:dyDescent="0.25">
      <c r="AC2036">
        <v>18.59</v>
      </c>
      <c r="AE2036">
        <v>42.66</v>
      </c>
      <c r="AF2036">
        <f t="shared" si="31"/>
        <v>2</v>
      </c>
    </row>
    <row r="2037" spans="29:32" x14ac:dyDescent="0.25">
      <c r="AC2037">
        <v>18.47</v>
      </c>
      <c r="AE2037">
        <v>42.67</v>
      </c>
      <c r="AF2037">
        <f t="shared" si="31"/>
        <v>1</v>
      </c>
    </row>
    <row r="2038" spans="29:32" x14ac:dyDescent="0.25">
      <c r="AC2038">
        <v>18.55</v>
      </c>
      <c r="AE2038">
        <v>42.67</v>
      </c>
      <c r="AF2038">
        <f t="shared" si="31"/>
        <v>2</v>
      </c>
    </row>
    <row r="2039" spans="29:32" x14ac:dyDescent="0.25">
      <c r="AC2039">
        <v>18.79</v>
      </c>
      <c r="AE2039">
        <v>42.68</v>
      </c>
      <c r="AF2039">
        <f t="shared" si="31"/>
        <v>1</v>
      </c>
    </row>
    <row r="2040" spans="29:32" x14ac:dyDescent="0.25">
      <c r="AC2040">
        <v>19.170000000000002</v>
      </c>
      <c r="AE2040">
        <v>42.68</v>
      </c>
      <c r="AF2040">
        <f t="shared" si="31"/>
        <v>2</v>
      </c>
    </row>
    <row r="2041" spans="29:32" x14ac:dyDescent="0.25">
      <c r="AC2041">
        <v>17.95</v>
      </c>
      <c r="AE2041">
        <v>42.68</v>
      </c>
      <c r="AF2041">
        <f t="shared" si="31"/>
        <v>3</v>
      </c>
    </row>
    <row r="2042" spans="29:32" x14ac:dyDescent="0.25">
      <c r="AC2042">
        <v>18.72</v>
      </c>
      <c r="AE2042">
        <v>42.69</v>
      </c>
      <c r="AF2042">
        <f t="shared" si="31"/>
        <v>1</v>
      </c>
    </row>
    <row r="2043" spans="29:32" x14ac:dyDescent="0.25">
      <c r="AC2043">
        <v>19.010000000000002</v>
      </c>
      <c r="AE2043">
        <v>42.69</v>
      </c>
      <c r="AF2043">
        <f t="shared" si="31"/>
        <v>2</v>
      </c>
    </row>
    <row r="2044" spans="29:32" x14ac:dyDescent="0.25">
      <c r="AC2044">
        <v>18.27</v>
      </c>
      <c r="AE2044">
        <v>42.7</v>
      </c>
      <c r="AF2044">
        <f t="shared" si="31"/>
        <v>1</v>
      </c>
    </row>
    <row r="2045" spans="29:32" x14ac:dyDescent="0.25">
      <c r="AC2045">
        <v>18.43</v>
      </c>
      <c r="AE2045">
        <v>42.7</v>
      </c>
      <c r="AF2045">
        <f t="shared" si="31"/>
        <v>2</v>
      </c>
    </row>
    <row r="2046" spans="29:32" x14ac:dyDescent="0.25">
      <c r="AC2046">
        <v>18.22</v>
      </c>
      <c r="AE2046">
        <v>42.7</v>
      </c>
      <c r="AF2046">
        <f t="shared" si="31"/>
        <v>3</v>
      </c>
    </row>
    <row r="2047" spans="29:32" x14ac:dyDescent="0.25">
      <c r="AC2047">
        <v>18.8</v>
      </c>
      <c r="AE2047">
        <v>42.7</v>
      </c>
      <c r="AF2047">
        <f t="shared" si="31"/>
        <v>4</v>
      </c>
    </row>
    <row r="2048" spans="29:32" x14ac:dyDescent="0.25">
      <c r="AC2048">
        <v>19.03</v>
      </c>
      <c r="AE2048">
        <v>42.71</v>
      </c>
      <c r="AF2048">
        <f t="shared" si="31"/>
        <v>1</v>
      </c>
    </row>
    <row r="2049" spans="29:32" x14ac:dyDescent="0.25">
      <c r="AC2049">
        <v>18.440000000000001</v>
      </c>
      <c r="AE2049">
        <v>42.72</v>
      </c>
      <c r="AF2049">
        <f t="shared" si="31"/>
        <v>1</v>
      </c>
    </row>
    <row r="2050" spans="29:32" x14ac:dyDescent="0.25">
      <c r="AC2050">
        <v>19.18</v>
      </c>
      <c r="AE2050">
        <v>42.72</v>
      </c>
      <c r="AF2050">
        <f t="shared" si="31"/>
        <v>2</v>
      </c>
    </row>
    <row r="2051" spans="29:32" x14ac:dyDescent="0.25">
      <c r="AC2051">
        <v>19.75</v>
      </c>
      <c r="AE2051">
        <v>42.73</v>
      </c>
      <c r="AF2051">
        <f t="shared" si="31"/>
        <v>1</v>
      </c>
    </row>
    <row r="2052" spans="29:32" x14ac:dyDescent="0.25">
      <c r="AC2052">
        <v>19.54</v>
      </c>
      <c r="AE2052">
        <v>42.73</v>
      </c>
      <c r="AF2052">
        <f t="shared" ref="AF2052:AF2115" si="32">IF(AE2052=AE2051,AF2051+1,1)</f>
        <v>2</v>
      </c>
    </row>
    <row r="2053" spans="29:32" x14ac:dyDescent="0.25">
      <c r="AC2053">
        <v>19.97</v>
      </c>
      <c r="AE2053">
        <v>42.74</v>
      </c>
      <c r="AF2053">
        <f t="shared" si="32"/>
        <v>1</v>
      </c>
    </row>
    <row r="2054" spans="29:32" x14ac:dyDescent="0.25">
      <c r="AC2054">
        <v>19.8</v>
      </c>
      <c r="AE2054">
        <v>42.75</v>
      </c>
      <c r="AF2054">
        <f t="shared" si="32"/>
        <v>1</v>
      </c>
    </row>
    <row r="2055" spans="29:32" x14ac:dyDescent="0.25">
      <c r="AC2055">
        <v>19.579999999999998</v>
      </c>
      <c r="AE2055">
        <v>42.75</v>
      </c>
      <c r="AF2055">
        <f t="shared" si="32"/>
        <v>2</v>
      </c>
    </row>
    <row r="2056" spans="29:32" x14ac:dyDescent="0.25">
      <c r="AC2056">
        <v>19.63</v>
      </c>
      <c r="AE2056">
        <v>42.75</v>
      </c>
      <c r="AF2056">
        <f t="shared" si="32"/>
        <v>3</v>
      </c>
    </row>
    <row r="2057" spans="29:32" x14ac:dyDescent="0.25">
      <c r="AC2057">
        <v>19.690000000000001</v>
      </c>
      <c r="AE2057">
        <v>42.76</v>
      </c>
      <c r="AF2057">
        <f t="shared" si="32"/>
        <v>1</v>
      </c>
    </row>
    <row r="2058" spans="29:32" x14ac:dyDescent="0.25">
      <c r="AC2058">
        <v>20.14</v>
      </c>
      <c r="AE2058">
        <v>42.76</v>
      </c>
      <c r="AF2058">
        <f t="shared" si="32"/>
        <v>2</v>
      </c>
    </row>
    <row r="2059" spans="29:32" x14ac:dyDescent="0.25">
      <c r="AC2059">
        <v>20.18</v>
      </c>
      <c r="AE2059">
        <v>42.76</v>
      </c>
      <c r="AF2059">
        <f t="shared" si="32"/>
        <v>3</v>
      </c>
    </row>
    <row r="2060" spans="29:32" x14ac:dyDescent="0.25">
      <c r="AC2060">
        <v>21.26</v>
      </c>
      <c r="AE2060">
        <v>42.77</v>
      </c>
      <c r="AF2060">
        <f t="shared" si="32"/>
        <v>1</v>
      </c>
    </row>
    <row r="2061" spans="29:32" x14ac:dyDescent="0.25">
      <c r="AC2061">
        <v>21.48</v>
      </c>
      <c r="AE2061">
        <v>42.77</v>
      </c>
      <c r="AF2061">
        <f t="shared" si="32"/>
        <v>2</v>
      </c>
    </row>
    <row r="2062" spans="29:32" x14ac:dyDescent="0.25">
      <c r="AC2062">
        <v>22.06</v>
      </c>
      <c r="AE2062">
        <v>42.77</v>
      </c>
      <c r="AF2062">
        <f t="shared" si="32"/>
        <v>3</v>
      </c>
    </row>
    <row r="2063" spans="29:32" x14ac:dyDescent="0.25">
      <c r="AC2063">
        <v>22.41</v>
      </c>
      <c r="AE2063">
        <v>42.77</v>
      </c>
      <c r="AF2063">
        <f t="shared" si="32"/>
        <v>4</v>
      </c>
    </row>
    <row r="2064" spans="29:32" x14ac:dyDescent="0.25">
      <c r="AC2064">
        <v>23.55</v>
      </c>
      <c r="AE2064">
        <v>42.77</v>
      </c>
      <c r="AF2064">
        <f t="shared" si="32"/>
        <v>5</v>
      </c>
    </row>
    <row r="2065" spans="29:32" x14ac:dyDescent="0.25">
      <c r="AC2065">
        <v>23.6</v>
      </c>
      <c r="AE2065">
        <v>42.77</v>
      </c>
      <c r="AF2065">
        <f t="shared" si="32"/>
        <v>6</v>
      </c>
    </row>
    <row r="2066" spans="29:32" x14ac:dyDescent="0.25">
      <c r="AC2066">
        <v>23.97</v>
      </c>
      <c r="AE2066">
        <v>42.78</v>
      </c>
      <c r="AF2066">
        <f t="shared" si="32"/>
        <v>1</v>
      </c>
    </row>
    <row r="2067" spans="29:32" x14ac:dyDescent="0.25">
      <c r="AC2067">
        <v>25.59</v>
      </c>
      <c r="AE2067">
        <v>42.78</v>
      </c>
      <c r="AF2067">
        <f t="shared" si="32"/>
        <v>2</v>
      </c>
    </row>
    <row r="2068" spans="29:32" x14ac:dyDescent="0.25">
      <c r="AC2068">
        <v>26.02</v>
      </c>
      <c r="AE2068">
        <v>42.78</v>
      </c>
      <c r="AF2068">
        <f t="shared" si="32"/>
        <v>3</v>
      </c>
    </row>
    <row r="2069" spans="29:32" x14ac:dyDescent="0.25">
      <c r="AC2069">
        <v>28.15</v>
      </c>
      <c r="AE2069">
        <v>42.78</v>
      </c>
      <c r="AF2069">
        <f t="shared" si="32"/>
        <v>4</v>
      </c>
    </row>
    <row r="2070" spans="29:32" x14ac:dyDescent="0.25">
      <c r="AC2070">
        <v>28.41</v>
      </c>
      <c r="AE2070">
        <v>42.79</v>
      </c>
      <c r="AF2070">
        <f t="shared" si="32"/>
        <v>1</v>
      </c>
    </row>
    <row r="2071" spans="29:32" x14ac:dyDescent="0.25">
      <c r="AC2071">
        <v>28.73</v>
      </c>
      <c r="AE2071">
        <v>42.79</v>
      </c>
      <c r="AF2071">
        <f t="shared" si="32"/>
        <v>2</v>
      </c>
    </row>
    <row r="2072" spans="29:32" x14ac:dyDescent="0.25">
      <c r="AC2072">
        <v>28.65</v>
      </c>
      <c r="AE2072">
        <v>42.81</v>
      </c>
      <c r="AF2072">
        <f t="shared" si="32"/>
        <v>1</v>
      </c>
    </row>
    <row r="2073" spans="29:32" x14ac:dyDescent="0.25">
      <c r="AC2073">
        <v>28.77</v>
      </c>
      <c r="AE2073">
        <v>42.81</v>
      </c>
      <c r="AF2073">
        <f t="shared" si="32"/>
        <v>2</v>
      </c>
    </row>
    <row r="2074" spans="29:32" x14ac:dyDescent="0.25">
      <c r="AC2074">
        <v>28.64</v>
      </c>
      <c r="AE2074">
        <v>42.82</v>
      </c>
      <c r="AF2074">
        <f t="shared" si="32"/>
        <v>1</v>
      </c>
    </row>
    <row r="2075" spans="29:32" x14ac:dyDescent="0.25">
      <c r="AC2075">
        <v>30.69</v>
      </c>
      <c r="AE2075">
        <v>42.82</v>
      </c>
      <c r="AF2075">
        <f t="shared" si="32"/>
        <v>2</v>
      </c>
    </row>
    <row r="2076" spans="29:32" x14ac:dyDescent="0.25">
      <c r="AC2076">
        <v>30.77</v>
      </c>
      <c r="AE2076">
        <v>42.83</v>
      </c>
      <c r="AF2076">
        <f t="shared" si="32"/>
        <v>1</v>
      </c>
    </row>
    <row r="2077" spans="29:32" x14ac:dyDescent="0.25">
      <c r="AC2077">
        <v>28.74</v>
      </c>
      <c r="AE2077">
        <v>42.83</v>
      </c>
      <c r="AF2077">
        <f t="shared" si="32"/>
        <v>2</v>
      </c>
    </row>
    <row r="2078" spans="29:32" x14ac:dyDescent="0.25">
      <c r="AC2078">
        <v>29.77</v>
      </c>
      <c r="AE2078">
        <v>42.83</v>
      </c>
      <c r="AF2078">
        <f t="shared" si="32"/>
        <v>3</v>
      </c>
    </row>
    <row r="2079" spans="29:32" x14ac:dyDescent="0.25">
      <c r="AC2079">
        <v>29.31</v>
      </c>
      <c r="AE2079">
        <v>42.84</v>
      </c>
      <c r="AF2079">
        <f t="shared" si="32"/>
        <v>1</v>
      </c>
    </row>
    <row r="2080" spans="29:32" x14ac:dyDescent="0.25">
      <c r="AC2080">
        <v>29.29</v>
      </c>
      <c r="AE2080">
        <v>42.84</v>
      </c>
      <c r="AF2080">
        <f t="shared" si="32"/>
        <v>2</v>
      </c>
    </row>
    <row r="2081" spans="29:32" x14ac:dyDescent="0.25">
      <c r="AC2081">
        <v>31.23</v>
      </c>
      <c r="AE2081">
        <v>42.84</v>
      </c>
      <c r="AF2081">
        <f t="shared" si="32"/>
        <v>3</v>
      </c>
    </row>
    <row r="2082" spans="29:32" x14ac:dyDescent="0.25">
      <c r="AC2082">
        <v>31.42</v>
      </c>
      <c r="AE2082">
        <v>42.84</v>
      </c>
      <c r="AF2082">
        <f t="shared" si="32"/>
        <v>4</v>
      </c>
    </row>
    <row r="2083" spans="29:32" x14ac:dyDescent="0.25">
      <c r="AC2083">
        <v>31.68</v>
      </c>
      <c r="AE2083">
        <v>42.84</v>
      </c>
      <c r="AF2083">
        <f t="shared" si="32"/>
        <v>5</v>
      </c>
    </row>
    <row r="2084" spans="29:32" x14ac:dyDescent="0.25">
      <c r="AC2084">
        <v>30.09</v>
      </c>
      <c r="AE2084">
        <v>42.85</v>
      </c>
      <c r="AF2084">
        <f t="shared" si="32"/>
        <v>1</v>
      </c>
    </row>
    <row r="2085" spans="29:32" x14ac:dyDescent="0.25">
      <c r="AC2085">
        <v>30.09</v>
      </c>
      <c r="AE2085">
        <v>42.86</v>
      </c>
      <c r="AF2085">
        <f t="shared" si="32"/>
        <v>1</v>
      </c>
    </row>
    <row r="2086" spans="29:32" x14ac:dyDescent="0.25">
      <c r="AC2086">
        <v>30.91</v>
      </c>
      <c r="AE2086">
        <v>42.86</v>
      </c>
      <c r="AF2086">
        <f t="shared" si="32"/>
        <v>2</v>
      </c>
    </row>
    <row r="2087" spans="29:32" x14ac:dyDescent="0.25">
      <c r="AC2087">
        <v>32.35</v>
      </c>
      <c r="AE2087">
        <v>42.86</v>
      </c>
      <c r="AF2087">
        <f t="shared" si="32"/>
        <v>3</v>
      </c>
    </row>
    <row r="2088" spans="29:32" x14ac:dyDescent="0.25">
      <c r="AC2088">
        <v>32.840000000000003</v>
      </c>
      <c r="AE2088">
        <v>42.87</v>
      </c>
      <c r="AF2088">
        <f t="shared" si="32"/>
        <v>1</v>
      </c>
    </row>
    <row r="2089" spans="29:32" x14ac:dyDescent="0.25">
      <c r="AC2089">
        <v>32.06</v>
      </c>
      <c r="AE2089">
        <v>42.87</v>
      </c>
      <c r="AF2089">
        <f t="shared" si="32"/>
        <v>2</v>
      </c>
    </row>
    <row r="2090" spans="29:32" x14ac:dyDescent="0.25">
      <c r="AC2090">
        <v>30.25</v>
      </c>
      <c r="AE2090">
        <v>42.87</v>
      </c>
      <c r="AF2090">
        <f t="shared" si="32"/>
        <v>3</v>
      </c>
    </row>
    <row r="2091" spans="29:32" x14ac:dyDescent="0.25">
      <c r="AC2091">
        <v>32.659999999999997</v>
      </c>
      <c r="AE2091">
        <v>42.87</v>
      </c>
      <c r="AF2091">
        <f t="shared" si="32"/>
        <v>4</v>
      </c>
    </row>
    <row r="2092" spans="29:32" x14ac:dyDescent="0.25">
      <c r="AC2092">
        <v>33.24</v>
      </c>
      <c r="AE2092">
        <v>42.88</v>
      </c>
      <c r="AF2092">
        <f t="shared" si="32"/>
        <v>1</v>
      </c>
    </row>
    <row r="2093" spans="29:32" x14ac:dyDescent="0.25">
      <c r="AC2093">
        <v>30.89</v>
      </c>
      <c r="AE2093">
        <v>42.88</v>
      </c>
      <c r="AF2093">
        <f t="shared" si="32"/>
        <v>2</v>
      </c>
    </row>
    <row r="2094" spans="29:32" x14ac:dyDescent="0.25">
      <c r="AC2094">
        <v>32.22</v>
      </c>
      <c r="AE2094">
        <v>42.88</v>
      </c>
      <c r="AF2094">
        <f t="shared" si="32"/>
        <v>3</v>
      </c>
    </row>
    <row r="2095" spans="29:32" x14ac:dyDescent="0.25">
      <c r="AC2095">
        <v>32.450000000000003</v>
      </c>
      <c r="AE2095">
        <v>42.89</v>
      </c>
      <c r="AF2095">
        <f t="shared" si="32"/>
        <v>1</v>
      </c>
    </row>
    <row r="2096" spans="29:32" x14ac:dyDescent="0.25">
      <c r="AC2096">
        <v>33.6</v>
      </c>
      <c r="AE2096">
        <v>42.89</v>
      </c>
      <c r="AF2096">
        <f t="shared" si="32"/>
        <v>2</v>
      </c>
    </row>
    <row r="2097" spans="29:32" x14ac:dyDescent="0.25">
      <c r="AC2097">
        <v>33.75</v>
      </c>
      <c r="AE2097">
        <v>42.9</v>
      </c>
      <c r="AF2097">
        <f t="shared" si="32"/>
        <v>1</v>
      </c>
    </row>
    <row r="2098" spans="29:32" x14ac:dyDescent="0.25">
      <c r="AC2098">
        <v>33.68</v>
      </c>
      <c r="AE2098">
        <v>42.9</v>
      </c>
      <c r="AF2098">
        <f t="shared" si="32"/>
        <v>2</v>
      </c>
    </row>
    <row r="2099" spans="29:32" x14ac:dyDescent="0.25">
      <c r="AC2099">
        <v>32.25</v>
      </c>
      <c r="AE2099">
        <v>42.9</v>
      </c>
      <c r="AF2099">
        <f t="shared" si="32"/>
        <v>3</v>
      </c>
    </row>
    <row r="2100" spans="29:32" x14ac:dyDescent="0.25">
      <c r="AC2100">
        <v>34.15</v>
      </c>
      <c r="AE2100">
        <v>42.91</v>
      </c>
      <c r="AF2100">
        <f t="shared" si="32"/>
        <v>1</v>
      </c>
    </row>
    <row r="2101" spans="29:32" x14ac:dyDescent="0.25">
      <c r="AC2101">
        <v>32.409999999999997</v>
      </c>
      <c r="AE2101">
        <v>42.91</v>
      </c>
      <c r="AF2101">
        <f t="shared" si="32"/>
        <v>2</v>
      </c>
    </row>
    <row r="2102" spans="29:32" x14ac:dyDescent="0.25">
      <c r="AC2102">
        <v>33.07</v>
      </c>
      <c r="AE2102">
        <v>42.91</v>
      </c>
      <c r="AF2102">
        <f t="shared" si="32"/>
        <v>3</v>
      </c>
    </row>
    <row r="2103" spans="29:32" x14ac:dyDescent="0.25">
      <c r="AC2103">
        <v>32.369999999999997</v>
      </c>
      <c r="AE2103">
        <v>42.91</v>
      </c>
      <c r="AF2103">
        <f t="shared" si="32"/>
        <v>4</v>
      </c>
    </row>
    <row r="2104" spans="29:32" x14ac:dyDescent="0.25">
      <c r="AC2104">
        <v>32.590000000000003</v>
      </c>
      <c r="AE2104">
        <v>42.91</v>
      </c>
      <c r="AF2104">
        <f t="shared" si="32"/>
        <v>5</v>
      </c>
    </row>
    <row r="2105" spans="29:32" x14ac:dyDescent="0.25">
      <c r="AC2105">
        <v>33.56</v>
      </c>
      <c r="AE2105">
        <v>42.91</v>
      </c>
      <c r="AF2105">
        <f t="shared" si="32"/>
        <v>6</v>
      </c>
    </row>
    <row r="2106" spans="29:32" x14ac:dyDescent="0.25">
      <c r="AC2106">
        <v>32.770000000000003</v>
      </c>
      <c r="AE2106">
        <v>42.92</v>
      </c>
      <c r="AF2106">
        <f t="shared" si="32"/>
        <v>1</v>
      </c>
    </row>
    <row r="2107" spans="29:32" x14ac:dyDescent="0.25">
      <c r="AC2107">
        <v>33.61</v>
      </c>
      <c r="AE2107">
        <v>42.92</v>
      </c>
      <c r="AF2107">
        <f t="shared" si="32"/>
        <v>2</v>
      </c>
    </row>
    <row r="2108" spans="29:32" x14ac:dyDescent="0.25">
      <c r="AC2108">
        <v>32.700000000000003</v>
      </c>
      <c r="AE2108">
        <v>42.93</v>
      </c>
      <c r="AF2108">
        <f t="shared" si="32"/>
        <v>1</v>
      </c>
    </row>
    <row r="2109" spans="29:32" x14ac:dyDescent="0.25">
      <c r="AC2109">
        <v>33.14</v>
      </c>
      <c r="AE2109">
        <v>42.93</v>
      </c>
      <c r="AF2109">
        <f t="shared" si="32"/>
        <v>2</v>
      </c>
    </row>
    <row r="2110" spans="29:32" x14ac:dyDescent="0.25">
      <c r="AC2110">
        <v>33.130000000000003</v>
      </c>
      <c r="AE2110">
        <v>42.93</v>
      </c>
      <c r="AF2110">
        <f t="shared" si="32"/>
        <v>3</v>
      </c>
    </row>
    <row r="2111" spans="29:32" x14ac:dyDescent="0.25">
      <c r="AC2111">
        <v>33.43</v>
      </c>
      <c r="AE2111">
        <v>42.93</v>
      </c>
      <c r="AF2111">
        <f t="shared" si="32"/>
        <v>4</v>
      </c>
    </row>
    <row r="2112" spans="29:32" x14ac:dyDescent="0.25">
      <c r="AC2112">
        <v>35.29</v>
      </c>
      <c r="AE2112">
        <v>42.94</v>
      </c>
      <c r="AF2112">
        <f t="shared" si="32"/>
        <v>1</v>
      </c>
    </row>
    <row r="2113" spans="29:32" x14ac:dyDescent="0.25">
      <c r="AC2113">
        <v>34.1</v>
      </c>
      <c r="AE2113">
        <v>42.94</v>
      </c>
      <c r="AF2113">
        <f t="shared" si="32"/>
        <v>2</v>
      </c>
    </row>
    <row r="2114" spans="29:32" x14ac:dyDescent="0.25">
      <c r="AC2114">
        <v>34.270000000000003</v>
      </c>
      <c r="AE2114">
        <v>42.94</v>
      </c>
      <c r="AF2114">
        <f t="shared" si="32"/>
        <v>3</v>
      </c>
    </row>
    <row r="2115" spans="29:32" x14ac:dyDescent="0.25">
      <c r="AC2115">
        <v>33.619999999999997</v>
      </c>
      <c r="AE2115">
        <v>42.94</v>
      </c>
      <c r="AF2115">
        <f t="shared" si="32"/>
        <v>4</v>
      </c>
    </row>
    <row r="2116" spans="29:32" x14ac:dyDescent="0.25">
      <c r="AC2116">
        <v>33.520000000000003</v>
      </c>
      <c r="AE2116">
        <v>42.94</v>
      </c>
      <c r="AF2116">
        <f t="shared" ref="AF2116:AF2179" si="33">IF(AE2116=AE2115,AF2115+1,1)</f>
        <v>5</v>
      </c>
    </row>
    <row r="2117" spans="29:32" x14ac:dyDescent="0.25">
      <c r="AC2117">
        <v>34.020000000000003</v>
      </c>
      <c r="AE2117">
        <v>42.95</v>
      </c>
      <c r="AF2117">
        <f t="shared" si="33"/>
        <v>1</v>
      </c>
    </row>
    <row r="2118" spans="29:32" x14ac:dyDescent="0.25">
      <c r="AC2118">
        <v>34.119999999999997</v>
      </c>
      <c r="AE2118">
        <v>42.95</v>
      </c>
      <c r="AF2118">
        <f t="shared" si="33"/>
        <v>2</v>
      </c>
    </row>
    <row r="2119" spans="29:32" x14ac:dyDescent="0.25">
      <c r="AC2119">
        <v>33.72</v>
      </c>
      <c r="AE2119">
        <v>42.95</v>
      </c>
      <c r="AF2119">
        <f t="shared" si="33"/>
        <v>3</v>
      </c>
    </row>
    <row r="2120" spans="29:32" x14ac:dyDescent="0.25">
      <c r="AC2120">
        <v>35.770000000000003</v>
      </c>
      <c r="AE2120">
        <v>42.95</v>
      </c>
      <c r="AF2120">
        <f t="shared" si="33"/>
        <v>4</v>
      </c>
    </row>
    <row r="2121" spans="29:32" x14ac:dyDescent="0.25">
      <c r="AC2121">
        <v>33.69</v>
      </c>
      <c r="AE2121">
        <v>42.97</v>
      </c>
      <c r="AF2121">
        <f t="shared" si="33"/>
        <v>1</v>
      </c>
    </row>
    <row r="2122" spans="29:32" x14ac:dyDescent="0.25">
      <c r="AC2122">
        <v>34.01</v>
      </c>
      <c r="AE2122">
        <v>42.97</v>
      </c>
      <c r="AF2122">
        <f t="shared" si="33"/>
        <v>2</v>
      </c>
    </row>
    <row r="2123" spans="29:32" x14ac:dyDescent="0.25">
      <c r="AC2123">
        <v>33.65</v>
      </c>
      <c r="AE2123">
        <v>42.98</v>
      </c>
      <c r="AF2123">
        <f t="shared" si="33"/>
        <v>1</v>
      </c>
    </row>
    <row r="2124" spans="29:32" x14ac:dyDescent="0.25">
      <c r="AC2124">
        <v>33.51</v>
      </c>
      <c r="AE2124">
        <v>42.98</v>
      </c>
      <c r="AF2124">
        <f t="shared" si="33"/>
        <v>2</v>
      </c>
    </row>
    <row r="2125" spans="29:32" x14ac:dyDescent="0.25">
      <c r="AC2125">
        <v>34.56</v>
      </c>
      <c r="AE2125">
        <v>42.98</v>
      </c>
      <c r="AF2125">
        <f t="shared" si="33"/>
        <v>3</v>
      </c>
    </row>
    <row r="2126" spans="29:32" x14ac:dyDescent="0.25">
      <c r="AC2126">
        <v>33.39</v>
      </c>
      <c r="AE2126">
        <v>42.98</v>
      </c>
      <c r="AF2126">
        <f t="shared" si="33"/>
        <v>4</v>
      </c>
    </row>
    <row r="2127" spans="29:32" x14ac:dyDescent="0.25">
      <c r="AC2127">
        <v>34.46</v>
      </c>
      <c r="AE2127">
        <v>42.98</v>
      </c>
      <c r="AF2127">
        <f t="shared" si="33"/>
        <v>5</v>
      </c>
    </row>
    <row r="2128" spans="29:32" x14ac:dyDescent="0.25">
      <c r="AC2128">
        <v>33.409999999999997</v>
      </c>
      <c r="AE2128">
        <v>42.98</v>
      </c>
      <c r="AF2128">
        <f t="shared" si="33"/>
        <v>6</v>
      </c>
    </row>
    <row r="2129" spans="29:32" x14ac:dyDescent="0.25">
      <c r="AC2129">
        <v>34.35</v>
      </c>
      <c r="AE2129">
        <v>42.98</v>
      </c>
      <c r="AF2129">
        <f t="shared" si="33"/>
        <v>7</v>
      </c>
    </row>
    <row r="2130" spans="29:32" x14ac:dyDescent="0.25">
      <c r="AC2130">
        <v>34.9</v>
      </c>
      <c r="AE2130">
        <v>42.98</v>
      </c>
      <c r="AF2130">
        <f t="shared" si="33"/>
        <v>8</v>
      </c>
    </row>
    <row r="2131" spans="29:32" x14ac:dyDescent="0.25">
      <c r="AC2131">
        <v>34.799999999999997</v>
      </c>
      <c r="AE2131">
        <v>42.99</v>
      </c>
      <c r="AF2131">
        <f t="shared" si="33"/>
        <v>1</v>
      </c>
    </row>
    <row r="2132" spans="29:32" x14ac:dyDescent="0.25">
      <c r="AC2132">
        <v>33.46</v>
      </c>
      <c r="AE2132">
        <v>42.99</v>
      </c>
      <c r="AF2132">
        <f t="shared" si="33"/>
        <v>2</v>
      </c>
    </row>
    <row r="2133" spans="29:32" x14ac:dyDescent="0.25">
      <c r="AC2133">
        <v>34.270000000000003</v>
      </c>
      <c r="AE2133">
        <v>43</v>
      </c>
      <c r="AF2133">
        <f t="shared" si="33"/>
        <v>1</v>
      </c>
    </row>
    <row r="2134" spans="29:32" x14ac:dyDescent="0.25">
      <c r="AC2134">
        <v>36.19</v>
      </c>
      <c r="AE2134">
        <v>43</v>
      </c>
      <c r="AF2134">
        <f t="shared" si="33"/>
        <v>2</v>
      </c>
    </row>
    <row r="2135" spans="29:32" x14ac:dyDescent="0.25">
      <c r="AC2135">
        <v>34.93</v>
      </c>
      <c r="AE2135">
        <v>43</v>
      </c>
      <c r="AF2135">
        <f t="shared" si="33"/>
        <v>3</v>
      </c>
    </row>
    <row r="2136" spans="29:32" x14ac:dyDescent="0.25">
      <c r="AC2136">
        <v>34.07</v>
      </c>
      <c r="AE2136">
        <v>43</v>
      </c>
      <c r="AF2136">
        <f t="shared" si="33"/>
        <v>4</v>
      </c>
    </row>
    <row r="2137" spans="29:32" x14ac:dyDescent="0.25">
      <c r="AC2137">
        <v>36.65</v>
      </c>
      <c r="AE2137">
        <v>43.01</v>
      </c>
      <c r="AF2137">
        <f t="shared" si="33"/>
        <v>1</v>
      </c>
    </row>
    <row r="2138" spans="29:32" x14ac:dyDescent="0.25">
      <c r="AC2138">
        <v>34.840000000000003</v>
      </c>
      <c r="AE2138">
        <v>43.01</v>
      </c>
      <c r="AF2138">
        <f t="shared" si="33"/>
        <v>2</v>
      </c>
    </row>
    <row r="2139" spans="29:32" x14ac:dyDescent="0.25">
      <c r="AC2139">
        <v>35.06</v>
      </c>
      <c r="AE2139">
        <v>43.02</v>
      </c>
      <c r="AF2139">
        <f t="shared" si="33"/>
        <v>1</v>
      </c>
    </row>
    <row r="2140" spans="29:32" x14ac:dyDescent="0.25">
      <c r="AC2140">
        <v>34.79</v>
      </c>
      <c r="AE2140">
        <v>43.02</v>
      </c>
      <c r="AF2140">
        <f t="shared" si="33"/>
        <v>2</v>
      </c>
    </row>
    <row r="2141" spans="29:32" x14ac:dyDescent="0.25">
      <c r="AC2141">
        <v>37.07</v>
      </c>
      <c r="AE2141">
        <v>43.02</v>
      </c>
      <c r="AF2141">
        <f t="shared" si="33"/>
        <v>3</v>
      </c>
    </row>
    <row r="2142" spans="29:32" x14ac:dyDescent="0.25">
      <c r="AC2142">
        <v>37.15</v>
      </c>
      <c r="AE2142">
        <v>43.02</v>
      </c>
      <c r="AF2142">
        <f t="shared" si="33"/>
        <v>4</v>
      </c>
    </row>
    <row r="2143" spans="29:32" x14ac:dyDescent="0.25">
      <c r="AC2143">
        <v>37.75</v>
      </c>
      <c r="AE2143">
        <v>43.03</v>
      </c>
      <c r="AF2143">
        <f t="shared" si="33"/>
        <v>1</v>
      </c>
    </row>
    <row r="2144" spans="29:32" x14ac:dyDescent="0.25">
      <c r="AC2144">
        <v>37.65</v>
      </c>
      <c r="AE2144">
        <v>43.03</v>
      </c>
      <c r="AF2144">
        <f t="shared" si="33"/>
        <v>2</v>
      </c>
    </row>
    <row r="2145" spans="29:32" x14ac:dyDescent="0.25">
      <c r="AC2145">
        <v>37.590000000000003</v>
      </c>
      <c r="AE2145">
        <v>43.03</v>
      </c>
      <c r="AF2145">
        <f t="shared" si="33"/>
        <v>3</v>
      </c>
    </row>
    <row r="2146" spans="29:32" x14ac:dyDescent="0.25">
      <c r="AC2146">
        <v>38.22</v>
      </c>
      <c r="AE2146">
        <v>43.03</v>
      </c>
      <c r="AF2146">
        <f t="shared" si="33"/>
        <v>4</v>
      </c>
    </row>
    <row r="2147" spans="29:32" x14ac:dyDescent="0.25">
      <c r="AC2147">
        <v>37.93</v>
      </c>
      <c r="AE2147">
        <v>43.04</v>
      </c>
      <c r="AF2147">
        <f t="shared" si="33"/>
        <v>1</v>
      </c>
    </row>
    <row r="2148" spans="29:32" x14ac:dyDescent="0.25">
      <c r="AC2148">
        <v>38.51</v>
      </c>
      <c r="AE2148">
        <v>43.04</v>
      </c>
      <c r="AF2148">
        <f t="shared" si="33"/>
        <v>2</v>
      </c>
    </row>
    <row r="2149" spans="29:32" x14ac:dyDescent="0.25">
      <c r="AC2149">
        <v>38.46</v>
      </c>
      <c r="AE2149">
        <v>43.04</v>
      </c>
      <c r="AF2149">
        <f t="shared" si="33"/>
        <v>3</v>
      </c>
    </row>
    <row r="2150" spans="29:32" x14ac:dyDescent="0.25">
      <c r="AC2150">
        <v>38.61</v>
      </c>
      <c r="AE2150">
        <v>43.05</v>
      </c>
      <c r="AF2150">
        <f t="shared" si="33"/>
        <v>1</v>
      </c>
    </row>
    <row r="2151" spans="29:32" x14ac:dyDescent="0.25">
      <c r="AC2151">
        <v>38.17</v>
      </c>
      <c r="AE2151">
        <v>43.05</v>
      </c>
      <c r="AF2151">
        <f t="shared" si="33"/>
        <v>2</v>
      </c>
    </row>
    <row r="2152" spans="29:32" x14ac:dyDescent="0.25">
      <c r="AC2152">
        <v>38.590000000000003</v>
      </c>
      <c r="AE2152">
        <v>43.05</v>
      </c>
      <c r="AF2152">
        <f t="shared" si="33"/>
        <v>3</v>
      </c>
    </row>
    <row r="2153" spans="29:32" x14ac:dyDescent="0.25">
      <c r="AC2153">
        <v>38.81</v>
      </c>
      <c r="AE2153">
        <v>43.06</v>
      </c>
      <c r="AF2153">
        <f t="shared" si="33"/>
        <v>1</v>
      </c>
    </row>
    <row r="2154" spans="29:32" x14ac:dyDescent="0.25">
      <c r="AC2154">
        <v>38.67</v>
      </c>
      <c r="AE2154">
        <v>43.07</v>
      </c>
      <c r="AF2154">
        <f t="shared" si="33"/>
        <v>1</v>
      </c>
    </row>
    <row r="2155" spans="29:32" x14ac:dyDescent="0.25">
      <c r="AC2155">
        <v>38.79</v>
      </c>
      <c r="AE2155">
        <v>43.07</v>
      </c>
      <c r="AF2155">
        <f t="shared" si="33"/>
        <v>2</v>
      </c>
    </row>
    <row r="2156" spans="29:32" x14ac:dyDescent="0.25">
      <c r="AC2156">
        <v>39.25</v>
      </c>
      <c r="AE2156">
        <v>43.07</v>
      </c>
      <c r="AF2156">
        <f t="shared" si="33"/>
        <v>3</v>
      </c>
    </row>
    <row r="2157" spans="29:32" x14ac:dyDescent="0.25">
      <c r="AC2157">
        <v>38.97</v>
      </c>
      <c r="AE2157">
        <v>43.08</v>
      </c>
      <c r="AF2157">
        <f t="shared" si="33"/>
        <v>1</v>
      </c>
    </row>
    <row r="2158" spans="29:32" x14ac:dyDescent="0.25">
      <c r="AC2158">
        <v>39.22</v>
      </c>
      <c r="AE2158">
        <v>43.08</v>
      </c>
      <c r="AF2158">
        <f t="shared" si="33"/>
        <v>2</v>
      </c>
    </row>
    <row r="2159" spans="29:32" x14ac:dyDescent="0.25">
      <c r="AC2159">
        <v>39.06</v>
      </c>
      <c r="AE2159">
        <v>43.08</v>
      </c>
      <c r="AF2159">
        <f t="shared" si="33"/>
        <v>3</v>
      </c>
    </row>
    <row r="2160" spans="29:32" x14ac:dyDescent="0.25">
      <c r="AC2160">
        <v>39.99</v>
      </c>
      <c r="AE2160">
        <v>43.09</v>
      </c>
      <c r="AF2160">
        <f t="shared" si="33"/>
        <v>1</v>
      </c>
    </row>
    <row r="2161" spans="29:32" x14ac:dyDescent="0.25">
      <c r="AC2161">
        <v>39.090000000000003</v>
      </c>
      <c r="AE2161">
        <v>43.09</v>
      </c>
      <c r="AF2161">
        <f t="shared" si="33"/>
        <v>2</v>
      </c>
    </row>
    <row r="2162" spans="29:32" x14ac:dyDescent="0.25">
      <c r="AC2162">
        <v>38.94</v>
      </c>
      <c r="AE2162">
        <v>43.1</v>
      </c>
      <c r="AF2162">
        <f t="shared" si="33"/>
        <v>1</v>
      </c>
    </row>
    <row r="2163" spans="29:32" x14ac:dyDescent="0.25">
      <c r="AC2163">
        <v>39.369999999999997</v>
      </c>
      <c r="AE2163">
        <v>43.12</v>
      </c>
      <c r="AF2163">
        <f t="shared" si="33"/>
        <v>1</v>
      </c>
    </row>
    <row r="2164" spans="29:32" x14ac:dyDescent="0.25">
      <c r="AC2164">
        <v>40.24</v>
      </c>
      <c r="AE2164">
        <v>43.12</v>
      </c>
      <c r="AF2164">
        <f t="shared" si="33"/>
        <v>2</v>
      </c>
    </row>
    <row r="2165" spans="29:32" x14ac:dyDescent="0.25">
      <c r="AC2165">
        <v>38.85</v>
      </c>
      <c r="AE2165">
        <v>43.12</v>
      </c>
      <c r="AF2165">
        <f t="shared" si="33"/>
        <v>3</v>
      </c>
    </row>
    <row r="2166" spans="29:32" x14ac:dyDescent="0.25">
      <c r="AC2166">
        <v>39.340000000000003</v>
      </c>
      <c r="AE2166">
        <v>43.12</v>
      </c>
      <c r="AF2166">
        <f t="shared" si="33"/>
        <v>4</v>
      </c>
    </row>
    <row r="2167" spans="29:32" x14ac:dyDescent="0.25">
      <c r="AC2167">
        <v>39.4</v>
      </c>
      <c r="AE2167">
        <v>43.12</v>
      </c>
      <c r="AF2167">
        <f t="shared" si="33"/>
        <v>5</v>
      </c>
    </row>
    <row r="2168" spans="29:32" x14ac:dyDescent="0.25">
      <c r="AC2168">
        <v>39.950000000000003</v>
      </c>
      <c r="AE2168">
        <v>43.13</v>
      </c>
      <c r="AF2168">
        <f t="shared" si="33"/>
        <v>1</v>
      </c>
    </row>
    <row r="2169" spans="29:32" x14ac:dyDescent="0.25">
      <c r="AC2169">
        <v>39.479999999999997</v>
      </c>
      <c r="AE2169">
        <v>43.14</v>
      </c>
      <c r="AF2169">
        <f t="shared" si="33"/>
        <v>1</v>
      </c>
    </row>
    <row r="2170" spans="29:32" x14ac:dyDescent="0.25">
      <c r="AC2170">
        <v>39.74</v>
      </c>
      <c r="AE2170">
        <v>43.14</v>
      </c>
      <c r="AF2170">
        <f t="shared" si="33"/>
        <v>2</v>
      </c>
    </row>
    <row r="2171" spans="29:32" x14ac:dyDescent="0.25">
      <c r="AC2171">
        <v>39.75</v>
      </c>
      <c r="AE2171">
        <v>43.16</v>
      </c>
      <c r="AF2171">
        <f t="shared" si="33"/>
        <v>1</v>
      </c>
    </row>
    <row r="2172" spans="29:32" x14ac:dyDescent="0.25">
      <c r="AC2172">
        <v>39.35</v>
      </c>
      <c r="AE2172">
        <v>43.16</v>
      </c>
      <c r="AF2172">
        <f t="shared" si="33"/>
        <v>2</v>
      </c>
    </row>
    <row r="2173" spans="29:32" x14ac:dyDescent="0.25">
      <c r="AC2173">
        <v>39.229999999999997</v>
      </c>
      <c r="AE2173">
        <v>43.17</v>
      </c>
      <c r="AF2173">
        <f t="shared" si="33"/>
        <v>1</v>
      </c>
    </row>
    <row r="2174" spans="29:32" x14ac:dyDescent="0.25">
      <c r="AC2174">
        <v>39.71</v>
      </c>
      <c r="AE2174">
        <v>43.17</v>
      </c>
      <c r="AF2174">
        <f t="shared" si="33"/>
        <v>2</v>
      </c>
    </row>
    <row r="2175" spans="29:32" x14ac:dyDescent="0.25">
      <c r="AC2175">
        <v>39.07</v>
      </c>
      <c r="AE2175">
        <v>43.17</v>
      </c>
      <c r="AF2175">
        <f t="shared" si="33"/>
        <v>3</v>
      </c>
    </row>
    <row r="2176" spans="29:32" x14ac:dyDescent="0.25">
      <c r="AC2176">
        <v>39.450000000000003</v>
      </c>
      <c r="AE2176">
        <v>43.17</v>
      </c>
      <c r="AF2176">
        <f t="shared" si="33"/>
        <v>4</v>
      </c>
    </row>
    <row r="2177" spans="29:32" x14ac:dyDescent="0.25">
      <c r="AC2177">
        <v>39.68</v>
      </c>
      <c r="AE2177">
        <v>43.18</v>
      </c>
      <c r="AF2177">
        <f t="shared" si="33"/>
        <v>1</v>
      </c>
    </row>
    <row r="2178" spans="29:32" x14ac:dyDescent="0.25">
      <c r="AC2178">
        <v>40.21</v>
      </c>
      <c r="AE2178">
        <v>43.18</v>
      </c>
      <c r="AF2178">
        <f t="shared" si="33"/>
        <v>2</v>
      </c>
    </row>
    <row r="2179" spans="29:32" x14ac:dyDescent="0.25">
      <c r="AC2179">
        <v>40.25</v>
      </c>
      <c r="AE2179">
        <v>43.18</v>
      </c>
      <c r="AF2179">
        <f t="shared" si="33"/>
        <v>3</v>
      </c>
    </row>
    <row r="2180" spans="29:32" x14ac:dyDescent="0.25">
      <c r="AC2180">
        <v>41.22</v>
      </c>
      <c r="AE2180">
        <v>43.19</v>
      </c>
      <c r="AF2180">
        <f t="shared" ref="AF2180:AF2243" si="34">IF(AE2180=AE2179,AF2179+1,1)</f>
        <v>1</v>
      </c>
    </row>
    <row r="2181" spans="29:32" x14ac:dyDescent="0.25">
      <c r="AC2181">
        <v>39.96</v>
      </c>
      <c r="AE2181">
        <v>43.19</v>
      </c>
      <c r="AF2181">
        <f t="shared" si="34"/>
        <v>2</v>
      </c>
    </row>
    <row r="2182" spans="29:32" x14ac:dyDescent="0.25">
      <c r="AC2182">
        <v>39.96</v>
      </c>
      <c r="AE2182">
        <v>43.19</v>
      </c>
      <c r="AF2182">
        <f t="shared" si="34"/>
        <v>3</v>
      </c>
    </row>
    <row r="2183" spans="29:32" x14ac:dyDescent="0.25">
      <c r="AC2183">
        <v>40.43</v>
      </c>
      <c r="AE2183">
        <v>43.19</v>
      </c>
      <c r="AF2183">
        <f t="shared" si="34"/>
        <v>4</v>
      </c>
    </row>
    <row r="2184" spans="29:32" x14ac:dyDescent="0.25">
      <c r="AC2184">
        <v>40.1</v>
      </c>
      <c r="AE2184">
        <v>43.19</v>
      </c>
      <c r="AF2184">
        <f t="shared" si="34"/>
        <v>5</v>
      </c>
    </row>
    <row r="2185" spans="29:32" x14ac:dyDescent="0.25">
      <c r="AC2185">
        <v>40.26</v>
      </c>
      <c r="AE2185">
        <v>43.2</v>
      </c>
      <c r="AF2185">
        <f t="shared" si="34"/>
        <v>1</v>
      </c>
    </row>
    <row r="2186" spans="29:32" x14ac:dyDescent="0.25">
      <c r="AC2186">
        <v>40.409999999999997</v>
      </c>
      <c r="AE2186">
        <v>43.2</v>
      </c>
      <c r="AF2186">
        <f t="shared" si="34"/>
        <v>2</v>
      </c>
    </row>
    <row r="2187" spans="29:32" x14ac:dyDescent="0.25">
      <c r="AC2187">
        <v>40.25</v>
      </c>
      <c r="AE2187">
        <v>43.2</v>
      </c>
      <c r="AF2187">
        <f t="shared" si="34"/>
        <v>3</v>
      </c>
    </row>
    <row r="2188" spans="29:32" x14ac:dyDescent="0.25">
      <c r="AC2188">
        <v>40.18</v>
      </c>
      <c r="AE2188">
        <v>43.21</v>
      </c>
      <c r="AF2188">
        <f t="shared" si="34"/>
        <v>1</v>
      </c>
    </row>
    <row r="2189" spans="29:32" x14ac:dyDescent="0.25">
      <c r="AC2189">
        <v>40.39</v>
      </c>
      <c r="AE2189">
        <v>43.21</v>
      </c>
      <c r="AF2189">
        <f t="shared" si="34"/>
        <v>2</v>
      </c>
    </row>
    <row r="2190" spans="29:32" x14ac:dyDescent="0.25">
      <c r="AC2190">
        <v>40.340000000000003</v>
      </c>
      <c r="AE2190">
        <v>43.21</v>
      </c>
      <c r="AF2190">
        <f t="shared" si="34"/>
        <v>3</v>
      </c>
    </row>
    <row r="2191" spans="29:32" x14ac:dyDescent="0.25">
      <c r="AC2191">
        <v>40.799999999999997</v>
      </c>
      <c r="AE2191">
        <v>43.21</v>
      </c>
      <c r="AF2191">
        <f t="shared" si="34"/>
        <v>4</v>
      </c>
    </row>
    <row r="2192" spans="29:32" x14ac:dyDescent="0.25">
      <c r="AC2192">
        <v>39.82</v>
      </c>
      <c r="AE2192">
        <v>43.22</v>
      </c>
      <c r="AF2192">
        <f t="shared" si="34"/>
        <v>1</v>
      </c>
    </row>
    <row r="2193" spans="29:32" x14ac:dyDescent="0.25">
      <c r="AC2193">
        <v>40.659999999999997</v>
      </c>
      <c r="AE2193">
        <v>43.22</v>
      </c>
      <c r="AF2193">
        <f t="shared" si="34"/>
        <v>2</v>
      </c>
    </row>
    <row r="2194" spans="29:32" x14ac:dyDescent="0.25">
      <c r="AC2194">
        <v>40.64</v>
      </c>
      <c r="AE2194">
        <v>43.22</v>
      </c>
      <c r="AF2194">
        <f t="shared" si="34"/>
        <v>3</v>
      </c>
    </row>
    <row r="2195" spans="29:32" x14ac:dyDescent="0.25">
      <c r="AC2195">
        <v>40.700000000000003</v>
      </c>
      <c r="AE2195">
        <v>43.23</v>
      </c>
      <c r="AF2195">
        <f t="shared" si="34"/>
        <v>1</v>
      </c>
    </row>
    <row r="2196" spans="29:32" x14ac:dyDescent="0.25">
      <c r="AC2196">
        <v>40.159999999999997</v>
      </c>
      <c r="AE2196">
        <v>43.23</v>
      </c>
      <c r="AF2196">
        <f t="shared" si="34"/>
        <v>2</v>
      </c>
    </row>
    <row r="2197" spans="29:32" x14ac:dyDescent="0.25">
      <c r="AC2197">
        <v>40.770000000000003</v>
      </c>
      <c r="AE2197">
        <v>43.23</v>
      </c>
      <c r="AF2197">
        <f t="shared" si="34"/>
        <v>3</v>
      </c>
    </row>
    <row r="2198" spans="29:32" x14ac:dyDescent="0.25">
      <c r="AC2198">
        <v>41.03</v>
      </c>
      <c r="AE2198">
        <v>43.24</v>
      </c>
      <c r="AF2198">
        <f t="shared" si="34"/>
        <v>1</v>
      </c>
    </row>
    <row r="2199" spans="29:32" x14ac:dyDescent="0.25">
      <c r="AC2199">
        <v>40.659999999999997</v>
      </c>
      <c r="AE2199">
        <v>43.25</v>
      </c>
      <c r="AF2199">
        <f t="shared" si="34"/>
        <v>1</v>
      </c>
    </row>
    <row r="2200" spans="29:32" x14ac:dyDescent="0.25">
      <c r="AC2200">
        <v>41.23</v>
      </c>
      <c r="AE2200">
        <v>43.25</v>
      </c>
      <c r="AF2200">
        <f t="shared" si="34"/>
        <v>2</v>
      </c>
    </row>
    <row r="2201" spans="29:32" x14ac:dyDescent="0.25">
      <c r="AC2201">
        <v>40.89</v>
      </c>
      <c r="AE2201">
        <v>43.26</v>
      </c>
      <c r="AF2201">
        <f t="shared" si="34"/>
        <v>1</v>
      </c>
    </row>
    <row r="2202" spans="29:32" x14ac:dyDescent="0.25">
      <c r="AC2202">
        <v>40.799999999999997</v>
      </c>
      <c r="AE2202">
        <v>43.26</v>
      </c>
      <c r="AF2202">
        <f t="shared" si="34"/>
        <v>2</v>
      </c>
    </row>
    <row r="2203" spans="29:32" x14ac:dyDescent="0.25">
      <c r="AC2203">
        <v>40.29</v>
      </c>
      <c r="AE2203">
        <v>43.26</v>
      </c>
      <c r="AF2203">
        <f t="shared" si="34"/>
        <v>3</v>
      </c>
    </row>
    <row r="2204" spans="29:32" x14ac:dyDescent="0.25">
      <c r="AC2204">
        <v>41.06</v>
      </c>
      <c r="AE2204">
        <v>43.26</v>
      </c>
      <c r="AF2204">
        <f t="shared" si="34"/>
        <v>4</v>
      </c>
    </row>
    <row r="2205" spans="29:32" x14ac:dyDescent="0.25">
      <c r="AC2205">
        <v>41.13</v>
      </c>
      <c r="AE2205">
        <v>43.27</v>
      </c>
      <c r="AF2205">
        <f t="shared" si="34"/>
        <v>1</v>
      </c>
    </row>
    <row r="2206" spans="29:32" x14ac:dyDescent="0.25">
      <c r="AC2206">
        <v>41.07</v>
      </c>
      <c r="AE2206">
        <v>43.28</v>
      </c>
      <c r="AF2206">
        <f t="shared" si="34"/>
        <v>1</v>
      </c>
    </row>
    <row r="2207" spans="29:32" x14ac:dyDescent="0.25">
      <c r="AC2207">
        <v>41.29</v>
      </c>
      <c r="AE2207">
        <v>43.28</v>
      </c>
      <c r="AF2207">
        <f t="shared" si="34"/>
        <v>2</v>
      </c>
    </row>
    <row r="2208" spans="29:32" x14ac:dyDescent="0.25">
      <c r="AC2208">
        <v>41.28</v>
      </c>
      <c r="AE2208">
        <v>43.28</v>
      </c>
      <c r="AF2208">
        <f t="shared" si="34"/>
        <v>3</v>
      </c>
    </row>
    <row r="2209" spans="29:32" x14ac:dyDescent="0.25">
      <c r="AC2209">
        <v>40.6</v>
      </c>
      <c r="AE2209">
        <v>43.29</v>
      </c>
      <c r="AF2209">
        <f t="shared" si="34"/>
        <v>1</v>
      </c>
    </row>
    <row r="2210" spans="29:32" x14ac:dyDescent="0.25">
      <c r="AC2210">
        <v>40.729999999999997</v>
      </c>
      <c r="AE2210">
        <v>43.29</v>
      </c>
      <c r="AF2210">
        <f t="shared" si="34"/>
        <v>2</v>
      </c>
    </row>
    <row r="2211" spans="29:32" x14ac:dyDescent="0.25">
      <c r="AC2211">
        <v>40.619999999999997</v>
      </c>
      <c r="AE2211">
        <v>43.3</v>
      </c>
      <c r="AF2211">
        <f t="shared" si="34"/>
        <v>1</v>
      </c>
    </row>
    <row r="2212" spans="29:32" x14ac:dyDescent="0.25">
      <c r="AC2212">
        <v>40.950000000000003</v>
      </c>
      <c r="AE2212">
        <v>43.3</v>
      </c>
      <c r="AF2212">
        <f t="shared" si="34"/>
        <v>2</v>
      </c>
    </row>
    <row r="2213" spans="29:32" x14ac:dyDescent="0.25">
      <c r="AC2213">
        <v>41.23</v>
      </c>
      <c r="AE2213">
        <v>43.31</v>
      </c>
      <c r="AF2213">
        <f t="shared" si="34"/>
        <v>1</v>
      </c>
    </row>
    <row r="2214" spans="29:32" x14ac:dyDescent="0.25">
      <c r="AC2214">
        <v>41.42</v>
      </c>
      <c r="AE2214">
        <v>43.31</v>
      </c>
      <c r="AF2214">
        <f t="shared" si="34"/>
        <v>2</v>
      </c>
    </row>
    <row r="2215" spans="29:32" x14ac:dyDescent="0.25">
      <c r="AC2215">
        <v>41.19</v>
      </c>
      <c r="AE2215">
        <v>43.31</v>
      </c>
      <c r="AF2215">
        <f t="shared" si="34"/>
        <v>3</v>
      </c>
    </row>
    <row r="2216" spans="29:32" x14ac:dyDescent="0.25">
      <c r="AC2216">
        <v>40.61</v>
      </c>
      <c r="AE2216">
        <v>43.32</v>
      </c>
      <c r="AF2216">
        <f t="shared" si="34"/>
        <v>1</v>
      </c>
    </row>
    <row r="2217" spans="29:32" x14ac:dyDescent="0.25">
      <c r="AC2217">
        <v>41.45</v>
      </c>
      <c r="AE2217">
        <v>43.32</v>
      </c>
      <c r="AF2217">
        <f t="shared" si="34"/>
        <v>2</v>
      </c>
    </row>
    <row r="2218" spans="29:32" x14ac:dyDescent="0.25">
      <c r="AC2218">
        <v>41.42</v>
      </c>
      <c r="AE2218">
        <v>43.32</v>
      </c>
      <c r="AF2218">
        <f t="shared" si="34"/>
        <v>3</v>
      </c>
    </row>
    <row r="2219" spans="29:32" x14ac:dyDescent="0.25">
      <c r="AC2219">
        <v>41.88</v>
      </c>
      <c r="AE2219">
        <v>43.32</v>
      </c>
      <c r="AF2219">
        <f t="shared" si="34"/>
        <v>4</v>
      </c>
    </row>
    <row r="2220" spans="29:32" x14ac:dyDescent="0.25">
      <c r="AC2220">
        <v>41.93</v>
      </c>
      <c r="AE2220">
        <v>43.32</v>
      </c>
      <c r="AF2220">
        <f t="shared" si="34"/>
        <v>5</v>
      </c>
    </row>
    <row r="2221" spans="29:32" x14ac:dyDescent="0.25">
      <c r="AC2221">
        <v>40.98</v>
      </c>
      <c r="AE2221">
        <v>43.33</v>
      </c>
      <c r="AF2221">
        <f t="shared" si="34"/>
        <v>1</v>
      </c>
    </row>
    <row r="2222" spans="29:32" x14ac:dyDescent="0.25">
      <c r="AC2222">
        <v>41.46</v>
      </c>
      <c r="AE2222">
        <v>43.33</v>
      </c>
      <c r="AF2222">
        <f t="shared" si="34"/>
        <v>2</v>
      </c>
    </row>
    <row r="2223" spans="29:32" x14ac:dyDescent="0.25">
      <c r="AC2223">
        <v>41.71</v>
      </c>
      <c r="AE2223">
        <v>43.33</v>
      </c>
      <c r="AF2223">
        <f t="shared" si="34"/>
        <v>3</v>
      </c>
    </row>
    <row r="2224" spans="29:32" x14ac:dyDescent="0.25">
      <c r="AC2224">
        <v>41.35</v>
      </c>
      <c r="AE2224">
        <v>43.34</v>
      </c>
      <c r="AF2224">
        <f t="shared" si="34"/>
        <v>1</v>
      </c>
    </row>
    <row r="2225" spans="29:32" x14ac:dyDescent="0.25">
      <c r="AC2225">
        <v>41.52</v>
      </c>
      <c r="AE2225">
        <v>43.34</v>
      </c>
      <c r="AF2225">
        <f t="shared" si="34"/>
        <v>2</v>
      </c>
    </row>
    <row r="2226" spans="29:32" x14ac:dyDescent="0.25">
      <c r="AC2226">
        <v>41.81</v>
      </c>
      <c r="AE2226">
        <v>43.34</v>
      </c>
      <c r="AF2226">
        <f t="shared" si="34"/>
        <v>3</v>
      </c>
    </row>
    <row r="2227" spans="29:32" x14ac:dyDescent="0.25">
      <c r="AC2227">
        <v>41.31</v>
      </c>
      <c r="AE2227">
        <v>43.34</v>
      </c>
      <c r="AF2227">
        <f t="shared" si="34"/>
        <v>4</v>
      </c>
    </row>
    <row r="2228" spans="29:32" x14ac:dyDescent="0.25">
      <c r="AC2228">
        <v>42.32</v>
      </c>
      <c r="AE2228">
        <v>43.34</v>
      </c>
      <c r="AF2228">
        <f t="shared" si="34"/>
        <v>5</v>
      </c>
    </row>
    <row r="2229" spans="29:32" x14ac:dyDescent="0.25">
      <c r="AC2229">
        <v>41.66</v>
      </c>
      <c r="AE2229">
        <v>43.36</v>
      </c>
      <c r="AF2229">
        <f t="shared" si="34"/>
        <v>1</v>
      </c>
    </row>
    <row r="2230" spans="29:32" x14ac:dyDescent="0.25">
      <c r="AC2230">
        <v>41.76</v>
      </c>
      <c r="AE2230">
        <v>43.36</v>
      </c>
      <c r="AF2230">
        <f t="shared" si="34"/>
        <v>2</v>
      </c>
    </row>
    <row r="2231" spans="29:32" x14ac:dyDescent="0.25">
      <c r="AC2231">
        <v>42.29</v>
      </c>
      <c r="AE2231">
        <v>43.36</v>
      </c>
      <c r="AF2231">
        <f t="shared" si="34"/>
        <v>3</v>
      </c>
    </row>
    <row r="2232" spans="29:32" x14ac:dyDescent="0.25">
      <c r="AC2232">
        <v>42.42</v>
      </c>
      <c r="AE2232">
        <v>43.36</v>
      </c>
      <c r="AF2232">
        <f t="shared" si="34"/>
        <v>4</v>
      </c>
    </row>
    <row r="2233" spans="29:32" x14ac:dyDescent="0.25">
      <c r="AC2233">
        <v>41.68</v>
      </c>
      <c r="AE2233">
        <v>43.37</v>
      </c>
      <c r="AF2233">
        <f t="shared" si="34"/>
        <v>1</v>
      </c>
    </row>
    <row r="2234" spans="29:32" x14ac:dyDescent="0.25">
      <c r="AC2234">
        <v>42.12</v>
      </c>
      <c r="AE2234">
        <v>43.37</v>
      </c>
      <c r="AF2234">
        <f t="shared" si="34"/>
        <v>2</v>
      </c>
    </row>
    <row r="2235" spans="29:32" x14ac:dyDescent="0.25">
      <c r="AC2235">
        <v>42.27</v>
      </c>
      <c r="AE2235">
        <v>43.37</v>
      </c>
      <c r="AF2235">
        <f t="shared" si="34"/>
        <v>3</v>
      </c>
    </row>
    <row r="2236" spans="29:32" x14ac:dyDescent="0.25">
      <c r="AC2236">
        <v>42.54</v>
      </c>
      <c r="AE2236">
        <v>43.37</v>
      </c>
      <c r="AF2236">
        <f t="shared" si="34"/>
        <v>4</v>
      </c>
    </row>
    <row r="2237" spans="29:32" x14ac:dyDescent="0.25">
      <c r="AC2237">
        <v>42.15</v>
      </c>
      <c r="AE2237">
        <v>43.37</v>
      </c>
      <c r="AF2237">
        <f t="shared" si="34"/>
        <v>5</v>
      </c>
    </row>
    <row r="2238" spans="29:32" x14ac:dyDescent="0.25">
      <c r="AC2238">
        <v>42.32</v>
      </c>
      <c r="AE2238">
        <v>43.37</v>
      </c>
      <c r="AF2238">
        <f t="shared" si="34"/>
        <v>6</v>
      </c>
    </row>
    <row r="2239" spans="29:32" x14ac:dyDescent="0.25">
      <c r="AC2239">
        <v>42.77</v>
      </c>
      <c r="AE2239">
        <v>43.37</v>
      </c>
      <c r="AF2239">
        <f t="shared" si="34"/>
        <v>7</v>
      </c>
    </row>
    <row r="2240" spans="29:32" x14ac:dyDescent="0.25">
      <c r="AC2240">
        <v>42.58</v>
      </c>
      <c r="AE2240">
        <v>43.38</v>
      </c>
      <c r="AF2240">
        <f t="shared" si="34"/>
        <v>1</v>
      </c>
    </row>
    <row r="2241" spans="29:32" x14ac:dyDescent="0.25">
      <c r="AC2241">
        <v>42.1</v>
      </c>
      <c r="AE2241">
        <v>43.38</v>
      </c>
      <c r="AF2241">
        <f t="shared" si="34"/>
        <v>2</v>
      </c>
    </row>
    <row r="2242" spans="29:32" x14ac:dyDescent="0.25">
      <c r="AC2242">
        <v>42.93</v>
      </c>
      <c r="AE2242">
        <v>43.38</v>
      </c>
      <c r="AF2242">
        <f t="shared" si="34"/>
        <v>3</v>
      </c>
    </row>
    <row r="2243" spans="29:32" x14ac:dyDescent="0.25">
      <c r="AC2243">
        <v>42.59</v>
      </c>
      <c r="AE2243">
        <v>43.39</v>
      </c>
      <c r="AF2243">
        <f t="shared" si="34"/>
        <v>1</v>
      </c>
    </row>
    <row r="2244" spans="29:32" x14ac:dyDescent="0.25">
      <c r="AC2244">
        <v>42.85</v>
      </c>
      <c r="AE2244">
        <v>43.39</v>
      </c>
      <c r="AF2244">
        <f t="shared" ref="AF2244:AF2307" si="35">IF(AE2244=AE2243,AF2243+1,1)</f>
        <v>2</v>
      </c>
    </row>
    <row r="2245" spans="29:32" x14ac:dyDescent="0.25">
      <c r="AC2245">
        <v>42.69</v>
      </c>
      <c r="AE2245">
        <v>43.39</v>
      </c>
      <c r="AF2245">
        <f t="shared" si="35"/>
        <v>3</v>
      </c>
    </row>
    <row r="2246" spans="29:32" x14ac:dyDescent="0.25">
      <c r="AC2246">
        <v>42.62</v>
      </c>
      <c r="AE2246">
        <v>43.4</v>
      </c>
      <c r="AF2246">
        <f t="shared" si="35"/>
        <v>1</v>
      </c>
    </row>
    <row r="2247" spans="29:32" x14ac:dyDescent="0.25">
      <c r="AC2247">
        <v>42.9</v>
      </c>
      <c r="AE2247">
        <v>43.4</v>
      </c>
      <c r="AF2247">
        <f t="shared" si="35"/>
        <v>2</v>
      </c>
    </row>
    <row r="2248" spans="29:32" x14ac:dyDescent="0.25">
      <c r="AC2248">
        <v>42.89</v>
      </c>
      <c r="AE2248">
        <v>43.4</v>
      </c>
      <c r="AF2248">
        <f t="shared" si="35"/>
        <v>3</v>
      </c>
    </row>
    <row r="2249" spans="29:32" x14ac:dyDescent="0.25">
      <c r="AC2249">
        <v>42.98</v>
      </c>
      <c r="AE2249">
        <v>43.41</v>
      </c>
      <c r="AF2249">
        <f t="shared" si="35"/>
        <v>1</v>
      </c>
    </row>
    <row r="2250" spans="29:32" x14ac:dyDescent="0.25">
      <c r="AC2250">
        <v>43.01</v>
      </c>
      <c r="AE2250">
        <v>43.41</v>
      </c>
      <c r="AF2250">
        <f t="shared" si="35"/>
        <v>2</v>
      </c>
    </row>
    <row r="2251" spans="29:32" x14ac:dyDescent="0.25">
      <c r="AC2251">
        <v>43.12</v>
      </c>
      <c r="AE2251">
        <v>43.41</v>
      </c>
      <c r="AF2251">
        <f t="shared" si="35"/>
        <v>3</v>
      </c>
    </row>
    <row r="2252" spans="29:32" x14ac:dyDescent="0.25">
      <c r="AC2252">
        <v>44.16</v>
      </c>
      <c r="AE2252">
        <v>43.41</v>
      </c>
      <c r="AF2252">
        <f t="shared" si="35"/>
        <v>4</v>
      </c>
    </row>
    <row r="2253" spans="29:32" x14ac:dyDescent="0.25">
      <c r="AC2253">
        <v>43.97</v>
      </c>
      <c r="AE2253">
        <v>43.41</v>
      </c>
      <c r="AF2253">
        <f t="shared" si="35"/>
        <v>5</v>
      </c>
    </row>
    <row r="2254" spans="29:32" x14ac:dyDescent="0.25">
      <c r="AC2254">
        <v>44.48</v>
      </c>
      <c r="AE2254">
        <v>43.41</v>
      </c>
      <c r="AF2254">
        <f t="shared" si="35"/>
        <v>6</v>
      </c>
    </row>
    <row r="2255" spans="29:32" x14ac:dyDescent="0.25">
      <c r="AC2255">
        <v>45.38</v>
      </c>
      <c r="AE2255">
        <v>43.42</v>
      </c>
      <c r="AF2255">
        <f t="shared" si="35"/>
        <v>1</v>
      </c>
    </row>
    <row r="2256" spans="29:32" x14ac:dyDescent="0.25">
      <c r="AC2256">
        <v>46.56</v>
      </c>
      <c r="AE2256">
        <v>43.42</v>
      </c>
      <c r="AF2256">
        <f t="shared" si="35"/>
        <v>2</v>
      </c>
    </row>
    <row r="2257" spans="29:32" x14ac:dyDescent="0.25">
      <c r="AC2257">
        <v>46.8</v>
      </c>
      <c r="AE2257">
        <v>43.44</v>
      </c>
      <c r="AF2257">
        <f t="shared" si="35"/>
        <v>1</v>
      </c>
    </row>
    <row r="2258" spans="29:32" x14ac:dyDescent="0.25">
      <c r="AC2258">
        <v>47.17</v>
      </c>
      <c r="AE2258">
        <v>43.46</v>
      </c>
      <c r="AF2258">
        <f t="shared" si="35"/>
        <v>1</v>
      </c>
    </row>
    <row r="2259" spans="29:32" x14ac:dyDescent="0.25">
      <c r="AC2259">
        <v>48.08</v>
      </c>
      <c r="AE2259">
        <v>43.47</v>
      </c>
      <c r="AF2259">
        <f t="shared" si="35"/>
        <v>1</v>
      </c>
    </row>
    <row r="2260" spans="29:32" x14ac:dyDescent="0.25">
      <c r="AC2260">
        <v>48.19</v>
      </c>
      <c r="AE2260">
        <v>43.47</v>
      </c>
      <c r="AF2260">
        <f t="shared" si="35"/>
        <v>2</v>
      </c>
    </row>
    <row r="2261" spans="29:32" x14ac:dyDescent="0.25">
      <c r="AC2261" cm="1">
        <f t="array" ref="AC2261:AC2511">Y2:Y252</f>
        <v>20.62</v>
      </c>
      <c r="AE2261">
        <v>43.49</v>
      </c>
      <c r="AF2261">
        <f t="shared" si="35"/>
        <v>1</v>
      </c>
    </row>
    <row r="2262" spans="29:32" x14ac:dyDescent="0.25">
      <c r="AC2262">
        <v>20.329999999999998</v>
      </c>
      <c r="AE2262">
        <v>43.49</v>
      </c>
      <c r="AF2262">
        <f t="shared" si="35"/>
        <v>2</v>
      </c>
    </row>
    <row r="2263" spans="29:32" x14ac:dyDescent="0.25">
      <c r="AC2263">
        <v>22.15</v>
      </c>
      <c r="AE2263">
        <v>43.5</v>
      </c>
      <c r="AF2263">
        <f t="shared" si="35"/>
        <v>1</v>
      </c>
    </row>
    <row r="2264" spans="29:32" x14ac:dyDescent="0.25">
      <c r="AC2264">
        <v>21.93</v>
      </c>
      <c r="AE2264">
        <v>43.51</v>
      </c>
      <c r="AF2264">
        <f t="shared" si="35"/>
        <v>1</v>
      </c>
    </row>
    <row r="2265" spans="29:32" x14ac:dyDescent="0.25">
      <c r="AC2265">
        <v>22.51</v>
      </c>
      <c r="AE2265">
        <v>43.51</v>
      </c>
      <c r="AF2265">
        <f t="shared" si="35"/>
        <v>2</v>
      </c>
    </row>
    <row r="2266" spans="29:32" x14ac:dyDescent="0.25">
      <c r="AC2266">
        <v>22.48</v>
      </c>
      <c r="AE2266">
        <v>43.51</v>
      </c>
      <c r="AF2266">
        <f t="shared" si="35"/>
        <v>3</v>
      </c>
    </row>
    <row r="2267" spans="29:32" x14ac:dyDescent="0.25">
      <c r="AC2267">
        <v>22.8</v>
      </c>
      <c r="AE2267">
        <v>43.53</v>
      </c>
      <c r="AF2267">
        <f t="shared" si="35"/>
        <v>1</v>
      </c>
    </row>
    <row r="2268" spans="29:32" x14ac:dyDescent="0.25">
      <c r="AC2268">
        <v>23.86</v>
      </c>
      <c r="AE2268">
        <v>43.54</v>
      </c>
      <c r="AF2268">
        <f t="shared" si="35"/>
        <v>1</v>
      </c>
    </row>
    <row r="2269" spans="29:32" x14ac:dyDescent="0.25">
      <c r="AC2269">
        <v>22.84</v>
      </c>
      <c r="AE2269">
        <v>43.55</v>
      </c>
      <c r="AF2269">
        <f t="shared" si="35"/>
        <v>1</v>
      </c>
    </row>
    <row r="2270" spans="29:32" x14ac:dyDescent="0.25">
      <c r="AC2270">
        <v>22.48</v>
      </c>
      <c r="AE2270">
        <v>43.55</v>
      </c>
      <c r="AF2270">
        <f t="shared" si="35"/>
        <v>2</v>
      </c>
    </row>
    <row r="2271" spans="29:32" x14ac:dyDescent="0.25">
      <c r="AC2271">
        <v>22.54</v>
      </c>
      <c r="AE2271">
        <v>43.55</v>
      </c>
      <c r="AF2271">
        <f t="shared" si="35"/>
        <v>3</v>
      </c>
    </row>
    <row r="2272" spans="29:32" x14ac:dyDescent="0.25">
      <c r="AC2272">
        <v>23</v>
      </c>
      <c r="AE2272">
        <v>43.56</v>
      </c>
      <c r="AF2272">
        <f t="shared" si="35"/>
        <v>1</v>
      </c>
    </row>
    <row r="2273" spans="29:32" x14ac:dyDescent="0.25">
      <c r="AC2273">
        <v>23.05</v>
      </c>
      <c r="AE2273">
        <v>43.57</v>
      </c>
      <c r="AF2273">
        <f t="shared" si="35"/>
        <v>1</v>
      </c>
    </row>
    <row r="2274" spans="29:32" x14ac:dyDescent="0.25">
      <c r="AC2274">
        <v>23.71</v>
      </c>
      <c r="AE2274">
        <v>43.57</v>
      </c>
      <c r="AF2274">
        <f t="shared" si="35"/>
        <v>2</v>
      </c>
    </row>
    <row r="2275" spans="29:32" x14ac:dyDescent="0.25">
      <c r="AC2275">
        <v>22.78</v>
      </c>
      <c r="AE2275">
        <v>43.57</v>
      </c>
      <c r="AF2275">
        <f t="shared" si="35"/>
        <v>3</v>
      </c>
    </row>
    <row r="2276" spans="29:32" x14ac:dyDescent="0.25">
      <c r="AC2276">
        <v>23.32</v>
      </c>
      <c r="AE2276">
        <v>43.57</v>
      </c>
      <c r="AF2276">
        <f t="shared" si="35"/>
        <v>4</v>
      </c>
    </row>
    <row r="2277" spans="29:32" x14ac:dyDescent="0.25">
      <c r="AC2277">
        <v>23.11</v>
      </c>
      <c r="AE2277">
        <v>43.58</v>
      </c>
      <c r="AF2277">
        <f t="shared" si="35"/>
        <v>1</v>
      </c>
    </row>
    <row r="2278" spans="29:32" x14ac:dyDescent="0.25">
      <c r="AC2278">
        <v>23.49</v>
      </c>
      <c r="AE2278">
        <v>43.59</v>
      </c>
      <c r="AF2278">
        <f t="shared" si="35"/>
        <v>1</v>
      </c>
    </row>
    <row r="2279" spans="29:32" x14ac:dyDescent="0.25">
      <c r="AC2279">
        <v>23.76</v>
      </c>
      <c r="AE2279">
        <v>43.61</v>
      </c>
      <c r="AF2279">
        <f t="shared" si="35"/>
        <v>1</v>
      </c>
    </row>
    <row r="2280" spans="29:32" x14ac:dyDescent="0.25">
      <c r="AC2280">
        <v>23.71</v>
      </c>
      <c r="AE2280">
        <v>43.61</v>
      </c>
      <c r="AF2280">
        <f t="shared" si="35"/>
        <v>2</v>
      </c>
    </row>
    <row r="2281" spans="29:32" x14ac:dyDescent="0.25">
      <c r="AC2281">
        <v>23.85</v>
      </c>
      <c r="AE2281">
        <v>43.62</v>
      </c>
      <c r="AF2281">
        <f t="shared" si="35"/>
        <v>1</v>
      </c>
    </row>
    <row r="2282" spans="29:32" x14ac:dyDescent="0.25">
      <c r="AC2282">
        <v>24.12</v>
      </c>
      <c r="AE2282">
        <v>43.62</v>
      </c>
      <c r="AF2282">
        <f t="shared" si="35"/>
        <v>2</v>
      </c>
    </row>
    <row r="2283" spans="29:32" x14ac:dyDescent="0.25">
      <c r="AC2283">
        <v>23.89</v>
      </c>
      <c r="AE2283">
        <v>43.62</v>
      </c>
      <c r="AF2283">
        <f t="shared" si="35"/>
        <v>3</v>
      </c>
    </row>
    <row r="2284" spans="29:32" x14ac:dyDescent="0.25">
      <c r="AC2284">
        <v>24.36</v>
      </c>
      <c r="AE2284">
        <v>43.63</v>
      </c>
      <c r="AF2284">
        <f t="shared" si="35"/>
        <v>1</v>
      </c>
    </row>
    <row r="2285" spans="29:32" x14ac:dyDescent="0.25">
      <c r="AC2285">
        <v>24.91</v>
      </c>
      <c r="AE2285">
        <v>43.64</v>
      </c>
      <c r="AF2285">
        <f t="shared" si="35"/>
        <v>1</v>
      </c>
    </row>
    <row r="2286" spans="29:32" x14ac:dyDescent="0.25">
      <c r="AC2286">
        <v>24.66</v>
      </c>
      <c r="AE2286">
        <v>43.64</v>
      </c>
      <c r="AF2286">
        <f t="shared" si="35"/>
        <v>2</v>
      </c>
    </row>
    <row r="2287" spans="29:32" x14ac:dyDescent="0.25">
      <c r="AC2287">
        <v>24.25</v>
      </c>
      <c r="AE2287">
        <v>43.65</v>
      </c>
      <c r="AF2287">
        <f t="shared" si="35"/>
        <v>1</v>
      </c>
    </row>
    <row r="2288" spans="29:32" x14ac:dyDescent="0.25">
      <c r="AC2288">
        <v>23.91</v>
      </c>
      <c r="AE2288">
        <v>43.65</v>
      </c>
      <c r="AF2288">
        <f t="shared" si="35"/>
        <v>2</v>
      </c>
    </row>
    <row r="2289" spans="29:32" x14ac:dyDescent="0.25">
      <c r="AC2289">
        <v>24.2</v>
      </c>
      <c r="AE2289">
        <v>43.65</v>
      </c>
      <c r="AF2289">
        <f t="shared" si="35"/>
        <v>3</v>
      </c>
    </row>
    <row r="2290" spans="29:32" x14ac:dyDescent="0.25">
      <c r="AC2290">
        <v>24.29</v>
      </c>
      <c r="AE2290">
        <v>43.65</v>
      </c>
      <c r="AF2290">
        <f t="shared" si="35"/>
        <v>4</v>
      </c>
    </row>
    <row r="2291" spans="29:32" x14ac:dyDescent="0.25">
      <c r="AC2291">
        <v>24.8</v>
      </c>
      <c r="AE2291">
        <v>43.65</v>
      </c>
      <c r="AF2291">
        <f t="shared" si="35"/>
        <v>5</v>
      </c>
    </row>
    <row r="2292" spans="29:32" x14ac:dyDescent="0.25">
      <c r="AC2292">
        <v>24.49</v>
      </c>
      <c r="AE2292">
        <v>43.66</v>
      </c>
      <c r="AF2292">
        <f t="shared" si="35"/>
        <v>1</v>
      </c>
    </row>
    <row r="2293" spans="29:32" x14ac:dyDescent="0.25">
      <c r="AC2293">
        <v>24.82</v>
      </c>
      <c r="AE2293">
        <v>43.66</v>
      </c>
      <c r="AF2293">
        <f t="shared" si="35"/>
        <v>2</v>
      </c>
    </row>
    <row r="2294" spans="29:32" x14ac:dyDescent="0.25">
      <c r="AC2294">
        <v>24.52</v>
      </c>
      <c r="AE2294">
        <v>43.66</v>
      </c>
      <c r="AF2294">
        <f t="shared" si="35"/>
        <v>3</v>
      </c>
    </row>
    <row r="2295" spans="29:32" x14ac:dyDescent="0.25">
      <c r="AC2295">
        <v>24.12</v>
      </c>
      <c r="AE2295">
        <v>43.66</v>
      </c>
      <c r="AF2295">
        <f t="shared" si="35"/>
        <v>4</v>
      </c>
    </row>
    <row r="2296" spans="29:32" x14ac:dyDescent="0.25">
      <c r="AC2296">
        <v>25.39</v>
      </c>
      <c r="AE2296">
        <v>43.66</v>
      </c>
      <c r="AF2296">
        <f t="shared" si="35"/>
        <v>5</v>
      </c>
    </row>
    <row r="2297" spans="29:32" x14ac:dyDescent="0.25">
      <c r="AC2297">
        <v>23.7</v>
      </c>
      <c r="AE2297">
        <v>43.67</v>
      </c>
      <c r="AF2297">
        <f t="shared" si="35"/>
        <v>1</v>
      </c>
    </row>
    <row r="2298" spans="29:32" x14ac:dyDescent="0.25">
      <c r="AC2298">
        <v>25.49</v>
      </c>
      <c r="AE2298">
        <v>43.67</v>
      </c>
      <c r="AF2298">
        <f t="shared" si="35"/>
        <v>2</v>
      </c>
    </row>
    <row r="2299" spans="29:32" x14ac:dyDescent="0.25">
      <c r="AC2299">
        <v>24.66</v>
      </c>
      <c r="AE2299">
        <v>43.68</v>
      </c>
      <c r="AF2299">
        <f t="shared" si="35"/>
        <v>1</v>
      </c>
    </row>
    <row r="2300" spans="29:32" x14ac:dyDescent="0.25">
      <c r="AC2300">
        <v>24.26</v>
      </c>
      <c r="AE2300">
        <v>43.69</v>
      </c>
      <c r="AF2300">
        <f t="shared" si="35"/>
        <v>1</v>
      </c>
    </row>
    <row r="2301" spans="29:32" x14ac:dyDescent="0.25">
      <c r="AC2301">
        <v>25.04</v>
      </c>
      <c r="AE2301">
        <v>43.7</v>
      </c>
      <c r="AF2301">
        <f t="shared" si="35"/>
        <v>1</v>
      </c>
    </row>
    <row r="2302" spans="29:32" x14ac:dyDescent="0.25">
      <c r="AC2302">
        <v>25.98</v>
      </c>
      <c r="AE2302">
        <v>43.71</v>
      </c>
      <c r="AF2302">
        <f t="shared" si="35"/>
        <v>1</v>
      </c>
    </row>
    <row r="2303" spans="29:32" x14ac:dyDescent="0.25">
      <c r="AC2303">
        <v>24.99</v>
      </c>
      <c r="AE2303">
        <v>43.73</v>
      </c>
      <c r="AF2303">
        <f t="shared" si="35"/>
        <v>1</v>
      </c>
    </row>
    <row r="2304" spans="29:32" x14ac:dyDescent="0.25">
      <c r="AC2304">
        <v>26.01</v>
      </c>
      <c r="AE2304">
        <v>43.74</v>
      </c>
      <c r="AF2304">
        <f t="shared" si="35"/>
        <v>1</v>
      </c>
    </row>
    <row r="2305" spans="29:32" x14ac:dyDescent="0.25">
      <c r="AC2305">
        <v>26.01</v>
      </c>
      <c r="AE2305">
        <v>43.74</v>
      </c>
      <c r="AF2305">
        <f t="shared" si="35"/>
        <v>2</v>
      </c>
    </row>
    <row r="2306" spans="29:32" x14ac:dyDescent="0.25">
      <c r="AC2306">
        <v>26.41</v>
      </c>
      <c r="AE2306">
        <v>43.75</v>
      </c>
      <c r="AF2306">
        <f t="shared" si="35"/>
        <v>1</v>
      </c>
    </row>
    <row r="2307" spans="29:32" x14ac:dyDescent="0.25">
      <c r="AC2307">
        <v>26.58</v>
      </c>
      <c r="AE2307">
        <v>43.75</v>
      </c>
      <c r="AF2307">
        <f t="shared" si="35"/>
        <v>2</v>
      </c>
    </row>
    <row r="2308" spans="29:32" x14ac:dyDescent="0.25">
      <c r="AC2308">
        <v>26.77</v>
      </c>
      <c r="AE2308">
        <v>43.75</v>
      </c>
      <c r="AF2308">
        <f t="shared" ref="AF2308:AF2371" si="36">IF(AE2308=AE2307,AF2307+1,1)</f>
        <v>3</v>
      </c>
    </row>
    <row r="2309" spans="29:32" x14ac:dyDescent="0.25">
      <c r="AC2309">
        <v>26.84</v>
      </c>
      <c r="AE2309">
        <v>43.75</v>
      </c>
      <c r="AF2309">
        <f t="shared" si="36"/>
        <v>4</v>
      </c>
    </row>
    <row r="2310" spans="29:32" x14ac:dyDescent="0.25">
      <c r="AC2310">
        <v>24.95</v>
      </c>
      <c r="AE2310">
        <v>43.76</v>
      </c>
      <c r="AF2310">
        <f t="shared" si="36"/>
        <v>1</v>
      </c>
    </row>
    <row r="2311" spans="29:32" x14ac:dyDescent="0.25">
      <c r="AC2311">
        <v>28.23</v>
      </c>
      <c r="AE2311">
        <v>43.77</v>
      </c>
      <c r="AF2311">
        <f t="shared" si="36"/>
        <v>1</v>
      </c>
    </row>
    <row r="2312" spans="29:32" x14ac:dyDescent="0.25">
      <c r="AC2312">
        <v>25.01</v>
      </c>
      <c r="AE2312">
        <v>43.78</v>
      </c>
      <c r="AF2312">
        <f t="shared" si="36"/>
        <v>1</v>
      </c>
    </row>
    <row r="2313" spans="29:32" x14ac:dyDescent="0.25">
      <c r="AC2313">
        <v>26</v>
      </c>
      <c r="AE2313">
        <v>43.78</v>
      </c>
      <c r="AF2313">
        <f t="shared" si="36"/>
        <v>2</v>
      </c>
    </row>
    <row r="2314" spans="29:32" x14ac:dyDescent="0.25">
      <c r="AC2314">
        <v>28.34</v>
      </c>
      <c r="AE2314">
        <v>43.79</v>
      </c>
      <c r="AF2314">
        <f t="shared" si="36"/>
        <v>1</v>
      </c>
    </row>
    <row r="2315" spans="29:32" x14ac:dyDescent="0.25">
      <c r="AC2315">
        <v>28.9</v>
      </c>
      <c r="AE2315">
        <v>43.8</v>
      </c>
      <c r="AF2315">
        <f t="shared" si="36"/>
        <v>1</v>
      </c>
    </row>
    <row r="2316" spans="29:32" x14ac:dyDescent="0.25">
      <c r="AC2316">
        <v>25.67</v>
      </c>
      <c r="AE2316">
        <v>43.81</v>
      </c>
      <c r="AF2316">
        <f t="shared" si="36"/>
        <v>1</v>
      </c>
    </row>
    <row r="2317" spans="29:32" x14ac:dyDescent="0.25">
      <c r="AC2317">
        <v>26.72</v>
      </c>
      <c r="AE2317">
        <v>43.82</v>
      </c>
      <c r="AF2317">
        <f t="shared" si="36"/>
        <v>1</v>
      </c>
    </row>
    <row r="2318" spans="29:32" x14ac:dyDescent="0.25">
      <c r="AC2318">
        <v>27.71</v>
      </c>
      <c r="AE2318">
        <v>43.83</v>
      </c>
      <c r="AF2318">
        <f t="shared" si="36"/>
        <v>1</v>
      </c>
    </row>
    <row r="2319" spans="29:32" x14ac:dyDescent="0.25">
      <c r="AC2319">
        <v>29.51</v>
      </c>
      <c r="AE2319">
        <v>43.83</v>
      </c>
      <c r="AF2319">
        <f t="shared" si="36"/>
        <v>2</v>
      </c>
    </row>
    <row r="2320" spans="29:32" x14ac:dyDescent="0.25">
      <c r="AC2320">
        <v>34.47</v>
      </c>
      <c r="AE2320">
        <v>43.83</v>
      </c>
      <c r="AF2320">
        <f t="shared" si="36"/>
        <v>3</v>
      </c>
    </row>
    <row r="2321" spans="29:32" x14ac:dyDescent="0.25">
      <c r="AC2321">
        <v>31.45</v>
      </c>
      <c r="AE2321">
        <v>43.83</v>
      </c>
      <c r="AF2321">
        <f t="shared" si="36"/>
        <v>4</v>
      </c>
    </row>
    <row r="2322" spans="29:32" x14ac:dyDescent="0.25">
      <c r="AC2322">
        <v>32.94</v>
      </c>
      <c r="AE2322">
        <v>43.84</v>
      </c>
      <c r="AF2322">
        <f t="shared" si="36"/>
        <v>1</v>
      </c>
    </row>
    <row r="2323" spans="29:32" x14ac:dyDescent="0.25">
      <c r="AC2323">
        <v>32.380000000000003</v>
      </c>
      <c r="AE2323">
        <v>43.84</v>
      </c>
      <c r="AF2323">
        <f t="shared" si="36"/>
        <v>2</v>
      </c>
    </row>
    <row r="2324" spans="29:32" x14ac:dyDescent="0.25">
      <c r="AC2324">
        <v>34.81</v>
      </c>
      <c r="AE2324">
        <v>43.84</v>
      </c>
      <c r="AF2324">
        <f t="shared" si="36"/>
        <v>3</v>
      </c>
    </row>
    <row r="2325" spans="29:32" x14ac:dyDescent="0.25">
      <c r="AC2325">
        <v>33.89</v>
      </c>
      <c r="AE2325">
        <v>43.85</v>
      </c>
      <c r="AF2325">
        <f t="shared" si="36"/>
        <v>1</v>
      </c>
    </row>
    <row r="2326" spans="29:32" x14ac:dyDescent="0.25">
      <c r="AC2326">
        <v>38.5</v>
      </c>
      <c r="AE2326">
        <v>43.86</v>
      </c>
      <c r="AF2326">
        <f t="shared" si="36"/>
        <v>1</v>
      </c>
    </row>
    <row r="2327" spans="29:32" x14ac:dyDescent="0.25">
      <c r="AC2327">
        <v>38.57</v>
      </c>
      <c r="AE2327">
        <v>43.86</v>
      </c>
      <c r="AF2327">
        <f t="shared" si="36"/>
        <v>2</v>
      </c>
    </row>
    <row r="2328" spans="29:32" x14ac:dyDescent="0.25">
      <c r="AC2328">
        <v>33.130000000000003</v>
      </c>
      <c r="AE2328">
        <v>43.87</v>
      </c>
      <c r="AF2328">
        <f t="shared" si="36"/>
        <v>1</v>
      </c>
    </row>
    <row r="2329" spans="29:32" x14ac:dyDescent="0.25">
      <c r="AC2329">
        <v>35.89</v>
      </c>
      <c r="AE2329">
        <v>43.87</v>
      </c>
      <c r="AF2329">
        <f t="shared" si="36"/>
        <v>2</v>
      </c>
    </row>
    <row r="2330" spans="29:32" x14ac:dyDescent="0.25">
      <c r="AC2330">
        <v>35.86</v>
      </c>
      <c r="AE2330">
        <v>43.88</v>
      </c>
      <c r="AF2330">
        <f t="shared" si="36"/>
        <v>1</v>
      </c>
    </row>
    <row r="2331" spans="29:32" x14ac:dyDescent="0.25">
      <c r="AC2331">
        <v>36.31</v>
      </c>
      <c r="AE2331">
        <v>43.88</v>
      </c>
      <c r="AF2331">
        <f t="shared" si="36"/>
        <v>2</v>
      </c>
    </row>
    <row r="2332" spans="29:32" x14ac:dyDescent="0.25">
      <c r="AC2332">
        <v>39.51</v>
      </c>
      <c r="AE2332">
        <v>43.88</v>
      </c>
      <c r="AF2332">
        <f t="shared" si="36"/>
        <v>3</v>
      </c>
    </row>
    <row r="2333" spans="29:32" x14ac:dyDescent="0.25">
      <c r="AC2333">
        <v>39.549999999999997</v>
      </c>
      <c r="AE2333">
        <v>43.89</v>
      </c>
      <c r="AF2333">
        <f t="shared" si="36"/>
        <v>1</v>
      </c>
    </row>
    <row r="2334" spans="29:32" x14ac:dyDescent="0.25">
      <c r="AC2334">
        <v>39.090000000000003</v>
      </c>
      <c r="AE2334">
        <v>43.89</v>
      </c>
      <c r="AF2334">
        <f t="shared" si="36"/>
        <v>2</v>
      </c>
    </row>
    <row r="2335" spans="29:32" x14ac:dyDescent="0.25">
      <c r="AC2335">
        <v>36.51</v>
      </c>
      <c r="AE2335">
        <v>43.89</v>
      </c>
      <c r="AF2335">
        <f t="shared" si="36"/>
        <v>3</v>
      </c>
    </row>
    <row r="2336" spans="29:32" x14ac:dyDescent="0.25">
      <c r="AC2336">
        <v>35.729999999999997</v>
      </c>
      <c r="AE2336">
        <v>43.89</v>
      </c>
      <c r="AF2336">
        <f t="shared" si="36"/>
        <v>4</v>
      </c>
    </row>
    <row r="2337" spans="29:32" x14ac:dyDescent="0.25">
      <c r="AC2337">
        <v>36.340000000000003</v>
      </c>
      <c r="AE2337">
        <v>43.9</v>
      </c>
      <c r="AF2337">
        <f t="shared" si="36"/>
        <v>1</v>
      </c>
    </row>
    <row r="2338" spans="29:32" x14ac:dyDescent="0.25">
      <c r="AC2338">
        <v>39.9</v>
      </c>
      <c r="AE2338">
        <v>43.9</v>
      </c>
      <c r="AF2338">
        <f t="shared" si="36"/>
        <v>2</v>
      </c>
    </row>
    <row r="2339" spans="29:32" x14ac:dyDescent="0.25">
      <c r="AC2339">
        <v>40.74</v>
      </c>
      <c r="AE2339">
        <v>43.92</v>
      </c>
      <c r="AF2339">
        <f t="shared" si="36"/>
        <v>1</v>
      </c>
    </row>
    <row r="2340" spans="29:32" x14ac:dyDescent="0.25">
      <c r="AC2340">
        <v>38.630000000000003</v>
      </c>
      <c r="AE2340">
        <v>43.92</v>
      </c>
      <c r="AF2340">
        <f t="shared" si="36"/>
        <v>2</v>
      </c>
    </row>
    <row r="2341" spans="29:32" x14ac:dyDescent="0.25">
      <c r="AC2341">
        <v>36.96</v>
      </c>
      <c r="AE2341">
        <v>43.92</v>
      </c>
      <c r="AF2341">
        <f t="shared" si="36"/>
        <v>3</v>
      </c>
    </row>
    <row r="2342" spans="29:32" x14ac:dyDescent="0.25">
      <c r="AC2342">
        <v>41.52</v>
      </c>
      <c r="AE2342">
        <v>43.92</v>
      </c>
      <c r="AF2342">
        <f t="shared" si="36"/>
        <v>4</v>
      </c>
    </row>
    <row r="2343" spans="29:32" x14ac:dyDescent="0.25">
      <c r="AC2343">
        <v>41.87</v>
      </c>
      <c r="AE2343">
        <v>43.93</v>
      </c>
      <c r="AF2343">
        <f t="shared" si="36"/>
        <v>1</v>
      </c>
    </row>
    <row r="2344" spans="29:32" x14ac:dyDescent="0.25">
      <c r="AC2344">
        <v>37.56</v>
      </c>
      <c r="AE2344">
        <v>43.93</v>
      </c>
      <c r="AF2344">
        <f t="shared" si="36"/>
        <v>2</v>
      </c>
    </row>
    <row r="2345" spans="29:32" x14ac:dyDescent="0.25">
      <c r="AC2345">
        <v>39.159999999999997</v>
      </c>
      <c r="AE2345">
        <v>43.94</v>
      </c>
      <c r="AF2345">
        <f t="shared" si="36"/>
        <v>1</v>
      </c>
    </row>
    <row r="2346" spans="29:32" x14ac:dyDescent="0.25">
      <c r="AC2346">
        <v>39.1</v>
      </c>
      <c r="AE2346">
        <v>43.95</v>
      </c>
      <c r="AF2346">
        <f t="shared" si="36"/>
        <v>1</v>
      </c>
    </row>
    <row r="2347" spans="29:32" x14ac:dyDescent="0.25">
      <c r="AC2347">
        <v>40.72</v>
      </c>
      <c r="AE2347">
        <v>43.95</v>
      </c>
      <c r="AF2347">
        <f t="shared" si="36"/>
        <v>2</v>
      </c>
    </row>
    <row r="2348" spans="29:32" x14ac:dyDescent="0.25">
      <c r="AC2348">
        <v>42.35</v>
      </c>
      <c r="AE2348">
        <v>43.95</v>
      </c>
      <c r="AF2348">
        <f t="shared" si="36"/>
        <v>3</v>
      </c>
    </row>
    <row r="2349" spans="29:32" x14ac:dyDescent="0.25">
      <c r="AC2349">
        <v>42.35</v>
      </c>
      <c r="AE2349">
        <v>43.95</v>
      </c>
      <c r="AF2349">
        <f t="shared" si="36"/>
        <v>4</v>
      </c>
    </row>
    <row r="2350" spans="29:32" x14ac:dyDescent="0.25">
      <c r="AC2350">
        <v>38.159999999999997</v>
      </c>
      <c r="AE2350">
        <v>43.96</v>
      </c>
      <c r="AF2350">
        <f t="shared" si="36"/>
        <v>1</v>
      </c>
    </row>
    <row r="2351" spans="29:32" x14ac:dyDescent="0.25">
      <c r="AC2351">
        <v>43.17</v>
      </c>
      <c r="AE2351">
        <v>43.97</v>
      </c>
      <c r="AF2351">
        <f t="shared" si="36"/>
        <v>1</v>
      </c>
    </row>
    <row r="2352" spans="29:32" x14ac:dyDescent="0.25">
      <c r="AC2352">
        <v>37.840000000000003</v>
      </c>
      <c r="AE2352">
        <v>43.97</v>
      </c>
      <c r="AF2352">
        <f t="shared" si="36"/>
        <v>2</v>
      </c>
    </row>
    <row r="2353" spans="29:32" x14ac:dyDescent="0.25">
      <c r="AC2353">
        <v>37.880000000000003</v>
      </c>
      <c r="AE2353">
        <v>43.97</v>
      </c>
      <c r="AF2353">
        <f t="shared" si="36"/>
        <v>3</v>
      </c>
    </row>
    <row r="2354" spans="29:32" x14ac:dyDescent="0.25">
      <c r="AC2354">
        <v>37.83</v>
      </c>
      <c r="AE2354">
        <v>43.97</v>
      </c>
      <c r="AF2354">
        <f t="shared" si="36"/>
        <v>4</v>
      </c>
    </row>
    <row r="2355" spans="29:32" x14ac:dyDescent="0.25">
      <c r="AC2355">
        <v>37.32</v>
      </c>
      <c r="AE2355">
        <v>43.98</v>
      </c>
      <c r="AF2355">
        <f t="shared" si="36"/>
        <v>1</v>
      </c>
    </row>
    <row r="2356" spans="29:32" x14ac:dyDescent="0.25">
      <c r="AC2356">
        <v>39.43</v>
      </c>
      <c r="AE2356">
        <v>43.98</v>
      </c>
      <c r="AF2356">
        <f t="shared" si="36"/>
        <v>2</v>
      </c>
    </row>
    <row r="2357" spans="29:32" x14ac:dyDescent="0.25">
      <c r="AC2357">
        <v>38.11</v>
      </c>
      <c r="AE2357">
        <v>43.98</v>
      </c>
      <c r="AF2357">
        <f t="shared" si="36"/>
        <v>3</v>
      </c>
    </row>
    <row r="2358" spans="29:32" x14ac:dyDescent="0.25">
      <c r="AC2358">
        <v>40.26</v>
      </c>
      <c r="AE2358">
        <v>43.99</v>
      </c>
      <c r="AF2358">
        <f t="shared" si="36"/>
        <v>1</v>
      </c>
    </row>
    <row r="2359" spans="29:32" x14ac:dyDescent="0.25">
      <c r="AC2359">
        <v>41.42</v>
      </c>
      <c r="AE2359">
        <v>43.99</v>
      </c>
      <c r="AF2359">
        <f t="shared" si="36"/>
        <v>2</v>
      </c>
    </row>
    <row r="2360" spans="29:32" x14ac:dyDescent="0.25">
      <c r="AC2360">
        <v>40.76</v>
      </c>
      <c r="AE2360">
        <v>43.99</v>
      </c>
      <c r="AF2360">
        <f t="shared" si="36"/>
        <v>3</v>
      </c>
    </row>
    <row r="2361" spans="29:32" x14ac:dyDescent="0.25">
      <c r="AC2361">
        <v>42.02</v>
      </c>
      <c r="AE2361">
        <v>43.99</v>
      </c>
      <c r="AF2361">
        <f t="shared" si="36"/>
        <v>4</v>
      </c>
    </row>
    <row r="2362" spans="29:32" x14ac:dyDescent="0.25">
      <c r="AC2362">
        <v>41.25</v>
      </c>
      <c r="AE2362">
        <v>44</v>
      </c>
      <c r="AF2362">
        <f t="shared" si="36"/>
        <v>1</v>
      </c>
    </row>
    <row r="2363" spans="29:32" x14ac:dyDescent="0.25">
      <c r="AC2363">
        <v>43.8</v>
      </c>
      <c r="AE2363">
        <v>44.01</v>
      </c>
      <c r="AF2363">
        <f t="shared" si="36"/>
        <v>1</v>
      </c>
    </row>
    <row r="2364" spans="29:32" x14ac:dyDescent="0.25">
      <c r="AC2364">
        <v>37.47</v>
      </c>
      <c r="AE2364">
        <v>44.03</v>
      </c>
      <c r="AF2364">
        <f t="shared" si="36"/>
        <v>1</v>
      </c>
    </row>
    <row r="2365" spans="29:32" x14ac:dyDescent="0.25">
      <c r="AC2365">
        <v>39.04</v>
      </c>
      <c r="AE2365">
        <v>44.03</v>
      </c>
      <c r="AF2365">
        <f t="shared" si="36"/>
        <v>2</v>
      </c>
    </row>
    <row r="2366" spans="29:32" x14ac:dyDescent="0.25">
      <c r="AC2366">
        <v>41.47</v>
      </c>
      <c r="AE2366">
        <v>44.04</v>
      </c>
      <c r="AF2366">
        <f t="shared" si="36"/>
        <v>1</v>
      </c>
    </row>
    <row r="2367" spans="29:32" x14ac:dyDescent="0.25">
      <c r="AC2367">
        <v>41.28</v>
      </c>
      <c r="AE2367">
        <v>44.04</v>
      </c>
      <c r="AF2367">
        <f t="shared" si="36"/>
        <v>2</v>
      </c>
    </row>
    <row r="2368" spans="29:32" x14ac:dyDescent="0.25">
      <c r="AC2368">
        <v>38.92</v>
      </c>
      <c r="AE2368">
        <v>44.07</v>
      </c>
      <c r="AF2368">
        <f t="shared" si="36"/>
        <v>1</v>
      </c>
    </row>
    <row r="2369" spans="29:32" x14ac:dyDescent="0.25">
      <c r="AC2369">
        <v>38.9</v>
      </c>
      <c r="AE2369">
        <v>44.08</v>
      </c>
      <c r="AF2369">
        <f t="shared" si="36"/>
        <v>1</v>
      </c>
    </row>
    <row r="2370" spans="29:32" x14ac:dyDescent="0.25">
      <c r="AC2370">
        <v>42.43</v>
      </c>
      <c r="AE2370">
        <v>44.08</v>
      </c>
      <c r="AF2370">
        <f t="shared" si="36"/>
        <v>2</v>
      </c>
    </row>
    <row r="2371" spans="29:32" x14ac:dyDescent="0.25">
      <c r="AC2371">
        <v>43.65</v>
      </c>
      <c r="AE2371">
        <v>44.09</v>
      </c>
      <c r="AF2371">
        <f t="shared" si="36"/>
        <v>1</v>
      </c>
    </row>
    <row r="2372" spans="29:32" x14ac:dyDescent="0.25">
      <c r="AC2372">
        <v>37.99</v>
      </c>
      <c r="AE2372">
        <v>44.1</v>
      </c>
      <c r="AF2372">
        <f t="shared" ref="AF2372:AF2435" si="37">IF(AE2372=AE2371,AF2371+1,1)</f>
        <v>1</v>
      </c>
    </row>
    <row r="2373" spans="29:32" x14ac:dyDescent="0.25">
      <c r="AC2373">
        <v>42.57</v>
      </c>
      <c r="AE2373">
        <v>44.1</v>
      </c>
      <c r="AF2373">
        <f t="shared" si="37"/>
        <v>2</v>
      </c>
    </row>
    <row r="2374" spans="29:32" x14ac:dyDescent="0.25">
      <c r="AC2374">
        <v>42.35</v>
      </c>
      <c r="AE2374">
        <v>44.1</v>
      </c>
      <c r="AF2374">
        <f t="shared" si="37"/>
        <v>3</v>
      </c>
    </row>
    <row r="2375" spans="29:32" x14ac:dyDescent="0.25">
      <c r="AC2375">
        <v>39.659999999999997</v>
      </c>
      <c r="AE2375">
        <v>44.11</v>
      </c>
      <c r="AF2375">
        <f t="shared" si="37"/>
        <v>1</v>
      </c>
    </row>
    <row r="2376" spans="29:32" x14ac:dyDescent="0.25">
      <c r="AC2376">
        <v>39.5</v>
      </c>
      <c r="AE2376">
        <v>44.11</v>
      </c>
      <c r="AF2376">
        <f t="shared" si="37"/>
        <v>2</v>
      </c>
    </row>
    <row r="2377" spans="29:32" x14ac:dyDescent="0.25">
      <c r="AC2377">
        <v>38.950000000000003</v>
      </c>
      <c r="AE2377">
        <v>44.11</v>
      </c>
      <c r="AF2377">
        <f t="shared" si="37"/>
        <v>3</v>
      </c>
    </row>
    <row r="2378" spans="29:32" x14ac:dyDescent="0.25">
      <c r="AC2378">
        <v>38.729999999999997</v>
      </c>
      <c r="AE2378">
        <v>44.12</v>
      </c>
      <c r="AF2378">
        <f t="shared" si="37"/>
        <v>1</v>
      </c>
    </row>
    <row r="2379" spans="29:32" x14ac:dyDescent="0.25">
      <c r="AC2379">
        <v>38.71</v>
      </c>
      <c r="AE2379">
        <v>44.14</v>
      </c>
      <c r="AF2379">
        <f t="shared" si="37"/>
        <v>1</v>
      </c>
    </row>
    <row r="2380" spans="29:32" x14ac:dyDescent="0.25">
      <c r="AC2380">
        <v>38.33</v>
      </c>
      <c r="AE2380">
        <v>44.14</v>
      </c>
      <c r="AF2380">
        <f t="shared" si="37"/>
        <v>2</v>
      </c>
    </row>
    <row r="2381" spans="29:32" x14ac:dyDescent="0.25">
      <c r="AC2381">
        <v>40.159999999999997</v>
      </c>
      <c r="AE2381">
        <v>44.14</v>
      </c>
      <c r="AF2381">
        <f t="shared" si="37"/>
        <v>3</v>
      </c>
    </row>
    <row r="2382" spans="29:32" x14ac:dyDescent="0.25">
      <c r="AC2382">
        <v>38.85</v>
      </c>
      <c r="AE2382">
        <v>44.15</v>
      </c>
      <c r="AF2382">
        <f t="shared" si="37"/>
        <v>1</v>
      </c>
    </row>
    <row r="2383" spans="29:32" x14ac:dyDescent="0.25">
      <c r="AC2383">
        <v>39.1</v>
      </c>
      <c r="AE2383">
        <v>44.16</v>
      </c>
      <c r="AF2383">
        <f t="shared" si="37"/>
        <v>1</v>
      </c>
    </row>
    <row r="2384" spans="29:32" x14ac:dyDescent="0.25">
      <c r="AC2384">
        <v>37.619999999999997</v>
      </c>
      <c r="AE2384">
        <v>44.17</v>
      </c>
      <c r="AF2384">
        <f t="shared" si="37"/>
        <v>1</v>
      </c>
    </row>
    <row r="2385" spans="29:32" x14ac:dyDescent="0.25">
      <c r="AC2385">
        <v>43.66</v>
      </c>
      <c r="AE2385">
        <v>44.18</v>
      </c>
      <c r="AF2385">
        <f t="shared" si="37"/>
        <v>1</v>
      </c>
    </row>
    <row r="2386" spans="29:32" x14ac:dyDescent="0.25">
      <c r="AC2386">
        <v>37.979999999999997</v>
      </c>
      <c r="AE2386">
        <v>44.19</v>
      </c>
      <c r="AF2386">
        <f t="shared" si="37"/>
        <v>1</v>
      </c>
    </row>
    <row r="2387" spans="29:32" x14ac:dyDescent="0.25">
      <c r="AC2387">
        <v>39.909999999999997</v>
      </c>
      <c r="AE2387">
        <v>44.2</v>
      </c>
      <c r="AF2387">
        <f t="shared" si="37"/>
        <v>1</v>
      </c>
    </row>
    <row r="2388" spans="29:32" x14ac:dyDescent="0.25">
      <c r="AC2388">
        <v>44.32</v>
      </c>
      <c r="AE2388">
        <v>44.2</v>
      </c>
      <c r="AF2388">
        <f t="shared" si="37"/>
        <v>2</v>
      </c>
    </row>
    <row r="2389" spans="29:32" x14ac:dyDescent="0.25">
      <c r="AC2389">
        <v>40.840000000000003</v>
      </c>
      <c r="AE2389">
        <v>44.21</v>
      </c>
      <c r="AF2389">
        <f t="shared" si="37"/>
        <v>1</v>
      </c>
    </row>
    <row r="2390" spans="29:32" x14ac:dyDescent="0.25">
      <c r="AC2390">
        <v>40.17</v>
      </c>
      <c r="AE2390">
        <v>44.21</v>
      </c>
      <c r="AF2390">
        <f t="shared" si="37"/>
        <v>2</v>
      </c>
    </row>
    <row r="2391" spans="29:32" x14ac:dyDescent="0.25">
      <c r="AC2391">
        <v>41.6</v>
      </c>
      <c r="AE2391">
        <v>44.21</v>
      </c>
      <c r="AF2391">
        <f t="shared" si="37"/>
        <v>3</v>
      </c>
    </row>
    <row r="2392" spans="29:32" x14ac:dyDescent="0.25">
      <c r="AC2392">
        <v>44.59</v>
      </c>
      <c r="AE2392">
        <v>44.21</v>
      </c>
      <c r="AF2392">
        <f t="shared" si="37"/>
        <v>4</v>
      </c>
    </row>
    <row r="2393" spans="29:32" x14ac:dyDescent="0.25">
      <c r="AC2393">
        <v>45.06</v>
      </c>
      <c r="AE2393">
        <v>44.22</v>
      </c>
      <c r="AF2393">
        <f t="shared" si="37"/>
        <v>1</v>
      </c>
    </row>
    <row r="2394" spans="29:32" x14ac:dyDescent="0.25">
      <c r="AC2394">
        <v>44.96</v>
      </c>
      <c r="AE2394">
        <v>44.22</v>
      </c>
      <c r="AF2394">
        <f t="shared" si="37"/>
        <v>2</v>
      </c>
    </row>
    <row r="2395" spans="29:32" x14ac:dyDescent="0.25">
      <c r="AC2395">
        <v>40.35</v>
      </c>
      <c r="AE2395">
        <v>44.22</v>
      </c>
      <c r="AF2395">
        <f t="shared" si="37"/>
        <v>3</v>
      </c>
    </row>
    <row r="2396" spans="29:32" x14ac:dyDescent="0.25">
      <c r="AC2396">
        <v>45.51</v>
      </c>
      <c r="AE2396">
        <v>44.23</v>
      </c>
      <c r="AF2396">
        <f t="shared" si="37"/>
        <v>1</v>
      </c>
    </row>
    <row r="2397" spans="29:32" x14ac:dyDescent="0.25">
      <c r="AC2397">
        <v>45.82</v>
      </c>
      <c r="AE2397">
        <v>44.24</v>
      </c>
      <c r="AF2397">
        <f t="shared" si="37"/>
        <v>1</v>
      </c>
    </row>
    <row r="2398" spans="29:32" x14ac:dyDescent="0.25">
      <c r="AC2398">
        <v>45.8</v>
      </c>
      <c r="AE2398">
        <v>44.24</v>
      </c>
      <c r="AF2398">
        <f t="shared" si="37"/>
        <v>2</v>
      </c>
    </row>
    <row r="2399" spans="29:32" x14ac:dyDescent="0.25">
      <c r="AC2399">
        <v>46.18</v>
      </c>
      <c r="AE2399">
        <v>44.24</v>
      </c>
      <c r="AF2399">
        <f t="shared" si="37"/>
        <v>3</v>
      </c>
    </row>
    <row r="2400" spans="29:32" x14ac:dyDescent="0.25">
      <c r="AC2400">
        <v>45.46</v>
      </c>
      <c r="AE2400">
        <v>44.25</v>
      </c>
      <c r="AF2400">
        <f t="shared" si="37"/>
        <v>1</v>
      </c>
    </row>
    <row r="2401" spans="29:32" x14ac:dyDescent="0.25">
      <c r="AC2401">
        <v>45.95</v>
      </c>
      <c r="AE2401">
        <v>44.25</v>
      </c>
      <c r="AF2401">
        <f t="shared" si="37"/>
        <v>2</v>
      </c>
    </row>
    <row r="2402" spans="29:32" x14ac:dyDescent="0.25">
      <c r="AC2402">
        <v>46.26</v>
      </c>
      <c r="AE2402">
        <v>44.25</v>
      </c>
      <c r="AF2402">
        <f t="shared" si="37"/>
        <v>3</v>
      </c>
    </row>
    <row r="2403" spans="29:32" x14ac:dyDescent="0.25">
      <c r="AC2403">
        <v>39.46</v>
      </c>
      <c r="AE2403">
        <v>44.25</v>
      </c>
      <c r="AF2403">
        <f t="shared" si="37"/>
        <v>4</v>
      </c>
    </row>
    <row r="2404" spans="29:32" x14ac:dyDescent="0.25">
      <c r="AC2404">
        <v>46.47</v>
      </c>
      <c r="AE2404">
        <v>44.26</v>
      </c>
      <c r="AF2404">
        <f t="shared" si="37"/>
        <v>1</v>
      </c>
    </row>
    <row r="2405" spans="29:32" x14ac:dyDescent="0.25">
      <c r="AC2405">
        <v>41.03</v>
      </c>
      <c r="AE2405">
        <v>44.28</v>
      </c>
      <c r="AF2405">
        <f t="shared" si="37"/>
        <v>1</v>
      </c>
    </row>
    <row r="2406" spans="29:32" x14ac:dyDescent="0.25">
      <c r="AC2406">
        <v>40.29</v>
      </c>
      <c r="AE2406">
        <v>44.32</v>
      </c>
      <c r="AF2406">
        <f t="shared" si="37"/>
        <v>1</v>
      </c>
    </row>
    <row r="2407" spans="29:32" x14ac:dyDescent="0.25">
      <c r="AC2407">
        <v>42.79</v>
      </c>
      <c r="AE2407">
        <v>44.32</v>
      </c>
      <c r="AF2407">
        <f t="shared" si="37"/>
        <v>2</v>
      </c>
    </row>
    <row r="2408" spans="29:32" x14ac:dyDescent="0.25">
      <c r="AC2408">
        <v>47.45</v>
      </c>
      <c r="AE2408">
        <v>44.32</v>
      </c>
      <c r="AF2408">
        <f t="shared" si="37"/>
        <v>3</v>
      </c>
    </row>
    <row r="2409" spans="29:32" x14ac:dyDescent="0.25">
      <c r="AC2409">
        <v>42.15</v>
      </c>
      <c r="AE2409">
        <v>44.32</v>
      </c>
      <c r="AF2409">
        <f t="shared" si="37"/>
        <v>4</v>
      </c>
    </row>
    <row r="2410" spans="29:32" x14ac:dyDescent="0.25">
      <c r="AC2410">
        <v>44.35</v>
      </c>
      <c r="AE2410">
        <v>44.33</v>
      </c>
      <c r="AF2410">
        <f t="shared" si="37"/>
        <v>1</v>
      </c>
    </row>
    <row r="2411" spans="29:32" x14ac:dyDescent="0.25">
      <c r="AC2411">
        <v>40.54</v>
      </c>
      <c r="AE2411">
        <v>44.33</v>
      </c>
      <c r="AF2411">
        <f t="shared" si="37"/>
        <v>2</v>
      </c>
    </row>
    <row r="2412" spans="29:32" x14ac:dyDescent="0.25">
      <c r="AC2412">
        <v>43.84</v>
      </c>
      <c r="AE2412">
        <v>44.34</v>
      </c>
      <c r="AF2412">
        <f t="shared" si="37"/>
        <v>1</v>
      </c>
    </row>
    <row r="2413" spans="29:32" x14ac:dyDescent="0.25">
      <c r="AC2413">
        <v>42.36</v>
      </c>
      <c r="AE2413">
        <v>44.34</v>
      </c>
      <c r="AF2413">
        <f t="shared" si="37"/>
        <v>2</v>
      </c>
    </row>
    <row r="2414" spans="29:32" x14ac:dyDescent="0.25">
      <c r="AC2414">
        <v>41.98</v>
      </c>
      <c r="AE2414">
        <v>44.34</v>
      </c>
      <c r="AF2414">
        <f t="shared" si="37"/>
        <v>3</v>
      </c>
    </row>
    <row r="2415" spans="29:32" x14ac:dyDescent="0.25">
      <c r="AC2415">
        <v>40.35</v>
      </c>
      <c r="AE2415">
        <v>44.35</v>
      </c>
      <c r="AF2415">
        <f t="shared" si="37"/>
        <v>1</v>
      </c>
    </row>
    <row r="2416" spans="29:32" x14ac:dyDescent="0.25">
      <c r="AC2416">
        <v>42.53</v>
      </c>
      <c r="AE2416">
        <v>44.35</v>
      </c>
      <c r="AF2416">
        <f t="shared" si="37"/>
        <v>2</v>
      </c>
    </row>
    <row r="2417" spans="29:32" x14ac:dyDescent="0.25">
      <c r="AC2417">
        <v>42.58</v>
      </c>
      <c r="AE2417">
        <v>44.35</v>
      </c>
      <c r="AF2417">
        <f t="shared" si="37"/>
        <v>3</v>
      </c>
    </row>
    <row r="2418" spans="29:32" x14ac:dyDescent="0.25">
      <c r="AC2418">
        <v>42.92</v>
      </c>
      <c r="AE2418">
        <v>44.36</v>
      </c>
      <c r="AF2418">
        <f t="shared" si="37"/>
        <v>1</v>
      </c>
    </row>
    <row r="2419" spans="29:32" x14ac:dyDescent="0.25">
      <c r="AC2419">
        <v>40.659999999999997</v>
      </c>
      <c r="AE2419">
        <v>44.36</v>
      </c>
      <c r="AF2419">
        <f t="shared" si="37"/>
        <v>2</v>
      </c>
    </row>
    <row r="2420" spans="29:32" x14ac:dyDescent="0.25">
      <c r="AC2420">
        <v>43.31</v>
      </c>
      <c r="AE2420">
        <v>44.36</v>
      </c>
      <c r="AF2420">
        <f t="shared" si="37"/>
        <v>3</v>
      </c>
    </row>
    <row r="2421" spans="29:32" x14ac:dyDescent="0.25">
      <c r="AC2421">
        <v>47.35</v>
      </c>
      <c r="AE2421">
        <v>44.38</v>
      </c>
      <c r="AF2421">
        <f t="shared" si="37"/>
        <v>1</v>
      </c>
    </row>
    <row r="2422" spans="29:32" x14ac:dyDescent="0.25">
      <c r="AC2422">
        <v>41.17</v>
      </c>
      <c r="AE2422">
        <v>44.39</v>
      </c>
      <c r="AF2422">
        <f t="shared" si="37"/>
        <v>1</v>
      </c>
    </row>
    <row r="2423" spans="29:32" x14ac:dyDescent="0.25">
      <c r="AC2423">
        <v>43.37</v>
      </c>
      <c r="AE2423">
        <v>44.4</v>
      </c>
      <c r="AF2423">
        <f t="shared" si="37"/>
        <v>1</v>
      </c>
    </row>
    <row r="2424" spans="29:32" x14ac:dyDescent="0.25">
      <c r="AC2424">
        <v>44.7</v>
      </c>
      <c r="AE2424">
        <v>44.4</v>
      </c>
      <c r="AF2424">
        <f t="shared" si="37"/>
        <v>2</v>
      </c>
    </row>
    <row r="2425" spans="29:32" x14ac:dyDescent="0.25">
      <c r="AC2425">
        <v>43.62</v>
      </c>
      <c r="AE2425">
        <v>44.41</v>
      </c>
      <c r="AF2425">
        <f t="shared" si="37"/>
        <v>1</v>
      </c>
    </row>
    <row r="2426" spans="29:32" x14ac:dyDescent="0.25">
      <c r="AC2426">
        <v>42.51</v>
      </c>
      <c r="AE2426">
        <v>44.41</v>
      </c>
      <c r="AF2426">
        <f t="shared" si="37"/>
        <v>2</v>
      </c>
    </row>
    <row r="2427" spans="29:32" x14ac:dyDescent="0.25">
      <c r="AC2427">
        <v>43.82</v>
      </c>
      <c r="AE2427">
        <v>44.41</v>
      </c>
      <c r="AF2427">
        <f t="shared" si="37"/>
        <v>3</v>
      </c>
    </row>
    <row r="2428" spans="29:32" x14ac:dyDescent="0.25">
      <c r="AC2428">
        <v>42.35</v>
      </c>
      <c r="AE2428">
        <v>44.42</v>
      </c>
      <c r="AF2428">
        <f t="shared" si="37"/>
        <v>1</v>
      </c>
    </row>
    <row r="2429" spans="29:32" x14ac:dyDescent="0.25">
      <c r="AC2429">
        <v>47.26</v>
      </c>
      <c r="AE2429">
        <v>44.42</v>
      </c>
      <c r="AF2429">
        <f t="shared" si="37"/>
        <v>2</v>
      </c>
    </row>
    <row r="2430" spans="29:32" x14ac:dyDescent="0.25">
      <c r="AC2430">
        <v>47.56</v>
      </c>
      <c r="AE2430">
        <v>44.43</v>
      </c>
      <c r="AF2430">
        <f t="shared" si="37"/>
        <v>1</v>
      </c>
    </row>
    <row r="2431" spans="29:32" x14ac:dyDescent="0.25">
      <c r="AC2431">
        <v>41.3</v>
      </c>
      <c r="AE2431">
        <v>44.43</v>
      </c>
      <c r="AF2431">
        <f t="shared" si="37"/>
        <v>2</v>
      </c>
    </row>
    <row r="2432" spans="29:32" x14ac:dyDescent="0.25">
      <c r="AC2432">
        <v>45.26</v>
      </c>
      <c r="AE2432">
        <v>44.44</v>
      </c>
      <c r="AF2432">
        <f t="shared" si="37"/>
        <v>1</v>
      </c>
    </row>
    <row r="2433" spans="29:32" x14ac:dyDescent="0.25">
      <c r="AC2433">
        <v>43.99</v>
      </c>
      <c r="AE2433">
        <v>44.44</v>
      </c>
      <c r="AF2433">
        <f t="shared" si="37"/>
        <v>2</v>
      </c>
    </row>
    <row r="2434" spans="29:32" x14ac:dyDescent="0.25">
      <c r="AC2434">
        <v>45.05</v>
      </c>
      <c r="AE2434">
        <v>44.46</v>
      </c>
      <c r="AF2434">
        <f t="shared" si="37"/>
        <v>1</v>
      </c>
    </row>
    <row r="2435" spans="29:32" x14ac:dyDescent="0.25">
      <c r="AC2435">
        <v>42.72</v>
      </c>
      <c r="AE2435">
        <v>44.46</v>
      </c>
      <c r="AF2435">
        <f t="shared" si="37"/>
        <v>2</v>
      </c>
    </row>
    <row r="2436" spans="29:32" x14ac:dyDescent="0.25">
      <c r="AC2436">
        <v>42.49</v>
      </c>
      <c r="AE2436">
        <v>44.46</v>
      </c>
      <c r="AF2436">
        <f t="shared" ref="AF2436:AF2499" si="38">IF(AE2436=AE2435,AF2435+1,1)</f>
        <v>3</v>
      </c>
    </row>
    <row r="2437" spans="29:32" x14ac:dyDescent="0.25">
      <c r="AC2437">
        <v>43.89</v>
      </c>
      <c r="AE2437">
        <v>44.46</v>
      </c>
      <c r="AF2437">
        <f t="shared" si="38"/>
        <v>4</v>
      </c>
    </row>
    <row r="2438" spans="29:32" x14ac:dyDescent="0.25">
      <c r="AC2438">
        <v>42.29</v>
      </c>
      <c r="AE2438">
        <v>44.48</v>
      </c>
      <c r="AF2438">
        <f t="shared" si="38"/>
        <v>1</v>
      </c>
    </row>
    <row r="2439" spans="29:32" x14ac:dyDescent="0.25">
      <c r="AC2439">
        <v>48.22</v>
      </c>
      <c r="AE2439">
        <v>44.48</v>
      </c>
      <c r="AF2439">
        <f t="shared" si="38"/>
        <v>2</v>
      </c>
    </row>
    <row r="2440" spans="29:32" x14ac:dyDescent="0.25">
      <c r="AC2440">
        <v>47.78</v>
      </c>
      <c r="AE2440">
        <v>44.49</v>
      </c>
      <c r="AF2440">
        <f t="shared" si="38"/>
        <v>1</v>
      </c>
    </row>
    <row r="2441" spans="29:32" x14ac:dyDescent="0.25">
      <c r="AC2441">
        <v>43.32</v>
      </c>
      <c r="AE2441">
        <v>44.5</v>
      </c>
      <c r="AF2441">
        <f t="shared" si="38"/>
        <v>1</v>
      </c>
    </row>
    <row r="2442" spans="29:32" x14ac:dyDescent="0.25">
      <c r="AC2442">
        <v>47.62</v>
      </c>
      <c r="AE2442">
        <v>44.5</v>
      </c>
      <c r="AF2442">
        <f t="shared" si="38"/>
        <v>2</v>
      </c>
    </row>
    <row r="2443" spans="29:32" x14ac:dyDescent="0.25">
      <c r="AC2443">
        <v>42.99</v>
      </c>
      <c r="AE2443">
        <v>44.51</v>
      </c>
      <c r="AF2443">
        <f t="shared" si="38"/>
        <v>1</v>
      </c>
    </row>
    <row r="2444" spans="29:32" x14ac:dyDescent="0.25">
      <c r="AC2444">
        <v>45.57</v>
      </c>
      <c r="AE2444">
        <v>44.52</v>
      </c>
      <c r="AF2444">
        <f t="shared" si="38"/>
        <v>1</v>
      </c>
    </row>
    <row r="2445" spans="29:32" x14ac:dyDescent="0.25">
      <c r="AC2445">
        <v>43.04</v>
      </c>
      <c r="AE2445">
        <v>44.53</v>
      </c>
      <c r="AF2445">
        <f t="shared" si="38"/>
        <v>1</v>
      </c>
    </row>
    <row r="2446" spans="29:32" x14ac:dyDescent="0.25">
      <c r="AC2446">
        <v>47.97</v>
      </c>
      <c r="AE2446">
        <v>44.53</v>
      </c>
      <c r="AF2446">
        <f t="shared" si="38"/>
        <v>2</v>
      </c>
    </row>
    <row r="2447" spans="29:32" x14ac:dyDescent="0.25">
      <c r="AC2447">
        <v>48.44</v>
      </c>
      <c r="AE2447">
        <v>44.53</v>
      </c>
      <c r="AF2447">
        <f t="shared" si="38"/>
        <v>3</v>
      </c>
    </row>
    <row r="2448" spans="29:32" x14ac:dyDescent="0.25">
      <c r="AC2448">
        <v>48.04</v>
      </c>
      <c r="AE2448">
        <v>44.54</v>
      </c>
      <c r="AF2448">
        <f t="shared" si="38"/>
        <v>1</v>
      </c>
    </row>
    <row r="2449" spans="29:32" x14ac:dyDescent="0.25">
      <c r="AC2449">
        <v>45.5</v>
      </c>
      <c r="AE2449">
        <v>44.54</v>
      </c>
      <c r="AF2449">
        <f t="shared" si="38"/>
        <v>2</v>
      </c>
    </row>
    <row r="2450" spans="29:32" x14ac:dyDescent="0.25">
      <c r="AC2450">
        <v>43.2</v>
      </c>
      <c r="AE2450">
        <v>44.56</v>
      </c>
      <c r="AF2450">
        <f t="shared" si="38"/>
        <v>1</v>
      </c>
    </row>
    <row r="2451" spans="29:32" x14ac:dyDescent="0.25">
      <c r="AC2451">
        <v>42.75</v>
      </c>
      <c r="AE2451">
        <v>44.57</v>
      </c>
      <c r="AF2451">
        <f t="shared" si="38"/>
        <v>1</v>
      </c>
    </row>
    <row r="2452" spans="29:32" x14ac:dyDescent="0.25">
      <c r="AC2452">
        <v>48.21</v>
      </c>
      <c r="AE2452">
        <v>44.57</v>
      </c>
      <c r="AF2452">
        <f t="shared" si="38"/>
        <v>2</v>
      </c>
    </row>
    <row r="2453" spans="29:32" x14ac:dyDescent="0.25">
      <c r="AC2453">
        <v>42.15</v>
      </c>
      <c r="AE2453">
        <v>44.58</v>
      </c>
      <c r="AF2453">
        <f t="shared" si="38"/>
        <v>1</v>
      </c>
    </row>
    <row r="2454" spans="29:32" x14ac:dyDescent="0.25">
      <c r="AC2454">
        <v>42.93</v>
      </c>
      <c r="AE2454">
        <v>44.58</v>
      </c>
      <c r="AF2454">
        <f t="shared" si="38"/>
        <v>2</v>
      </c>
    </row>
    <row r="2455" spans="29:32" x14ac:dyDescent="0.25">
      <c r="AC2455">
        <v>48.07</v>
      </c>
      <c r="AE2455">
        <v>44.58</v>
      </c>
      <c r="AF2455">
        <f t="shared" si="38"/>
        <v>3</v>
      </c>
    </row>
    <row r="2456" spans="29:32" x14ac:dyDescent="0.25">
      <c r="AC2456">
        <v>48.37</v>
      </c>
      <c r="AE2456">
        <v>44.59</v>
      </c>
      <c r="AF2456">
        <f t="shared" si="38"/>
        <v>1</v>
      </c>
    </row>
    <row r="2457" spans="29:32" x14ac:dyDescent="0.25">
      <c r="AC2457">
        <v>46.27</v>
      </c>
      <c r="AE2457">
        <v>44.59</v>
      </c>
      <c r="AF2457">
        <f t="shared" si="38"/>
        <v>2</v>
      </c>
    </row>
    <row r="2458" spans="29:32" x14ac:dyDescent="0.25">
      <c r="AC2458">
        <v>42.51</v>
      </c>
      <c r="AE2458">
        <v>44.59</v>
      </c>
      <c r="AF2458">
        <f t="shared" si="38"/>
        <v>3</v>
      </c>
    </row>
    <row r="2459" spans="29:32" x14ac:dyDescent="0.25">
      <c r="AC2459">
        <v>42.94</v>
      </c>
      <c r="AE2459">
        <v>44.6</v>
      </c>
      <c r="AF2459">
        <f t="shared" si="38"/>
        <v>1</v>
      </c>
    </row>
    <row r="2460" spans="29:32" x14ac:dyDescent="0.25">
      <c r="AC2460">
        <v>48.87</v>
      </c>
      <c r="AE2460">
        <v>44.6</v>
      </c>
      <c r="AF2460">
        <f t="shared" si="38"/>
        <v>2</v>
      </c>
    </row>
    <row r="2461" spans="29:32" x14ac:dyDescent="0.25">
      <c r="AC2461">
        <v>43.57</v>
      </c>
      <c r="AE2461">
        <v>44.61</v>
      </c>
      <c r="AF2461">
        <f t="shared" si="38"/>
        <v>1</v>
      </c>
    </row>
    <row r="2462" spans="29:32" x14ac:dyDescent="0.25">
      <c r="AC2462">
        <v>43.59</v>
      </c>
      <c r="AE2462">
        <v>44.61</v>
      </c>
      <c r="AF2462">
        <f t="shared" si="38"/>
        <v>2</v>
      </c>
    </row>
    <row r="2463" spans="29:32" x14ac:dyDescent="0.25">
      <c r="AC2463">
        <v>46.2</v>
      </c>
      <c r="AE2463">
        <v>44.63</v>
      </c>
      <c r="AF2463">
        <f t="shared" si="38"/>
        <v>1</v>
      </c>
    </row>
    <row r="2464" spans="29:32" x14ac:dyDescent="0.25">
      <c r="AC2464">
        <v>42.75</v>
      </c>
      <c r="AE2464">
        <v>44.65</v>
      </c>
      <c r="AF2464">
        <f t="shared" si="38"/>
        <v>1</v>
      </c>
    </row>
    <row r="2465" spans="29:32" x14ac:dyDescent="0.25">
      <c r="AC2465">
        <v>43.37</v>
      </c>
      <c r="AE2465">
        <v>44.65</v>
      </c>
      <c r="AF2465">
        <f t="shared" si="38"/>
        <v>2</v>
      </c>
    </row>
    <row r="2466" spans="29:32" x14ac:dyDescent="0.25">
      <c r="AC2466">
        <v>46.6</v>
      </c>
      <c r="AE2466">
        <v>44.65</v>
      </c>
      <c r="AF2466">
        <f t="shared" si="38"/>
        <v>3</v>
      </c>
    </row>
    <row r="2467" spans="29:32" x14ac:dyDescent="0.25">
      <c r="AC2467">
        <v>43.3</v>
      </c>
      <c r="AE2467">
        <v>44.67</v>
      </c>
      <c r="AF2467">
        <f t="shared" si="38"/>
        <v>1</v>
      </c>
    </row>
    <row r="2468" spans="29:32" x14ac:dyDescent="0.25">
      <c r="AC2468">
        <v>45.59</v>
      </c>
      <c r="AE2468">
        <v>44.67</v>
      </c>
      <c r="AF2468">
        <f t="shared" si="38"/>
        <v>2</v>
      </c>
    </row>
    <row r="2469" spans="29:32" x14ac:dyDescent="0.25">
      <c r="AC2469">
        <v>46.52</v>
      </c>
      <c r="AE2469">
        <v>44.67</v>
      </c>
      <c r="AF2469">
        <f t="shared" si="38"/>
        <v>3</v>
      </c>
    </row>
    <row r="2470" spans="29:32" x14ac:dyDescent="0.25">
      <c r="AC2470">
        <v>45.74</v>
      </c>
      <c r="AE2470">
        <v>44.67</v>
      </c>
      <c r="AF2470">
        <f t="shared" si="38"/>
        <v>4</v>
      </c>
    </row>
    <row r="2471" spans="29:32" x14ac:dyDescent="0.25">
      <c r="AC2471">
        <v>43.21</v>
      </c>
      <c r="AE2471">
        <v>44.68</v>
      </c>
      <c r="AF2471">
        <f t="shared" si="38"/>
        <v>1</v>
      </c>
    </row>
    <row r="2472" spans="29:32" x14ac:dyDescent="0.25">
      <c r="AC2472">
        <v>43.99</v>
      </c>
      <c r="AE2472">
        <v>44.68</v>
      </c>
      <c r="AF2472">
        <f t="shared" si="38"/>
        <v>2</v>
      </c>
    </row>
    <row r="2473" spans="29:32" x14ac:dyDescent="0.25">
      <c r="AC2473">
        <v>47.65</v>
      </c>
      <c r="AE2473">
        <v>44.68</v>
      </c>
      <c r="AF2473">
        <f t="shared" si="38"/>
        <v>3</v>
      </c>
    </row>
    <row r="2474" spans="29:32" x14ac:dyDescent="0.25">
      <c r="AC2474">
        <v>43.31</v>
      </c>
      <c r="AE2474">
        <v>44.68</v>
      </c>
      <c r="AF2474">
        <f t="shared" si="38"/>
        <v>4</v>
      </c>
    </row>
    <row r="2475" spans="29:32" x14ac:dyDescent="0.25">
      <c r="AC2475">
        <v>43.02</v>
      </c>
      <c r="AE2475">
        <v>44.68</v>
      </c>
      <c r="AF2475">
        <f t="shared" si="38"/>
        <v>5</v>
      </c>
    </row>
    <row r="2476" spans="29:32" x14ac:dyDescent="0.25">
      <c r="AC2476">
        <v>43.05</v>
      </c>
      <c r="AE2476">
        <v>44.68</v>
      </c>
      <c r="AF2476">
        <f t="shared" si="38"/>
        <v>6</v>
      </c>
    </row>
    <row r="2477" spans="29:32" x14ac:dyDescent="0.25">
      <c r="AC2477">
        <v>48.87</v>
      </c>
      <c r="AE2477">
        <v>44.69</v>
      </c>
      <c r="AF2477">
        <f t="shared" si="38"/>
        <v>1</v>
      </c>
    </row>
    <row r="2478" spans="29:32" x14ac:dyDescent="0.25">
      <c r="AC2478">
        <v>43.75</v>
      </c>
      <c r="AE2478">
        <v>44.7</v>
      </c>
      <c r="AF2478">
        <f t="shared" si="38"/>
        <v>1</v>
      </c>
    </row>
    <row r="2479" spans="29:32" x14ac:dyDescent="0.25">
      <c r="AC2479">
        <v>42.16</v>
      </c>
      <c r="AE2479">
        <v>44.7</v>
      </c>
      <c r="AF2479">
        <f t="shared" si="38"/>
        <v>2</v>
      </c>
    </row>
    <row r="2480" spans="29:32" x14ac:dyDescent="0.25">
      <c r="AC2480">
        <v>47.13</v>
      </c>
      <c r="AE2480">
        <v>44.7</v>
      </c>
      <c r="AF2480">
        <f t="shared" si="38"/>
        <v>3</v>
      </c>
    </row>
    <row r="2481" spans="29:32" x14ac:dyDescent="0.25">
      <c r="AC2481">
        <v>48.35</v>
      </c>
      <c r="AE2481">
        <v>44.7</v>
      </c>
      <c r="AF2481">
        <f t="shared" si="38"/>
        <v>4</v>
      </c>
    </row>
    <row r="2482" spans="29:32" x14ac:dyDescent="0.25">
      <c r="AC2482">
        <v>45.99</v>
      </c>
      <c r="AE2482">
        <v>44.71</v>
      </c>
      <c r="AF2482">
        <f t="shared" si="38"/>
        <v>1</v>
      </c>
    </row>
    <row r="2483" spans="29:32" x14ac:dyDescent="0.25">
      <c r="AC2483">
        <v>43.26</v>
      </c>
      <c r="AE2483">
        <v>44.71</v>
      </c>
      <c r="AF2483">
        <f t="shared" si="38"/>
        <v>2</v>
      </c>
    </row>
    <row r="2484" spans="29:32" x14ac:dyDescent="0.25">
      <c r="AC2484">
        <v>43.2</v>
      </c>
      <c r="AE2484">
        <v>44.71</v>
      </c>
      <c r="AF2484">
        <f t="shared" si="38"/>
        <v>3</v>
      </c>
    </row>
    <row r="2485" spans="29:32" x14ac:dyDescent="0.25">
      <c r="AC2485">
        <v>43.39</v>
      </c>
      <c r="AE2485">
        <v>44.72</v>
      </c>
      <c r="AF2485">
        <f t="shared" si="38"/>
        <v>1</v>
      </c>
    </row>
    <row r="2486" spans="29:32" x14ac:dyDescent="0.25">
      <c r="AC2486">
        <v>43.88</v>
      </c>
      <c r="AE2486">
        <v>44.73</v>
      </c>
      <c r="AF2486">
        <f t="shared" si="38"/>
        <v>1</v>
      </c>
    </row>
    <row r="2487" spans="29:32" x14ac:dyDescent="0.25">
      <c r="AC2487">
        <v>43.85</v>
      </c>
      <c r="AE2487">
        <v>44.73</v>
      </c>
      <c r="AF2487">
        <f t="shared" si="38"/>
        <v>2</v>
      </c>
    </row>
    <row r="2488" spans="29:32" x14ac:dyDescent="0.25">
      <c r="AC2488">
        <v>44.73</v>
      </c>
      <c r="AE2488">
        <v>44.73</v>
      </c>
      <c r="AF2488">
        <f t="shared" si="38"/>
        <v>3</v>
      </c>
    </row>
    <row r="2489" spans="29:32" x14ac:dyDescent="0.25">
      <c r="AC2489">
        <v>44.33</v>
      </c>
      <c r="AE2489">
        <v>44.73</v>
      </c>
      <c r="AF2489">
        <f t="shared" si="38"/>
        <v>4</v>
      </c>
    </row>
    <row r="2490" spans="29:32" x14ac:dyDescent="0.25">
      <c r="AC2490">
        <v>45.07</v>
      </c>
      <c r="AE2490">
        <v>44.74</v>
      </c>
      <c r="AF2490">
        <f t="shared" si="38"/>
        <v>1</v>
      </c>
    </row>
    <row r="2491" spans="29:32" x14ac:dyDescent="0.25">
      <c r="AC2491">
        <v>44.19</v>
      </c>
      <c r="AE2491">
        <v>44.75</v>
      </c>
      <c r="AF2491">
        <f t="shared" si="38"/>
        <v>1</v>
      </c>
    </row>
    <row r="2492" spans="29:32" x14ac:dyDescent="0.25">
      <c r="AC2492">
        <v>44.49</v>
      </c>
      <c r="AE2492">
        <v>44.75</v>
      </c>
      <c r="AF2492">
        <f t="shared" si="38"/>
        <v>2</v>
      </c>
    </row>
    <row r="2493" spans="29:32" x14ac:dyDescent="0.25">
      <c r="AC2493">
        <v>45.13</v>
      </c>
      <c r="AE2493">
        <v>44.76</v>
      </c>
      <c r="AF2493">
        <f t="shared" si="38"/>
        <v>1</v>
      </c>
    </row>
    <row r="2494" spans="29:32" x14ac:dyDescent="0.25">
      <c r="AC2494">
        <v>44.56</v>
      </c>
      <c r="AE2494">
        <v>44.76</v>
      </c>
      <c r="AF2494">
        <f t="shared" si="38"/>
        <v>2</v>
      </c>
    </row>
    <row r="2495" spans="29:32" x14ac:dyDescent="0.25">
      <c r="AC2495">
        <v>44.67</v>
      </c>
      <c r="AE2495">
        <v>44.76</v>
      </c>
      <c r="AF2495">
        <f t="shared" si="38"/>
        <v>3</v>
      </c>
    </row>
    <row r="2496" spans="29:32" x14ac:dyDescent="0.25">
      <c r="AC2496">
        <v>45.2</v>
      </c>
      <c r="AE2496">
        <v>44.76</v>
      </c>
      <c r="AF2496">
        <f t="shared" si="38"/>
        <v>4</v>
      </c>
    </row>
    <row r="2497" spans="29:32" x14ac:dyDescent="0.25">
      <c r="AC2497">
        <v>44.82</v>
      </c>
      <c r="AE2497">
        <v>44.77</v>
      </c>
      <c r="AF2497">
        <f t="shared" si="38"/>
        <v>1</v>
      </c>
    </row>
    <row r="2498" spans="29:32" x14ac:dyDescent="0.25">
      <c r="AC2498">
        <v>45.1</v>
      </c>
      <c r="AE2498">
        <v>44.77</v>
      </c>
      <c r="AF2498">
        <f t="shared" si="38"/>
        <v>2</v>
      </c>
    </row>
    <row r="2499" spans="29:32" x14ac:dyDescent="0.25">
      <c r="AC2499">
        <v>44.7</v>
      </c>
      <c r="AE2499">
        <v>44.77</v>
      </c>
      <c r="AF2499">
        <f t="shared" si="38"/>
        <v>3</v>
      </c>
    </row>
    <row r="2500" spans="29:32" x14ac:dyDescent="0.25">
      <c r="AC2500">
        <v>44.91</v>
      </c>
      <c r="AE2500">
        <v>44.78</v>
      </c>
      <c r="AF2500">
        <f t="shared" ref="AF2500:AF2563" si="39">IF(AE2500=AE2499,AF2499+1,1)</f>
        <v>1</v>
      </c>
    </row>
    <row r="2501" spans="29:32" x14ac:dyDescent="0.25">
      <c r="AC2501">
        <v>45.07</v>
      </c>
      <c r="AE2501">
        <v>44.81</v>
      </c>
      <c r="AF2501">
        <f t="shared" si="39"/>
        <v>1</v>
      </c>
    </row>
    <row r="2502" spans="29:32" x14ac:dyDescent="0.25">
      <c r="AC2502">
        <v>45.18</v>
      </c>
      <c r="AE2502">
        <v>44.82</v>
      </c>
      <c r="AF2502">
        <f t="shared" si="39"/>
        <v>1</v>
      </c>
    </row>
    <row r="2503" spans="29:32" x14ac:dyDescent="0.25">
      <c r="AC2503">
        <v>45.87</v>
      </c>
      <c r="AE2503">
        <v>44.82</v>
      </c>
      <c r="AF2503">
        <f t="shared" si="39"/>
        <v>2</v>
      </c>
    </row>
    <row r="2504" spans="29:32" x14ac:dyDescent="0.25">
      <c r="AC2504">
        <v>45.58</v>
      </c>
      <c r="AE2504">
        <v>44.83</v>
      </c>
      <c r="AF2504">
        <f t="shared" si="39"/>
        <v>1</v>
      </c>
    </row>
    <row r="2505" spans="29:32" x14ac:dyDescent="0.25">
      <c r="AC2505">
        <v>46.23</v>
      </c>
      <c r="AE2505">
        <v>44.85</v>
      </c>
      <c r="AF2505">
        <f t="shared" si="39"/>
        <v>1</v>
      </c>
    </row>
    <row r="2506" spans="29:32" x14ac:dyDescent="0.25">
      <c r="AC2506">
        <v>47.85</v>
      </c>
      <c r="AE2506">
        <v>44.86</v>
      </c>
      <c r="AF2506">
        <f t="shared" si="39"/>
        <v>1</v>
      </c>
    </row>
    <row r="2507" spans="29:32" x14ac:dyDescent="0.25">
      <c r="AC2507">
        <v>48.25</v>
      </c>
      <c r="AE2507">
        <v>44.86</v>
      </c>
      <c r="AF2507">
        <f t="shared" si="39"/>
        <v>2</v>
      </c>
    </row>
    <row r="2508" spans="29:32" x14ac:dyDescent="0.25">
      <c r="AC2508">
        <v>48.69</v>
      </c>
      <c r="AE2508">
        <v>44.88</v>
      </c>
      <c r="AF2508">
        <f t="shared" si="39"/>
        <v>1</v>
      </c>
    </row>
    <row r="2509" spans="29:32" x14ac:dyDescent="0.25">
      <c r="AC2509">
        <v>49.27</v>
      </c>
      <c r="AE2509">
        <v>44.9</v>
      </c>
      <c r="AF2509">
        <f t="shared" si="39"/>
        <v>1</v>
      </c>
    </row>
    <row r="2510" spans="29:32" x14ac:dyDescent="0.25">
      <c r="AC2510">
        <v>50.07</v>
      </c>
      <c r="AE2510">
        <v>44.9</v>
      </c>
      <c r="AF2510">
        <f t="shared" si="39"/>
        <v>2</v>
      </c>
    </row>
    <row r="2511" spans="29:32" x14ac:dyDescent="0.25">
      <c r="AC2511">
        <v>50.23</v>
      </c>
      <c r="AE2511">
        <v>44.9</v>
      </c>
      <c r="AF2511">
        <f t="shared" si="39"/>
        <v>3</v>
      </c>
    </row>
    <row r="2512" spans="29:32" x14ac:dyDescent="0.25">
      <c r="AC2512" cm="1">
        <f t="array" ref="AC2512:AC2762">Z2:Z252</f>
        <v>20.71</v>
      </c>
      <c r="AE2512">
        <v>44.9</v>
      </c>
      <c r="AF2512">
        <f t="shared" si="39"/>
        <v>4</v>
      </c>
    </row>
    <row r="2513" spans="29:32" x14ac:dyDescent="0.25">
      <c r="AC2513">
        <v>20.41</v>
      </c>
      <c r="AE2513">
        <v>44.9</v>
      </c>
      <c r="AF2513">
        <f t="shared" si="39"/>
        <v>5</v>
      </c>
    </row>
    <row r="2514" spans="29:32" x14ac:dyDescent="0.25">
      <c r="AC2514">
        <v>22.24</v>
      </c>
      <c r="AE2514">
        <v>44.91</v>
      </c>
      <c r="AF2514">
        <f t="shared" si="39"/>
        <v>1</v>
      </c>
    </row>
    <row r="2515" spans="29:32" x14ac:dyDescent="0.25">
      <c r="AC2515">
        <v>22.03</v>
      </c>
      <c r="AE2515">
        <v>44.91</v>
      </c>
      <c r="AF2515">
        <f t="shared" si="39"/>
        <v>2</v>
      </c>
    </row>
    <row r="2516" spans="29:32" x14ac:dyDescent="0.25">
      <c r="AC2516">
        <v>22.61</v>
      </c>
      <c r="AE2516">
        <v>44.93</v>
      </c>
      <c r="AF2516">
        <f t="shared" si="39"/>
        <v>1</v>
      </c>
    </row>
    <row r="2517" spans="29:32" x14ac:dyDescent="0.25">
      <c r="AC2517">
        <v>22.57</v>
      </c>
      <c r="AE2517">
        <v>44.94</v>
      </c>
      <c r="AF2517">
        <f t="shared" si="39"/>
        <v>1</v>
      </c>
    </row>
    <row r="2518" spans="29:32" x14ac:dyDescent="0.25">
      <c r="AC2518">
        <v>22.9</v>
      </c>
      <c r="AE2518">
        <v>44.95</v>
      </c>
      <c r="AF2518">
        <f t="shared" si="39"/>
        <v>1</v>
      </c>
    </row>
    <row r="2519" spans="29:32" x14ac:dyDescent="0.25">
      <c r="AC2519">
        <v>23.96</v>
      </c>
      <c r="AE2519">
        <v>44.96</v>
      </c>
      <c r="AF2519">
        <f t="shared" si="39"/>
        <v>1</v>
      </c>
    </row>
    <row r="2520" spans="29:32" x14ac:dyDescent="0.25">
      <c r="AC2520">
        <v>22.94</v>
      </c>
      <c r="AE2520">
        <v>44.97</v>
      </c>
      <c r="AF2520">
        <f t="shared" si="39"/>
        <v>1</v>
      </c>
    </row>
    <row r="2521" spans="29:32" x14ac:dyDescent="0.25">
      <c r="AC2521">
        <v>22.57</v>
      </c>
      <c r="AE2521">
        <v>44.99</v>
      </c>
      <c r="AF2521">
        <f t="shared" si="39"/>
        <v>1</v>
      </c>
    </row>
    <row r="2522" spans="29:32" x14ac:dyDescent="0.25">
      <c r="AC2522">
        <v>22.64</v>
      </c>
      <c r="AE2522">
        <v>45.01</v>
      </c>
      <c r="AF2522">
        <f t="shared" si="39"/>
        <v>1</v>
      </c>
    </row>
    <row r="2523" spans="29:32" x14ac:dyDescent="0.25">
      <c r="AC2523">
        <v>23.11</v>
      </c>
      <c r="AE2523">
        <v>45.01</v>
      </c>
      <c r="AF2523">
        <f t="shared" si="39"/>
        <v>2</v>
      </c>
    </row>
    <row r="2524" spans="29:32" x14ac:dyDescent="0.25">
      <c r="AC2524">
        <v>23.15</v>
      </c>
      <c r="AE2524">
        <v>45.01</v>
      </c>
      <c r="AF2524">
        <f t="shared" si="39"/>
        <v>3</v>
      </c>
    </row>
    <row r="2525" spans="29:32" x14ac:dyDescent="0.25">
      <c r="AC2525">
        <v>23.81</v>
      </c>
      <c r="AE2525">
        <v>45.01</v>
      </c>
      <c r="AF2525">
        <f t="shared" si="39"/>
        <v>4</v>
      </c>
    </row>
    <row r="2526" spans="29:32" x14ac:dyDescent="0.25">
      <c r="AC2526">
        <v>22.88</v>
      </c>
      <c r="AE2526">
        <v>45.02</v>
      </c>
      <c r="AF2526">
        <f t="shared" si="39"/>
        <v>1</v>
      </c>
    </row>
    <row r="2527" spans="29:32" x14ac:dyDescent="0.25">
      <c r="AC2527">
        <v>23.43</v>
      </c>
      <c r="AE2527">
        <v>45.02</v>
      </c>
      <c r="AF2527">
        <f t="shared" si="39"/>
        <v>2</v>
      </c>
    </row>
    <row r="2528" spans="29:32" x14ac:dyDescent="0.25">
      <c r="AC2528">
        <v>23.21</v>
      </c>
      <c r="AE2528">
        <v>45.02</v>
      </c>
      <c r="AF2528">
        <f t="shared" si="39"/>
        <v>3</v>
      </c>
    </row>
    <row r="2529" spans="29:32" x14ac:dyDescent="0.25">
      <c r="AC2529">
        <v>23.59</v>
      </c>
      <c r="AE2529">
        <v>45.04</v>
      </c>
      <c r="AF2529">
        <f t="shared" si="39"/>
        <v>1</v>
      </c>
    </row>
    <row r="2530" spans="29:32" x14ac:dyDescent="0.25">
      <c r="AC2530">
        <v>23.86</v>
      </c>
      <c r="AE2530">
        <v>45.05</v>
      </c>
      <c r="AF2530">
        <f t="shared" si="39"/>
        <v>1</v>
      </c>
    </row>
    <row r="2531" spans="29:32" x14ac:dyDescent="0.25">
      <c r="AC2531">
        <v>23.82</v>
      </c>
      <c r="AE2531">
        <v>45.05</v>
      </c>
      <c r="AF2531">
        <f t="shared" si="39"/>
        <v>2</v>
      </c>
    </row>
    <row r="2532" spans="29:32" x14ac:dyDescent="0.25">
      <c r="AC2532">
        <v>23.96</v>
      </c>
      <c r="AE2532">
        <v>45.05</v>
      </c>
      <c r="AF2532">
        <f t="shared" si="39"/>
        <v>3</v>
      </c>
    </row>
    <row r="2533" spans="29:32" x14ac:dyDescent="0.25">
      <c r="AC2533">
        <v>24.23</v>
      </c>
      <c r="AE2533">
        <v>45.05</v>
      </c>
      <c r="AF2533">
        <f t="shared" si="39"/>
        <v>4</v>
      </c>
    </row>
    <row r="2534" spans="29:32" x14ac:dyDescent="0.25">
      <c r="AC2534">
        <v>23.99</v>
      </c>
      <c r="AE2534">
        <v>45.05</v>
      </c>
      <c r="AF2534">
        <f t="shared" si="39"/>
        <v>5</v>
      </c>
    </row>
    <row r="2535" spans="29:32" x14ac:dyDescent="0.25">
      <c r="AC2535">
        <v>24.47</v>
      </c>
      <c r="AE2535">
        <v>45.05</v>
      </c>
      <c r="AF2535">
        <f t="shared" si="39"/>
        <v>6</v>
      </c>
    </row>
    <row r="2536" spans="29:32" x14ac:dyDescent="0.25">
      <c r="AC2536">
        <v>25.01</v>
      </c>
      <c r="AE2536">
        <v>45.05</v>
      </c>
      <c r="AF2536">
        <f t="shared" si="39"/>
        <v>7</v>
      </c>
    </row>
    <row r="2537" spans="29:32" x14ac:dyDescent="0.25">
      <c r="AC2537">
        <v>24.77</v>
      </c>
      <c r="AE2537">
        <v>45.06</v>
      </c>
      <c r="AF2537">
        <f t="shared" si="39"/>
        <v>1</v>
      </c>
    </row>
    <row r="2538" spans="29:32" x14ac:dyDescent="0.25">
      <c r="AC2538">
        <v>24.35</v>
      </c>
      <c r="AE2538">
        <v>45.06</v>
      </c>
      <c r="AF2538">
        <f t="shared" si="39"/>
        <v>2</v>
      </c>
    </row>
    <row r="2539" spans="29:32" x14ac:dyDescent="0.25">
      <c r="AC2539">
        <v>24.01</v>
      </c>
      <c r="AE2539">
        <v>45.06</v>
      </c>
      <c r="AF2539">
        <f t="shared" si="39"/>
        <v>3</v>
      </c>
    </row>
    <row r="2540" spans="29:32" x14ac:dyDescent="0.25">
      <c r="AC2540">
        <v>24.31</v>
      </c>
      <c r="AE2540">
        <v>45.07</v>
      </c>
      <c r="AF2540">
        <f t="shared" si="39"/>
        <v>1</v>
      </c>
    </row>
    <row r="2541" spans="29:32" x14ac:dyDescent="0.25">
      <c r="AC2541">
        <v>24.4</v>
      </c>
      <c r="AE2541">
        <v>45.07</v>
      </c>
      <c r="AF2541">
        <f t="shared" si="39"/>
        <v>2</v>
      </c>
    </row>
    <row r="2542" spans="29:32" x14ac:dyDescent="0.25">
      <c r="AC2542">
        <v>24.91</v>
      </c>
      <c r="AE2542">
        <v>45.07</v>
      </c>
      <c r="AF2542">
        <f t="shared" si="39"/>
        <v>3</v>
      </c>
    </row>
    <row r="2543" spans="29:32" x14ac:dyDescent="0.25">
      <c r="AC2543">
        <v>24.59</v>
      </c>
      <c r="AE2543">
        <v>45.09</v>
      </c>
      <c r="AF2543">
        <f t="shared" si="39"/>
        <v>1</v>
      </c>
    </row>
    <row r="2544" spans="29:32" x14ac:dyDescent="0.25">
      <c r="AC2544">
        <v>24.93</v>
      </c>
      <c r="AE2544">
        <v>45.09</v>
      </c>
      <c r="AF2544">
        <f t="shared" si="39"/>
        <v>2</v>
      </c>
    </row>
    <row r="2545" spans="29:32" x14ac:dyDescent="0.25">
      <c r="AC2545">
        <v>24.64</v>
      </c>
      <c r="AE2545">
        <v>45.09</v>
      </c>
      <c r="AF2545">
        <f t="shared" si="39"/>
        <v>3</v>
      </c>
    </row>
    <row r="2546" spans="29:32" x14ac:dyDescent="0.25">
      <c r="AC2546">
        <v>24.21</v>
      </c>
      <c r="AE2546">
        <v>45.1</v>
      </c>
      <c r="AF2546">
        <f t="shared" si="39"/>
        <v>1</v>
      </c>
    </row>
    <row r="2547" spans="29:32" x14ac:dyDescent="0.25">
      <c r="AC2547">
        <v>25.48</v>
      </c>
      <c r="AE2547">
        <v>45.1</v>
      </c>
      <c r="AF2547">
        <f t="shared" si="39"/>
        <v>2</v>
      </c>
    </row>
    <row r="2548" spans="29:32" x14ac:dyDescent="0.25">
      <c r="AC2548">
        <v>23.79</v>
      </c>
      <c r="AE2548">
        <v>45.1</v>
      </c>
      <c r="AF2548">
        <f t="shared" si="39"/>
        <v>3</v>
      </c>
    </row>
    <row r="2549" spans="29:32" x14ac:dyDescent="0.25">
      <c r="AC2549">
        <v>25.59</v>
      </c>
      <c r="AE2549">
        <v>45.1</v>
      </c>
      <c r="AF2549">
        <f t="shared" si="39"/>
        <v>4</v>
      </c>
    </row>
    <row r="2550" spans="29:32" x14ac:dyDescent="0.25">
      <c r="AC2550">
        <v>24.75</v>
      </c>
      <c r="AE2550">
        <v>45.11</v>
      </c>
      <c r="AF2550">
        <f t="shared" si="39"/>
        <v>1</v>
      </c>
    </row>
    <row r="2551" spans="29:32" x14ac:dyDescent="0.25">
      <c r="AC2551">
        <v>24.35</v>
      </c>
      <c r="AE2551">
        <v>45.11</v>
      </c>
      <c r="AF2551">
        <f t="shared" si="39"/>
        <v>2</v>
      </c>
    </row>
    <row r="2552" spans="29:32" x14ac:dyDescent="0.25">
      <c r="AC2552">
        <v>25.14</v>
      </c>
      <c r="AE2552">
        <v>45.11</v>
      </c>
      <c r="AF2552">
        <f t="shared" si="39"/>
        <v>3</v>
      </c>
    </row>
    <row r="2553" spans="29:32" x14ac:dyDescent="0.25">
      <c r="AC2553">
        <v>26.09</v>
      </c>
      <c r="AE2553">
        <v>45.11</v>
      </c>
      <c r="AF2553">
        <f t="shared" si="39"/>
        <v>4</v>
      </c>
    </row>
    <row r="2554" spans="29:32" x14ac:dyDescent="0.25">
      <c r="AC2554">
        <v>25.09</v>
      </c>
      <c r="AE2554">
        <v>45.11</v>
      </c>
      <c r="AF2554">
        <f t="shared" si="39"/>
        <v>5</v>
      </c>
    </row>
    <row r="2555" spans="29:32" x14ac:dyDescent="0.25">
      <c r="AC2555">
        <v>26.11</v>
      </c>
      <c r="AE2555">
        <v>45.11</v>
      </c>
      <c r="AF2555">
        <f t="shared" si="39"/>
        <v>6</v>
      </c>
    </row>
    <row r="2556" spans="29:32" x14ac:dyDescent="0.25">
      <c r="AC2556">
        <v>26.12</v>
      </c>
      <c r="AE2556">
        <v>45.12</v>
      </c>
      <c r="AF2556">
        <f t="shared" si="39"/>
        <v>1</v>
      </c>
    </row>
    <row r="2557" spans="29:32" x14ac:dyDescent="0.25">
      <c r="AC2557">
        <v>26.5</v>
      </c>
      <c r="AE2557">
        <v>45.12</v>
      </c>
      <c r="AF2557">
        <f t="shared" si="39"/>
        <v>2</v>
      </c>
    </row>
    <row r="2558" spans="29:32" x14ac:dyDescent="0.25">
      <c r="AC2558">
        <v>26.69</v>
      </c>
      <c r="AE2558">
        <v>45.13</v>
      </c>
      <c r="AF2558">
        <f t="shared" si="39"/>
        <v>1</v>
      </c>
    </row>
    <row r="2559" spans="29:32" x14ac:dyDescent="0.25">
      <c r="AC2559">
        <v>26.88</v>
      </c>
      <c r="AE2559">
        <v>45.13</v>
      </c>
      <c r="AF2559">
        <f t="shared" si="39"/>
        <v>2</v>
      </c>
    </row>
    <row r="2560" spans="29:32" x14ac:dyDescent="0.25">
      <c r="AC2560">
        <v>26.95</v>
      </c>
      <c r="AE2560">
        <v>45.13</v>
      </c>
      <c r="AF2560">
        <f t="shared" si="39"/>
        <v>3</v>
      </c>
    </row>
    <row r="2561" spans="29:32" x14ac:dyDescent="0.25">
      <c r="AC2561">
        <v>25.04</v>
      </c>
      <c r="AE2561">
        <v>45.14</v>
      </c>
      <c r="AF2561">
        <f t="shared" si="39"/>
        <v>1</v>
      </c>
    </row>
    <row r="2562" spans="29:32" x14ac:dyDescent="0.25">
      <c r="AC2562">
        <v>28.34</v>
      </c>
      <c r="AE2562">
        <v>45.15</v>
      </c>
      <c r="AF2562">
        <f t="shared" si="39"/>
        <v>1</v>
      </c>
    </row>
    <row r="2563" spans="29:32" x14ac:dyDescent="0.25">
      <c r="AC2563">
        <v>25.1</v>
      </c>
      <c r="AE2563">
        <v>45.15</v>
      </c>
      <c r="AF2563">
        <f t="shared" si="39"/>
        <v>2</v>
      </c>
    </row>
    <row r="2564" spans="29:32" x14ac:dyDescent="0.25">
      <c r="AC2564">
        <v>26.1</v>
      </c>
      <c r="AE2564">
        <v>45.17</v>
      </c>
      <c r="AF2564">
        <f t="shared" ref="AF2564:AF2627" si="40">IF(AE2564=AE2563,AF2563+1,1)</f>
        <v>1</v>
      </c>
    </row>
    <row r="2565" spans="29:32" x14ac:dyDescent="0.25">
      <c r="AC2565">
        <v>28.44</v>
      </c>
      <c r="AE2565">
        <v>45.17</v>
      </c>
      <c r="AF2565">
        <f t="shared" si="40"/>
        <v>2</v>
      </c>
    </row>
    <row r="2566" spans="29:32" x14ac:dyDescent="0.25">
      <c r="AC2566">
        <v>29</v>
      </c>
      <c r="AE2566">
        <v>45.17</v>
      </c>
      <c r="AF2566">
        <f t="shared" si="40"/>
        <v>3</v>
      </c>
    </row>
    <row r="2567" spans="29:32" x14ac:dyDescent="0.25">
      <c r="AC2567">
        <v>25.76</v>
      </c>
      <c r="AE2567">
        <v>45.18</v>
      </c>
      <c r="AF2567">
        <f t="shared" si="40"/>
        <v>1</v>
      </c>
    </row>
    <row r="2568" spans="29:32" x14ac:dyDescent="0.25">
      <c r="AC2568">
        <v>26.82</v>
      </c>
      <c r="AE2568">
        <v>45.18</v>
      </c>
      <c r="AF2568">
        <f t="shared" si="40"/>
        <v>2</v>
      </c>
    </row>
    <row r="2569" spans="29:32" x14ac:dyDescent="0.25">
      <c r="AC2569">
        <v>27.81</v>
      </c>
      <c r="AE2569">
        <v>45.19</v>
      </c>
      <c r="AF2569">
        <f t="shared" si="40"/>
        <v>1</v>
      </c>
    </row>
    <row r="2570" spans="29:32" x14ac:dyDescent="0.25">
      <c r="AC2570">
        <v>29.61</v>
      </c>
      <c r="AE2570">
        <v>45.19</v>
      </c>
      <c r="AF2570">
        <f t="shared" si="40"/>
        <v>2</v>
      </c>
    </row>
    <row r="2571" spans="29:32" x14ac:dyDescent="0.25">
      <c r="AC2571">
        <v>34.58</v>
      </c>
      <c r="AE2571">
        <v>45.2</v>
      </c>
      <c r="AF2571">
        <f t="shared" si="40"/>
        <v>1</v>
      </c>
    </row>
    <row r="2572" spans="29:32" x14ac:dyDescent="0.25">
      <c r="AC2572">
        <v>31.56</v>
      </c>
      <c r="AE2572">
        <v>45.21</v>
      </c>
      <c r="AF2572">
        <f t="shared" si="40"/>
        <v>1</v>
      </c>
    </row>
    <row r="2573" spans="29:32" x14ac:dyDescent="0.25">
      <c r="AC2573">
        <v>33.049999999999997</v>
      </c>
      <c r="AE2573">
        <v>45.22</v>
      </c>
      <c r="AF2573">
        <f t="shared" si="40"/>
        <v>1</v>
      </c>
    </row>
    <row r="2574" spans="29:32" x14ac:dyDescent="0.25">
      <c r="AC2574">
        <v>32.5</v>
      </c>
      <c r="AE2574">
        <v>45.23</v>
      </c>
      <c r="AF2574">
        <f t="shared" si="40"/>
        <v>1</v>
      </c>
    </row>
    <row r="2575" spans="29:32" x14ac:dyDescent="0.25">
      <c r="AC2575">
        <v>34.93</v>
      </c>
      <c r="AE2575">
        <v>45.23</v>
      </c>
      <c r="AF2575">
        <f t="shared" si="40"/>
        <v>2</v>
      </c>
    </row>
    <row r="2576" spans="29:32" x14ac:dyDescent="0.25">
      <c r="AC2576">
        <v>34.01</v>
      </c>
      <c r="AE2576">
        <v>45.23</v>
      </c>
      <c r="AF2576">
        <f t="shared" si="40"/>
        <v>3</v>
      </c>
    </row>
    <row r="2577" spans="29:32" x14ac:dyDescent="0.25">
      <c r="AC2577">
        <v>38.590000000000003</v>
      </c>
      <c r="AE2577">
        <v>45.24</v>
      </c>
      <c r="AF2577">
        <f t="shared" si="40"/>
        <v>1</v>
      </c>
    </row>
    <row r="2578" spans="29:32" x14ac:dyDescent="0.25">
      <c r="AC2578">
        <v>38.659999999999997</v>
      </c>
      <c r="AE2578">
        <v>45.25</v>
      </c>
      <c r="AF2578">
        <f t="shared" si="40"/>
        <v>1</v>
      </c>
    </row>
    <row r="2579" spans="29:32" x14ac:dyDescent="0.25">
      <c r="AC2579">
        <v>33.24</v>
      </c>
      <c r="AE2579">
        <v>45.25</v>
      </c>
      <c r="AF2579">
        <f t="shared" si="40"/>
        <v>2</v>
      </c>
    </row>
    <row r="2580" spans="29:32" x14ac:dyDescent="0.25">
      <c r="AC2580">
        <v>36.01</v>
      </c>
      <c r="AE2580">
        <v>45.25</v>
      </c>
      <c r="AF2580">
        <f t="shared" si="40"/>
        <v>3</v>
      </c>
    </row>
    <row r="2581" spans="29:32" x14ac:dyDescent="0.25">
      <c r="AC2581">
        <v>35.979999999999997</v>
      </c>
      <c r="AE2581">
        <v>45.26</v>
      </c>
      <c r="AF2581">
        <f t="shared" si="40"/>
        <v>1</v>
      </c>
    </row>
    <row r="2582" spans="29:32" x14ac:dyDescent="0.25">
      <c r="AC2582">
        <v>36.43</v>
      </c>
      <c r="AE2582">
        <v>45.27</v>
      </c>
      <c r="AF2582">
        <f t="shared" si="40"/>
        <v>1</v>
      </c>
    </row>
    <row r="2583" spans="29:32" x14ac:dyDescent="0.25">
      <c r="AC2583">
        <v>39.6</v>
      </c>
      <c r="AE2583">
        <v>45.28</v>
      </c>
      <c r="AF2583">
        <f t="shared" si="40"/>
        <v>1</v>
      </c>
    </row>
    <row r="2584" spans="29:32" x14ac:dyDescent="0.25">
      <c r="AC2584">
        <v>39.64</v>
      </c>
      <c r="AE2584">
        <v>45.3</v>
      </c>
      <c r="AF2584">
        <f t="shared" si="40"/>
        <v>1</v>
      </c>
    </row>
    <row r="2585" spans="29:32" x14ac:dyDescent="0.25">
      <c r="AC2585">
        <v>39.19</v>
      </c>
      <c r="AE2585">
        <v>45.31</v>
      </c>
      <c r="AF2585">
        <f t="shared" si="40"/>
        <v>1</v>
      </c>
    </row>
    <row r="2586" spans="29:32" x14ac:dyDescent="0.25">
      <c r="AC2586">
        <v>36.630000000000003</v>
      </c>
      <c r="AE2586">
        <v>45.31</v>
      </c>
      <c r="AF2586">
        <f t="shared" si="40"/>
        <v>2</v>
      </c>
    </row>
    <row r="2587" spans="29:32" x14ac:dyDescent="0.25">
      <c r="AC2587">
        <v>35.86</v>
      </c>
      <c r="AE2587">
        <v>45.31</v>
      </c>
      <c r="AF2587">
        <f t="shared" si="40"/>
        <v>3</v>
      </c>
    </row>
    <row r="2588" spans="29:32" x14ac:dyDescent="0.25">
      <c r="AC2588">
        <v>36.450000000000003</v>
      </c>
      <c r="AE2588">
        <v>45.31</v>
      </c>
      <c r="AF2588">
        <f t="shared" si="40"/>
        <v>4</v>
      </c>
    </row>
    <row r="2589" spans="29:32" x14ac:dyDescent="0.25">
      <c r="AC2589">
        <v>39.99</v>
      </c>
      <c r="AE2589">
        <v>45.32</v>
      </c>
      <c r="AF2589">
        <f t="shared" si="40"/>
        <v>1</v>
      </c>
    </row>
    <row r="2590" spans="29:32" x14ac:dyDescent="0.25">
      <c r="AC2590">
        <v>40.840000000000003</v>
      </c>
      <c r="AE2590">
        <v>45.32</v>
      </c>
      <c r="AF2590">
        <f t="shared" si="40"/>
        <v>2</v>
      </c>
    </row>
    <row r="2591" spans="29:32" x14ac:dyDescent="0.25">
      <c r="AC2591">
        <v>38.72</v>
      </c>
      <c r="AE2591">
        <v>45.33</v>
      </c>
      <c r="AF2591">
        <f t="shared" si="40"/>
        <v>1</v>
      </c>
    </row>
    <row r="2592" spans="29:32" x14ac:dyDescent="0.25">
      <c r="AC2592">
        <v>37.090000000000003</v>
      </c>
      <c r="AE2592">
        <v>45.33</v>
      </c>
      <c r="AF2592">
        <f t="shared" si="40"/>
        <v>2</v>
      </c>
    </row>
    <row r="2593" spans="29:32" x14ac:dyDescent="0.25">
      <c r="AC2593">
        <v>41.61</v>
      </c>
      <c r="AE2593">
        <v>45.34</v>
      </c>
      <c r="AF2593">
        <f t="shared" si="40"/>
        <v>1</v>
      </c>
    </row>
    <row r="2594" spans="29:32" x14ac:dyDescent="0.25">
      <c r="AC2594">
        <v>41.97</v>
      </c>
      <c r="AE2594">
        <v>45.34</v>
      </c>
      <c r="AF2594">
        <f t="shared" si="40"/>
        <v>2</v>
      </c>
    </row>
    <row r="2595" spans="29:32" x14ac:dyDescent="0.25">
      <c r="AC2595">
        <v>37.68</v>
      </c>
      <c r="AE2595">
        <v>45.36</v>
      </c>
      <c r="AF2595">
        <f t="shared" si="40"/>
        <v>1</v>
      </c>
    </row>
    <row r="2596" spans="29:32" x14ac:dyDescent="0.25">
      <c r="AC2596">
        <v>39.25</v>
      </c>
      <c r="AE2596">
        <v>45.37</v>
      </c>
      <c r="AF2596">
        <f t="shared" si="40"/>
        <v>1</v>
      </c>
    </row>
    <row r="2597" spans="29:32" x14ac:dyDescent="0.25">
      <c r="AC2597">
        <v>39.200000000000003</v>
      </c>
      <c r="AE2597">
        <v>45.37</v>
      </c>
      <c r="AF2597">
        <f t="shared" si="40"/>
        <v>2</v>
      </c>
    </row>
    <row r="2598" spans="29:32" x14ac:dyDescent="0.25">
      <c r="AC2598">
        <v>40.81</v>
      </c>
      <c r="AE2598">
        <v>45.37</v>
      </c>
      <c r="AF2598">
        <f t="shared" si="40"/>
        <v>3</v>
      </c>
    </row>
    <row r="2599" spans="29:32" x14ac:dyDescent="0.25">
      <c r="AC2599">
        <v>42.44</v>
      </c>
      <c r="AE2599">
        <v>45.37</v>
      </c>
      <c r="AF2599">
        <f t="shared" si="40"/>
        <v>4</v>
      </c>
    </row>
    <row r="2600" spans="29:32" x14ac:dyDescent="0.25">
      <c r="AC2600">
        <v>42.44</v>
      </c>
      <c r="AE2600">
        <v>45.38</v>
      </c>
      <c r="AF2600">
        <f t="shared" si="40"/>
        <v>1</v>
      </c>
    </row>
    <row r="2601" spans="29:32" x14ac:dyDescent="0.25">
      <c r="AC2601">
        <v>38.28</v>
      </c>
      <c r="AE2601">
        <v>45.38</v>
      </c>
      <c r="AF2601">
        <f t="shared" si="40"/>
        <v>2</v>
      </c>
    </row>
    <row r="2602" spans="29:32" x14ac:dyDescent="0.25">
      <c r="AC2602">
        <v>43.26</v>
      </c>
      <c r="AE2602">
        <v>45.39</v>
      </c>
      <c r="AF2602">
        <f t="shared" si="40"/>
        <v>1</v>
      </c>
    </row>
    <row r="2603" spans="29:32" x14ac:dyDescent="0.25">
      <c r="AC2603">
        <v>37.94</v>
      </c>
      <c r="AE2603">
        <v>45.4</v>
      </c>
      <c r="AF2603">
        <f t="shared" si="40"/>
        <v>1</v>
      </c>
    </row>
    <row r="2604" spans="29:32" x14ac:dyDescent="0.25">
      <c r="AC2604">
        <v>37.979999999999997</v>
      </c>
      <c r="AE2604">
        <v>45.4</v>
      </c>
      <c r="AF2604">
        <f t="shared" si="40"/>
        <v>2</v>
      </c>
    </row>
    <row r="2605" spans="29:32" x14ac:dyDescent="0.25">
      <c r="AC2605">
        <v>37.92</v>
      </c>
      <c r="AE2605">
        <v>45.41</v>
      </c>
      <c r="AF2605">
        <f t="shared" si="40"/>
        <v>1</v>
      </c>
    </row>
    <row r="2606" spans="29:32" x14ac:dyDescent="0.25">
      <c r="AC2606">
        <v>37.44</v>
      </c>
      <c r="AE2606">
        <v>45.43</v>
      </c>
      <c r="AF2606">
        <f t="shared" si="40"/>
        <v>1</v>
      </c>
    </row>
    <row r="2607" spans="29:32" x14ac:dyDescent="0.25">
      <c r="AC2607">
        <v>39.53</v>
      </c>
      <c r="AE2607">
        <v>45.45</v>
      </c>
      <c r="AF2607">
        <f t="shared" si="40"/>
        <v>1</v>
      </c>
    </row>
    <row r="2608" spans="29:32" x14ac:dyDescent="0.25">
      <c r="AC2608">
        <v>38.21</v>
      </c>
      <c r="AE2608">
        <v>45.45</v>
      </c>
      <c r="AF2608">
        <f t="shared" si="40"/>
        <v>2</v>
      </c>
    </row>
    <row r="2609" spans="29:32" x14ac:dyDescent="0.25">
      <c r="AC2609">
        <v>40.369999999999997</v>
      </c>
      <c r="AE2609">
        <v>45.46</v>
      </c>
      <c r="AF2609">
        <f t="shared" si="40"/>
        <v>1</v>
      </c>
    </row>
    <row r="2610" spans="29:32" x14ac:dyDescent="0.25">
      <c r="AC2610">
        <v>41.55</v>
      </c>
      <c r="AE2610">
        <v>45.46</v>
      </c>
      <c r="AF2610">
        <f t="shared" si="40"/>
        <v>2</v>
      </c>
    </row>
    <row r="2611" spans="29:32" x14ac:dyDescent="0.25">
      <c r="AC2611">
        <v>40.880000000000003</v>
      </c>
      <c r="AE2611">
        <v>45.48</v>
      </c>
      <c r="AF2611">
        <f t="shared" si="40"/>
        <v>1</v>
      </c>
    </row>
    <row r="2612" spans="29:32" x14ac:dyDescent="0.25">
      <c r="AC2612">
        <v>42.15</v>
      </c>
      <c r="AE2612">
        <v>45.48</v>
      </c>
      <c r="AF2612">
        <f t="shared" si="40"/>
        <v>2</v>
      </c>
    </row>
    <row r="2613" spans="29:32" x14ac:dyDescent="0.25">
      <c r="AC2613">
        <v>41.37</v>
      </c>
      <c r="AE2613">
        <v>45.48</v>
      </c>
      <c r="AF2613">
        <f t="shared" si="40"/>
        <v>3</v>
      </c>
    </row>
    <row r="2614" spans="29:32" x14ac:dyDescent="0.25">
      <c r="AC2614">
        <v>43.89</v>
      </c>
      <c r="AE2614">
        <v>45.5</v>
      </c>
      <c r="AF2614">
        <f t="shared" si="40"/>
        <v>1</v>
      </c>
    </row>
    <row r="2615" spans="29:32" x14ac:dyDescent="0.25">
      <c r="AC2615">
        <v>37.590000000000003</v>
      </c>
      <c r="AE2615">
        <v>45.5</v>
      </c>
      <c r="AF2615">
        <f t="shared" si="40"/>
        <v>2</v>
      </c>
    </row>
    <row r="2616" spans="29:32" x14ac:dyDescent="0.25">
      <c r="AC2616">
        <v>39.15</v>
      </c>
      <c r="AE2616">
        <v>45.5</v>
      </c>
      <c r="AF2616">
        <f t="shared" si="40"/>
        <v>3</v>
      </c>
    </row>
    <row r="2617" spans="29:32" x14ac:dyDescent="0.25">
      <c r="AC2617">
        <v>41.59</v>
      </c>
      <c r="AE2617">
        <v>45.51</v>
      </c>
      <c r="AF2617">
        <f t="shared" si="40"/>
        <v>1</v>
      </c>
    </row>
    <row r="2618" spans="29:32" x14ac:dyDescent="0.25">
      <c r="AC2618">
        <v>41.4</v>
      </c>
      <c r="AE2618">
        <v>45.54</v>
      </c>
      <c r="AF2618">
        <f t="shared" si="40"/>
        <v>1</v>
      </c>
    </row>
    <row r="2619" spans="29:32" x14ac:dyDescent="0.25">
      <c r="AC2619">
        <v>39.020000000000003</v>
      </c>
      <c r="AE2619">
        <v>45.54</v>
      </c>
      <c r="AF2619">
        <f t="shared" si="40"/>
        <v>2</v>
      </c>
    </row>
    <row r="2620" spans="29:32" x14ac:dyDescent="0.25">
      <c r="AC2620">
        <v>39</v>
      </c>
      <c r="AE2620">
        <v>45.54</v>
      </c>
      <c r="AF2620">
        <f t="shared" si="40"/>
        <v>3</v>
      </c>
    </row>
    <row r="2621" spans="29:32" x14ac:dyDescent="0.25">
      <c r="AC2621">
        <v>42.56</v>
      </c>
      <c r="AE2621">
        <v>45.56</v>
      </c>
      <c r="AF2621">
        <f t="shared" si="40"/>
        <v>1</v>
      </c>
    </row>
    <row r="2622" spans="29:32" x14ac:dyDescent="0.25">
      <c r="AC2622">
        <v>43.75</v>
      </c>
      <c r="AE2622">
        <v>45.57</v>
      </c>
      <c r="AF2622">
        <f t="shared" si="40"/>
        <v>1</v>
      </c>
    </row>
    <row r="2623" spans="29:32" x14ac:dyDescent="0.25">
      <c r="AC2623">
        <v>38.090000000000003</v>
      </c>
      <c r="AE2623">
        <v>45.57</v>
      </c>
      <c r="AF2623">
        <f t="shared" si="40"/>
        <v>2</v>
      </c>
    </row>
    <row r="2624" spans="29:32" x14ac:dyDescent="0.25">
      <c r="AC2624">
        <v>42.69</v>
      </c>
      <c r="AE2624">
        <v>45.58</v>
      </c>
      <c r="AF2624">
        <f t="shared" si="40"/>
        <v>1</v>
      </c>
    </row>
    <row r="2625" spans="29:32" x14ac:dyDescent="0.25">
      <c r="AC2625">
        <v>42.48</v>
      </c>
      <c r="AE2625">
        <v>45.58</v>
      </c>
      <c r="AF2625">
        <f t="shared" si="40"/>
        <v>2</v>
      </c>
    </row>
    <row r="2626" spans="29:32" x14ac:dyDescent="0.25">
      <c r="AC2626">
        <v>39.78</v>
      </c>
      <c r="AE2626">
        <v>45.59</v>
      </c>
      <c r="AF2626">
        <f t="shared" si="40"/>
        <v>1</v>
      </c>
    </row>
    <row r="2627" spans="29:32" x14ac:dyDescent="0.25">
      <c r="AC2627">
        <v>39.61</v>
      </c>
      <c r="AE2627">
        <v>45.59</v>
      </c>
      <c r="AF2627">
        <f t="shared" si="40"/>
        <v>2</v>
      </c>
    </row>
    <row r="2628" spans="29:32" x14ac:dyDescent="0.25">
      <c r="AC2628">
        <v>39.049999999999997</v>
      </c>
      <c r="AE2628">
        <v>45.59</v>
      </c>
      <c r="AF2628">
        <f t="shared" ref="AF2628:AF2691" si="41">IF(AE2628=AE2627,AF2627+1,1)</f>
        <v>3</v>
      </c>
    </row>
    <row r="2629" spans="29:32" x14ac:dyDescent="0.25">
      <c r="AC2629">
        <v>38.83</v>
      </c>
      <c r="AE2629">
        <v>45.59</v>
      </c>
      <c r="AF2629">
        <f t="shared" si="41"/>
        <v>4</v>
      </c>
    </row>
    <row r="2630" spans="29:32" x14ac:dyDescent="0.25">
      <c r="AC2630">
        <v>38.81</v>
      </c>
      <c r="AE2630">
        <v>45.59</v>
      </c>
      <c r="AF2630">
        <f t="shared" si="41"/>
        <v>5</v>
      </c>
    </row>
    <row r="2631" spans="29:32" x14ac:dyDescent="0.25">
      <c r="AC2631">
        <v>38.44</v>
      </c>
      <c r="AE2631">
        <v>45.6</v>
      </c>
      <c r="AF2631">
        <f t="shared" si="41"/>
        <v>1</v>
      </c>
    </row>
    <row r="2632" spans="29:32" x14ac:dyDescent="0.25">
      <c r="AC2632">
        <v>40.28</v>
      </c>
      <c r="AE2632">
        <v>45.62</v>
      </c>
      <c r="AF2632">
        <f t="shared" si="41"/>
        <v>1</v>
      </c>
    </row>
    <row r="2633" spans="29:32" x14ac:dyDescent="0.25">
      <c r="AC2633">
        <v>38.96</v>
      </c>
      <c r="AE2633">
        <v>45.63</v>
      </c>
      <c r="AF2633">
        <f t="shared" si="41"/>
        <v>1</v>
      </c>
    </row>
    <row r="2634" spans="29:32" x14ac:dyDescent="0.25">
      <c r="AC2634">
        <v>39.21</v>
      </c>
      <c r="AE2634">
        <v>45.63</v>
      </c>
      <c r="AF2634">
        <f t="shared" si="41"/>
        <v>2</v>
      </c>
    </row>
    <row r="2635" spans="29:32" x14ac:dyDescent="0.25">
      <c r="AC2635">
        <v>37.72</v>
      </c>
      <c r="AE2635">
        <v>45.64</v>
      </c>
      <c r="AF2635">
        <f t="shared" si="41"/>
        <v>1</v>
      </c>
    </row>
    <row r="2636" spans="29:32" x14ac:dyDescent="0.25">
      <c r="AC2636">
        <v>43.75</v>
      </c>
      <c r="AE2636">
        <v>45.64</v>
      </c>
      <c r="AF2636">
        <f t="shared" si="41"/>
        <v>2</v>
      </c>
    </row>
    <row r="2637" spans="29:32" x14ac:dyDescent="0.25">
      <c r="AC2637">
        <v>38.1</v>
      </c>
      <c r="AE2637">
        <v>45.66</v>
      </c>
      <c r="AF2637">
        <f t="shared" si="41"/>
        <v>1</v>
      </c>
    </row>
    <row r="2638" spans="29:32" x14ac:dyDescent="0.25">
      <c r="AC2638">
        <v>40.03</v>
      </c>
      <c r="AE2638">
        <v>45.68</v>
      </c>
      <c r="AF2638">
        <f t="shared" si="41"/>
        <v>1</v>
      </c>
    </row>
    <row r="2639" spans="29:32" x14ac:dyDescent="0.25">
      <c r="AC2639">
        <v>44.41</v>
      </c>
      <c r="AE2639">
        <v>45.68</v>
      </c>
      <c r="AF2639">
        <f t="shared" si="41"/>
        <v>2</v>
      </c>
    </row>
    <row r="2640" spans="29:32" x14ac:dyDescent="0.25">
      <c r="AC2640">
        <v>40.97</v>
      </c>
      <c r="AE2640">
        <v>45.69</v>
      </c>
      <c r="AF2640">
        <f t="shared" si="41"/>
        <v>1</v>
      </c>
    </row>
    <row r="2641" spans="29:32" x14ac:dyDescent="0.25">
      <c r="AC2641">
        <v>40.29</v>
      </c>
      <c r="AE2641">
        <v>45.69</v>
      </c>
      <c r="AF2641">
        <f t="shared" si="41"/>
        <v>2</v>
      </c>
    </row>
    <row r="2642" spans="29:32" x14ac:dyDescent="0.25">
      <c r="AC2642">
        <v>41.73</v>
      </c>
      <c r="AE2642">
        <v>45.69</v>
      </c>
      <c r="AF2642">
        <f t="shared" si="41"/>
        <v>3</v>
      </c>
    </row>
    <row r="2643" spans="29:32" x14ac:dyDescent="0.25">
      <c r="AC2643">
        <v>44.68</v>
      </c>
      <c r="AE2643">
        <v>45.69</v>
      </c>
      <c r="AF2643">
        <f t="shared" si="41"/>
        <v>4</v>
      </c>
    </row>
    <row r="2644" spans="29:32" x14ac:dyDescent="0.25">
      <c r="AC2644">
        <v>45.15</v>
      </c>
      <c r="AE2644">
        <v>45.7</v>
      </c>
      <c r="AF2644">
        <f t="shared" si="41"/>
        <v>1</v>
      </c>
    </row>
    <row r="2645" spans="29:32" x14ac:dyDescent="0.25">
      <c r="AC2645">
        <v>45.05</v>
      </c>
      <c r="AE2645">
        <v>45.72</v>
      </c>
      <c r="AF2645">
        <f t="shared" si="41"/>
        <v>1</v>
      </c>
    </row>
    <row r="2646" spans="29:32" x14ac:dyDescent="0.25">
      <c r="AC2646">
        <v>40.380000000000003</v>
      </c>
      <c r="AE2646">
        <v>45.72</v>
      </c>
      <c r="AF2646">
        <f t="shared" si="41"/>
        <v>2</v>
      </c>
    </row>
    <row r="2647" spans="29:32" x14ac:dyDescent="0.25">
      <c r="AC2647">
        <v>45.59</v>
      </c>
      <c r="AE2647">
        <v>45.73</v>
      </c>
      <c r="AF2647">
        <f t="shared" si="41"/>
        <v>1</v>
      </c>
    </row>
    <row r="2648" spans="29:32" x14ac:dyDescent="0.25">
      <c r="AC2648">
        <v>45.91</v>
      </c>
      <c r="AE2648">
        <v>45.73</v>
      </c>
      <c r="AF2648">
        <f t="shared" si="41"/>
        <v>2</v>
      </c>
    </row>
    <row r="2649" spans="29:32" x14ac:dyDescent="0.25">
      <c r="AC2649">
        <v>45.89</v>
      </c>
      <c r="AE2649">
        <v>45.74</v>
      </c>
      <c r="AF2649">
        <f t="shared" si="41"/>
        <v>1</v>
      </c>
    </row>
    <row r="2650" spans="29:32" x14ac:dyDescent="0.25">
      <c r="AC2650">
        <v>46.27</v>
      </c>
      <c r="AE2650">
        <v>45.75</v>
      </c>
      <c r="AF2650">
        <f t="shared" si="41"/>
        <v>1</v>
      </c>
    </row>
    <row r="2651" spans="29:32" x14ac:dyDescent="0.25">
      <c r="AC2651">
        <v>45.54</v>
      </c>
      <c r="AE2651">
        <v>45.76</v>
      </c>
      <c r="AF2651">
        <f t="shared" si="41"/>
        <v>1</v>
      </c>
    </row>
    <row r="2652" spans="29:32" x14ac:dyDescent="0.25">
      <c r="AC2652">
        <v>46.04</v>
      </c>
      <c r="AE2652">
        <v>45.77</v>
      </c>
      <c r="AF2652">
        <f t="shared" si="41"/>
        <v>1</v>
      </c>
    </row>
    <row r="2653" spans="29:32" x14ac:dyDescent="0.25">
      <c r="AC2653">
        <v>46.35</v>
      </c>
      <c r="AE2653">
        <v>45.77</v>
      </c>
      <c r="AF2653">
        <f t="shared" si="41"/>
        <v>2</v>
      </c>
    </row>
    <row r="2654" spans="29:32" x14ac:dyDescent="0.25">
      <c r="AC2654">
        <v>39.49</v>
      </c>
      <c r="AE2654">
        <v>45.78</v>
      </c>
      <c r="AF2654">
        <f t="shared" si="41"/>
        <v>1</v>
      </c>
    </row>
    <row r="2655" spans="29:32" x14ac:dyDescent="0.25">
      <c r="AC2655">
        <v>46.56</v>
      </c>
      <c r="AE2655">
        <v>45.79</v>
      </c>
      <c r="AF2655">
        <f t="shared" si="41"/>
        <v>1</v>
      </c>
    </row>
    <row r="2656" spans="29:32" x14ac:dyDescent="0.25">
      <c r="AC2656">
        <v>41.06</v>
      </c>
      <c r="AE2656">
        <v>45.8</v>
      </c>
      <c r="AF2656">
        <f t="shared" si="41"/>
        <v>1</v>
      </c>
    </row>
    <row r="2657" spans="29:32" x14ac:dyDescent="0.25">
      <c r="AC2657">
        <v>40.32</v>
      </c>
      <c r="AE2657">
        <v>45.8</v>
      </c>
      <c r="AF2657">
        <f t="shared" si="41"/>
        <v>2</v>
      </c>
    </row>
    <row r="2658" spans="29:32" x14ac:dyDescent="0.25">
      <c r="AC2658">
        <v>42.82</v>
      </c>
      <c r="AE2658">
        <v>45.81</v>
      </c>
      <c r="AF2658">
        <f t="shared" si="41"/>
        <v>1</v>
      </c>
    </row>
    <row r="2659" spans="29:32" x14ac:dyDescent="0.25">
      <c r="AC2659">
        <v>47.54</v>
      </c>
      <c r="AE2659">
        <v>45.82</v>
      </c>
      <c r="AF2659">
        <f t="shared" si="41"/>
        <v>1</v>
      </c>
    </row>
    <row r="2660" spans="29:32" x14ac:dyDescent="0.25">
      <c r="AC2660">
        <v>42.18</v>
      </c>
      <c r="AE2660">
        <v>45.83</v>
      </c>
      <c r="AF2660">
        <f t="shared" si="41"/>
        <v>1</v>
      </c>
    </row>
    <row r="2661" spans="29:32" x14ac:dyDescent="0.25">
      <c r="AC2661">
        <v>44.41</v>
      </c>
      <c r="AE2661">
        <v>45.83</v>
      </c>
      <c r="AF2661">
        <f t="shared" si="41"/>
        <v>2</v>
      </c>
    </row>
    <row r="2662" spans="29:32" x14ac:dyDescent="0.25">
      <c r="AC2662">
        <v>40.54</v>
      </c>
      <c r="AE2662">
        <v>45.85</v>
      </c>
      <c r="AF2662">
        <f t="shared" si="41"/>
        <v>1</v>
      </c>
    </row>
    <row r="2663" spans="29:32" x14ac:dyDescent="0.25">
      <c r="AC2663">
        <v>43.9</v>
      </c>
      <c r="AE2663">
        <v>45.86</v>
      </c>
      <c r="AF2663">
        <f t="shared" si="41"/>
        <v>1</v>
      </c>
    </row>
    <row r="2664" spans="29:32" x14ac:dyDescent="0.25">
      <c r="AC2664">
        <v>42.41</v>
      </c>
      <c r="AE2664">
        <v>45.87</v>
      </c>
      <c r="AF2664">
        <f t="shared" si="41"/>
        <v>1</v>
      </c>
    </row>
    <row r="2665" spans="29:32" x14ac:dyDescent="0.25">
      <c r="AC2665">
        <v>42.01</v>
      </c>
      <c r="AE2665">
        <v>45.87</v>
      </c>
      <c r="AF2665">
        <f t="shared" si="41"/>
        <v>2</v>
      </c>
    </row>
    <row r="2666" spans="29:32" x14ac:dyDescent="0.25">
      <c r="AC2666">
        <v>40.36</v>
      </c>
      <c r="AE2666">
        <v>45.87</v>
      </c>
      <c r="AF2666">
        <f t="shared" si="41"/>
        <v>3</v>
      </c>
    </row>
    <row r="2667" spans="29:32" x14ac:dyDescent="0.25">
      <c r="AC2667">
        <v>42.58</v>
      </c>
      <c r="AE2667">
        <v>45.88</v>
      </c>
      <c r="AF2667">
        <f t="shared" si="41"/>
        <v>1</v>
      </c>
    </row>
    <row r="2668" spans="29:32" x14ac:dyDescent="0.25">
      <c r="AC2668">
        <v>42.61</v>
      </c>
      <c r="AE2668">
        <v>45.88</v>
      </c>
      <c r="AF2668">
        <f t="shared" si="41"/>
        <v>2</v>
      </c>
    </row>
    <row r="2669" spans="29:32" x14ac:dyDescent="0.25">
      <c r="AC2669">
        <v>42.94</v>
      </c>
      <c r="AE2669">
        <v>45.88</v>
      </c>
      <c r="AF2669">
        <f t="shared" si="41"/>
        <v>3</v>
      </c>
    </row>
    <row r="2670" spans="29:32" x14ac:dyDescent="0.25">
      <c r="AC2670">
        <v>40.700000000000003</v>
      </c>
      <c r="AE2670">
        <v>45.89</v>
      </c>
      <c r="AF2670">
        <f t="shared" si="41"/>
        <v>1</v>
      </c>
    </row>
    <row r="2671" spans="29:32" x14ac:dyDescent="0.25">
      <c r="AC2671">
        <v>43.36</v>
      </c>
      <c r="AE2671">
        <v>45.89</v>
      </c>
      <c r="AF2671">
        <f t="shared" si="41"/>
        <v>2</v>
      </c>
    </row>
    <row r="2672" spans="29:32" x14ac:dyDescent="0.25">
      <c r="AC2672">
        <v>47.44</v>
      </c>
      <c r="AE2672">
        <v>45.91</v>
      </c>
      <c r="AF2672">
        <f t="shared" si="41"/>
        <v>1</v>
      </c>
    </row>
    <row r="2673" spans="29:32" x14ac:dyDescent="0.25">
      <c r="AC2673">
        <v>41.21</v>
      </c>
      <c r="AE2673">
        <v>45.92</v>
      </c>
      <c r="AF2673">
        <f t="shared" si="41"/>
        <v>1</v>
      </c>
    </row>
    <row r="2674" spans="29:32" x14ac:dyDescent="0.25">
      <c r="AC2674">
        <v>43.42</v>
      </c>
      <c r="AE2674">
        <v>45.93</v>
      </c>
      <c r="AF2674">
        <f t="shared" si="41"/>
        <v>1</v>
      </c>
    </row>
    <row r="2675" spans="29:32" x14ac:dyDescent="0.25">
      <c r="AC2675">
        <v>44.76</v>
      </c>
      <c r="AE2675">
        <v>45.95</v>
      </c>
      <c r="AF2675">
        <f t="shared" si="41"/>
        <v>1</v>
      </c>
    </row>
    <row r="2676" spans="29:32" x14ac:dyDescent="0.25">
      <c r="AC2676">
        <v>43.65</v>
      </c>
      <c r="AE2676">
        <v>45.97</v>
      </c>
      <c r="AF2676">
        <f t="shared" si="41"/>
        <v>1</v>
      </c>
    </row>
    <row r="2677" spans="29:32" x14ac:dyDescent="0.25">
      <c r="AC2677">
        <v>42.56</v>
      </c>
      <c r="AE2677">
        <v>45.97</v>
      </c>
      <c r="AF2677">
        <f t="shared" si="41"/>
        <v>2</v>
      </c>
    </row>
    <row r="2678" spans="29:32" x14ac:dyDescent="0.25">
      <c r="AC2678">
        <v>43.87</v>
      </c>
      <c r="AE2678">
        <v>45.98</v>
      </c>
      <c r="AF2678">
        <f t="shared" si="41"/>
        <v>1</v>
      </c>
    </row>
    <row r="2679" spans="29:32" x14ac:dyDescent="0.25">
      <c r="AC2679">
        <v>42.39</v>
      </c>
      <c r="AE2679">
        <v>45.98</v>
      </c>
      <c r="AF2679">
        <f t="shared" si="41"/>
        <v>2</v>
      </c>
    </row>
    <row r="2680" spans="29:32" x14ac:dyDescent="0.25">
      <c r="AC2680">
        <v>47.35</v>
      </c>
      <c r="AE2680">
        <v>45.99</v>
      </c>
      <c r="AF2680">
        <f t="shared" si="41"/>
        <v>1</v>
      </c>
    </row>
    <row r="2681" spans="29:32" x14ac:dyDescent="0.25">
      <c r="AC2681">
        <v>47.65</v>
      </c>
      <c r="AE2681">
        <v>46</v>
      </c>
      <c r="AF2681">
        <f t="shared" si="41"/>
        <v>1</v>
      </c>
    </row>
    <row r="2682" spans="29:32" x14ac:dyDescent="0.25">
      <c r="AC2682">
        <v>41.31</v>
      </c>
      <c r="AE2682">
        <v>46</v>
      </c>
      <c r="AF2682">
        <f t="shared" si="41"/>
        <v>2</v>
      </c>
    </row>
    <row r="2683" spans="29:32" x14ac:dyDescent="0.25">
      <c r="AC2683">
        <v>45.32</v>
      </c>
      <c r="AE2683">
        <v>46</v>
      </c>
      <c r="AF2683">
        <f t="shared" si="41"/>
        <v>3</v>
      </c>
    </row>
    <row r="2684" spans="29:32" x14ac:dyDescent="0.25">
      <c r="AC2684">
        <v>44.04</v>
      </c>
      <c r="AE2684">
        <v>46</v>
      </c>
      <c r="AF2684">
        <f t="shared" si="41"/>
        <v>4</v>
      </c>
    </row>
    <row r="2685" spans="29:32" x14ac:dyDescent="0.25">
      <c r="AC2685">
        <v>45.12</v>
      </c>
      <c r="AE2685">
        <v>46.02</v>
      </c>
      <c r="AF2685">
        <f t="shared" si="41"/>
        <v>1</v>
      </c>
    </row>
    <row r="2686" spans="29:32" x14ac:dyDescent="0.25">
      <c r="AC2686">
        <v>42.75</v>
      </c>
      <c r="AE2686">
        <v>46.02</v>
      </c>
      <c r="AF2686">
        <f t="shared" si="41"/>
        <v>2</v>
      </c>
    </row>
    <row r="2687" spans="29:32" x14ac:dyDescent="0.25">
      <c r="AC2687">
        <v>42.53</v>
      </c>
      <c r="AE2687">
        <v>46.03</v>
      </c>
      <c r="AF2687">
        <f t="shared" si="41"/>
        <v>1</v>
      </c>
    </row>
    <row r="2688" spans="29:32" x14ac:dyDescent="0.25">
      <c r="AC2688">
        <v>43.92</v>
      </c>
      <c r="AE2688">
        <v>46.04</v>
      </c>
      <c r="AF2688">
        <f t="shared" si="41"/>
        <v>1</v>
      </c>
    </row>
    <row r="2689" spans="29:32" x14ac:dyDescent="0.25">
      <c r="AC2689">
        <v>42.33</v>
      </c>
      <c r="AE2689">
        <v>46.04</v>
      </c>
      <c r="AF2689">
        <f t="shared" si="41"/>
        <v>2</v>
      </c>
    </row>
    <row r="2690" spans="29:32" x14ac:dyDescent="0.25">
      <c r="AC2690">
        <v>48.31</v>
      </c>
      <c r="AE2690">
        <v>46.04</v>
      </c>
      <c r="AF2690">
        <f t="shared" si="41"/>
        <v>3</v>
      </c>
    </row>
    <row r="2691" spans="29:32" x14ac:dyDescent="0.25">
      <c r="AC2691">
        <v>47.86</v>
      </c>
      <c r="AE2691">
        <v>46.04</v>
      </c>
      <c r="AF2691">
        <f t="shared" si="41"/>
        <v>4</v>
      </c>
    </row>
    <row r="2692" spans="29:32" x14ac:dyDescent="0.25">
      <c r="AC2692">
        <v>43.34</v>
      </c>
      <c r="AE2692">
        <v>46.04</v>
      </c>
      <c r="AF2692">
        <f t="shared" ref="AF2692:AF2755" si="42">IF(AE2692=AE2691,AF2691+1,1)</f>
        <v>5</v>
      </c>
    </row>
    <row r="2693" spans="29:32" x14ac:dyDescent="0.25">
      <c r="AC2693">
        <v>47.7</v>
      </c>
      <c r="AE2693">
        <v>46.05</v>
      </c>
      <c r="AF2693">
        <f t="shared" si="42"/>
        <v>1</v>
      </c>
    </row>
    <row r="2694" spans="29:32" x14ac:dyDescent="0.25">
      <c r="AC2694">
        <v>43.04</v>
      </c>
      <c r="AE2694">
        <v>46.06</v>
      </c>
      <c r="AF2694">
        <f t="shared" si="42"/>
        <v>1</v>
      </c>
    </row>
    <row r="2695" spans="29:32" x14ac:dyDescent="0.25">
      <c r="AC2695">
        <v>45.63</v>
      </c>
      <c r="AE2695">
        <v>46.06</v>
      </c>
      <c r="AF2695">
        <f t="shared" si="42"/>
        <v>2</v>
      </c>
    </row>
    <row r="2696" spans="29:32" x14ac:dyDescent="0.25">
      <c r="AC2696">
        <v>43.08</v>
      </c>
      <c r="AE2696">
        <v>46.08</v>
      </c>
      <c r="AF2696">
        <f t="shared" si="42"/>
        <v>1</v>
      </c>
    </row>
    <row r="2697" spans="29:32" x14ac:dyDescent="0.25">
      <c r="AC2697">
        <v>48.05</v>
      </c>
      <c r="AE2697">
        <v>46.08</v>
      </c>
      <c r="AF2697">
        <f t="shared" si="42"/>
        <v>2</v>
      </c>
    </row>
    <row r="2698" spans="29:32" x14ac:dyDescent="0.25">
      <c r="AC2698">
        <v>48.52</v>
      </c>
      <c r="AE2698">
        <v>46.09</v>
      </c>
      <c r="AF2698">
        <f t="shared" si="42"/>
        <v>1</v>
      </c>
    </row>
    <row r="2699" spans="29:32" x14ac:dyDescent="0.25">
      <c r="AC2699">
        <v>48.12</v>
      </c>
      <c r="AE2699">
        <v>46.09</v>
      </c>
      <c r="AF2699">
        <f t="shared" si="42"/>
        <v>2</v>
      </c>
    </row>
    <row r="2700" spans="29:32" x14ac:dyDescent="0.25">
      <c r="AC2700">
        <v>45.56</v>
      </c>
      <c r="AE2700">
        <v>46.12</v>
      </c>
      <c r="AF2700">
        <f t="shared" si="42"/>
        <v>1</v>
      </c>
    </row>
    <row r="2701" spans="29:32" x14ac:dyDescent="0.25">
      <c r="AC2701">
        <v>43.24</v>
      </c>
      <c r="AE2701">
        <v>46.12</v>
      </c>
      <c r="AF2701">
        <f t="shared" si="42"/>
        <v>2</v>
      </c>
    </row>
    <row r="2702" spans="29:32" x14ac:dyDescent="0.25">
      <c r="AC2702">
        <v>42.76</v>
      </c>
      <c r="AE2702">
        <v>46.12</v>
      </c>
      <c r="AF2702">
        <f t="shared" si="42"/>
        <v>3</v>
      </c>
    </row>
    <row r="2703" spans="29:32" x14ac:dyDescent="0.25">
      <c r="AC2703">
        <v>48.3</v>
      </c>
      <c r="AE2703">
        <v>46.13</v>
      </c>
      <c r="AF2703">
        <f t="shared" si="42"/>
        <v>1</v>
      </c>
    </row>
    <row r="2704" spans="29:32" x14ac:dyDescent="0.25">
      <c r="AC2704">
        <v>42.16</v>
      </c>
      <c r="AE2704">
        <v>46.14</v>
      </c>
      <c r="AF2704">
        <f t="shared" si="42"/>
        <v>1</v>
      </c>
    </row>
    <row r="2705" spans="29:32" x14ac:dyDescent="0.25">
      <c r="AC2705">
        <v>42.95</v>
      </c>
      <c r="AE2705">
        <v>46.18</v>
      </c>
      <c r="AF2705">
        <f t="shared" si="42"/>
        <v>1</v>
      </c>
    </row>
    <row r="2706" spans="29:32" x14ac:dyDescent="0.25">
      <c r="AC2706">
        <v>48.15</v>
      </c>
      <c r="AE2706">
        <v>46.19</v>
      </c>
      <c r="AF2706">
        <f t="shared" si="42"/>
        <v>1</v>
      </c>
    </row>
    <row r="2707" spans="29:32" x14ac:dyDescent="0.25">
      <c r="AC2707">
        <v>48.45</v>
      </c>
      <c r="AE2707">
        <v>46.2</v>
      </c>
      <c r="AF2707">
        <f t="shared" si="42"/>
        <v>1</v>
      </c>
    </row>
    <row r="2708" spans="29:32" x14ac:dyDescent="0.25">
      <c r="AC2708">
        <v>46.34</v>
      </c>
      <c r="AE2708">
        <v>46.2</v>
      </c>
      <c r="AF2708">
        <f t="shared" si="42"/>
        <v>2</v>
      </c>
    </row>
    <row r="2709" spans="29:32" x14ac:dyDescent="0.25">
      <c r="AC2709">
        <v>42.52</v>
      </c>
      <c r="AE2709">
        <v>46.2</v>
      </c>
      <c r="AF2709">
        <f t="shared" si="42"/>
        <v>3</v>
      </c>
    </row>
    <row r="2710" spans="29:32" x14ac:dyDescent="0.25">
      <c r="AC2710">
        <v>42.98</v>
      </c>
      <c r="AE2710">
        <v>46.23</v>
      </c>
      <c r="AF2710">
        <f t="shared" si="42"/>
        <v>1</v>
      </c>
    </row>
    <row r="2711" spans="29:32" x14ac:dyDescent="0.25">
      <c r="AC2711">
        <v>48.95</v>
      </c>
      <c r="AE2711">
        <v>46.23</v>
      </c>
      <c r="AF2711">
        <f t="shared" si="42"/>
        <v>2</v>
      </c>
    </row>
    <row r="2712" spans="29:32" x14ac:dyDescent="0.25">
      <c r="AC2712">
        <v>43.62</v>
      </c>
      <c r="AE2712">
        <v>46.23</v>
      </c>
      <c r="AF2712">
        <f t="shared" si="42"/>
        <v>3</v>
      </c>
    </row>
    <row r="2713" spans="29:32" x14ac:dyDescent="0.25">
      <c r="AC2713">
        <v>43.64</v>
      </c>
      <c r="AE2713">
        <v>46.24</v>
      </c>
      <c r="AF2713">
        <f t="shared" si="42"/>
        <v>1</v>
      </c>
    </row>
    <row r="2714" spans="29:32" x14ac:dyDescent="0.25">
      <c r="AC2714">
        <v>46.27</v>
      </c>
      <c r="AE2714">
        <v>46.25</v>
      </c>
      <c r="AF2714">
        <f t="shared" si="42"/>
        <v>1</v>
      </c>
    </row>
    <row r="2715" spans="29:32" x14ac:dyDescent="0.25">
      <c r="AC2715">
        <v>42.76</v>
      </c>
      <c r="AE2715">
        <v>46.26</v>
      </c>
      <c r="AF2715">
        <f t="shared" si="42"/>
        <v>1</v>
      </c>
    </row>
    <row r="2716" spans="29:32" x14ac:dyDescent="0.25">
      <c r="AC2716">
        <v>43.37</v>
      </c>
      <c r="AE2716">
        <v>46.27</v>
      </c>
      <c r="AF2716">
        <f t="shared" si="42"/>
        <v>1</v>
      </c>
    </row>
    <row r="2717" spans="29:32" x14ac:dyDescent="0.25">
      <c r="AC2717">
        <v>46.67</v>
      </c>
      <c r="AE2717">
        <v>46.27</v>
      </c>
      <c r="AF2717">
        <f t="shared" si="42"/>
        <v>2</v>
      </c>
    </row>
    <row r="2718" spans="29:32" x14ac:dyDescent="0.25">
      <c r="AC2718">
        <v>43.34</v>
      </c>
      <c r="AE2718">
        <v>46.27</v>
      </c>
      <c r="AF2718">
        <f t="shared" si="42"/>
        <v>3</v>
      </c>
    </row>
    <row r="2719" spans="29:32" x14ac:dyDescent="0.25">
      <c r="AC2719">
        <v>45.66</v>
      </c>
      <c r="AE2719">
        <v>46.28</v>
      </c>
      <c r="AF2719">
        <f t="shared" si="42"/>
        <v>1</v>
      </c>
    </row>
    <row r="2720" spans="29:32" x14ac:dyDescent="0.25">
      <c r="AC2720">
        <v>46.59</v>
      </c>
      <c r="AE2720">
        <v>46.29</v>
      </c>
      <c r="AF2720">
        <f t="shared" si="42"/>
        <v>1</v>
      </c>
    </row>
    <row r="2721" spans="29:32" x14ac:dyDescent="0.25">
      <c r="AC2721">
        <v>45.81</v>
      </c>
      <c r="AE2721">
        <v>46.3</v>
      </c>
      <c r="AF2721">
        <f t="shared" si="42"/>
        <v>1</v>
      </c>
    </row>
    <row r="2722" spans="29:32" x14ac:dyDescent="0.25">
      <c r="AC2722">
        <v>43.22</v>
      </c>
      <c r="AE2722">
        <v>46.32</v>
      </c>
      <c r="AF2722">
        <f t="shared" si="42"/>
        <v>1</v>
      </c>
    </row>
    <row r="2723" spans="29:32" x14ac:dyDescent="0.25">
      <c r="AC2723">
        <v>44.03</v>
      </c>
      <c r="AE2723">
        <v>46.32</v>
      </c>
      <c r="AF2723">
        <f t="shared" si="42"/>
        <v>2</v>
      </c>
    </row>
    <row r="2724" spans="29:32" x14ac:dyDescent="0.25">
      <c r="AC2724">
        <v>47.72</v>
      </c>
      <c r="AE2724">
        <v>46.32</v>
      </c>
      <c r="AF2724">
        <f t="shared" si="42"/>
        <v>3</v>
      </c>
    </row>
    <row r="2725" spans="29:32" x14ac:dyDescent="0.25">
      <c r="AC2725">
        <v>43.32</v>
      </c>
      <c r="AE2725">
        <v>46.34</v>
      </c>
      <c r="AF2725">
        <f t="shared" si="42"/>
        <v>1</v>
      </c>
    </row>
    <row r="2726" spans="29:32" x14ac:dyDescent="0.25">
      <c r="AC2726">
        <v>43.03</v>
      </c>
      <c r="AE2726">
        <v>46.34</v>
      </c>
      <c r="AF2726">
        <f t="shared" si="42"/>
        <v>2</v>
      </c>
    </row>
    <row r="2727" spans="29:32" x14ac:dyDescent="0.25">
      <c r="AC2727">
        <v>43.07</v>
      </c>
      <c r="AE2727">
        <v>46.34</v>
      </c>
      <c r="AF2727">
        <f t="shared" si="42"/>
        <v>3</v>
      </c>
    </row>
    <row r="2728" spans="29:32" x14ac:dyDescent="0.25">
      <c r="AC2728">
        <v>48.95</v>
      </c>
      <c r="AE2728">
        <v>46.34</v>
      </c>
      <c r="AF2728">
        <f t="shared" si="42"/>
        <v>4</v>
      </c>
    </row>
    <row r="2729" spans="29:32" x14ac:dyDescent="0.25">
      <c r="AC2729">
        <v>43.77</v>
      </c>
      <c r="AE2729">
        <v>46.35</v>
      </c>
      <c r="AF2729">
        <f t="shared" si="42"/>
        <v>1</v>
      </c>
    </row>
    <row r="2730" spans="29:32" x14ac:dyDescent="0.25">
      <c r="AC2730">
        <v>42.16</v>
      </c>
      <c r="AE2730">
        <v>46.36</v>
      </c>
      <c r="AF2730">
        <f t="shared" si="42"/>
        <v>1</v>
      </c>
    </row>
    <row r="2731" spans="29:32" x14ac:dyDescent="0.25">
      <c r="AC2731">
        <v>47.2</v>
      </c>
      <c r="AE2731">
        <v>46.36</v>
      </c>
      <c r="AF2731">
        <f t="shared" si="42"/>
        <v>2</v>
      </c>
    </row>
    <row r="2732" spans="29:32" x14ac:dyDescent="0.25">
      <c r="AC2732">
        <v>48.42</v>
      </c>
      <c r="AE2732">
        <v>46.38</v>
      </c>
      <c r="AF2732">
        <f t="shared" si="42"/>
        <v>1</v>
      </c>
    </row>
    <row r="2733" spans="29:32" x14ac:dyDescent="0.25">
      <c r="AC2733">
        <v>46.05</v>
      </c>
      <c r="AE2733">
        <v>46.38</v>
      </c>
      <c r="AF2733">
        <f t="shared" si="42"/>
        <v>2</v>
      </c>
    </row>
    <row r="2734" spans="29:32" x14ac:dyDescent="0.25">
      <c r="AC2734">
        <v>43.26</v>
      </c>
      <c r="AE2734">
        <v>46.39</v>
      </c>
      <c r="AF2734">
        <f t="shared" si="42"/>
        <v>1</v>
      </c>
    </row>
    <row r="2735" spans="29:32" x14ac:dyDescent="0.25">
      <c r="AC2735">
        <v>43.21</v>
      </c>
      <c r="AE2735">
        <v>46.39</v>
      </c>
      <c r="AF2735">
        <f t="shared" si="42"/>
        <v>2</v>
      </c>
    </row>
    <row r="2736" spans="29:32" x14ac:dyDescent="0.25">
      <c r="AC2736">
        <v>43.4</v>
      </c>
      <c r="AE2736">
        <v>46.41</v>
      </c>
      <c r="AF2736">
        <f t="shared" si="42"/>
        <v>1</v>
      </c>
    </row>
    <row r="2737" spans="29:32" x14ac:dyDescent="0.25">
      <c r="AC2737">
        <v>43.89</v>
      </c>
      <c r="AE2737">
        <v>46.41</v>
      </c>
      <c r="AF2737">
        <f t="shared" si="42"/>
        <v>2</v>
      </c>
    </row>
    <row r="2738" spans="29:32" x14ac:dyDescent="0.25">
      <c r="AC2738">
        <v>43.86</v>
      </c>
      <c r="AE2738">
        <v>46.41</v>
      </c>
      <c r="AF2738">
        <f t="shared" si="42"/>
        <v>3</v>
      </c>
    </row>
    <row r="2739" spans="29:32" x14ac:dyDescent="0.25">
      <c r="AC2739">
        <v>44.75</v>
      </c>
      <c r="AE2739">
        <v>46.42</v>
      </c>
      <c r="AF2739">
        <f t="shared" si="42"/>
        <v>1</v>
      </c>
    </row>
    <row r="2740" spans="29:32" x14ac:dyDescent="0.25">
      <c r="AC2740">
        <v>44.34</v>
      </c>
      <c r="AE2740">
        <v>46.43</v>
      </c>
      <c r="AF2740">
        <f t="shared" si="42"/>
        <v>1</v>
      </c>
    </row>
    <row r="2741" spans="29:32" x14ac:dyDescent="0.25">
      <c r="AC2741">
        <v>45.09</v>
      </c>
      <c r="AE2741">
        <v>46.44</v>
      </c>
      <c r="AF2741">
        <f t="shared" si="42"/>
        <v>1</v>
      </c>
    </row>
    <row r="2742" spans="29:32" x14ac:dyDescent="0.25">
      <c r="AC2742">
        <v>44.21</v>
      </c>
      <c r="AE2742">
        <v>46.45</v>
      </c>
      <c r="AF2742">
        <f t="shared" si="42"/>
        <v>1</v>
      </c>
    </row>
    <row r="2743" spans="29:32" x14ac:dyDescent="0.25">
      <c r="AC2743">
        <v>44.5</v>
      </c>
      <c r="AE2743">
        <v>46.45</v>
      </c>
      <c r="AF2743">
        <f t="shared" si="42"/>
        <v>2</v>
      </c>
    </row>
    <row r="2744" spans="29:32" x14ac:dyDescent="0.25">
      <c r="AC2744">
        <v>45.15</v>
      </c>
      <c r="AE2744">
        <v>46.47</v>
      </c>
      <c r="AF2744">
        <f t="shared" si="42"/>
        <v>1</v>
      </c>
    </row>
    <row r="2745" spans="29:32" x14ac:dyDescent="0.25">
      <c r="AC2745">
        <v>44.58</v>
      </c>
      <c r="AE2745">
        <v>46.52</v>
      </c>
      <c r="AF2745">
        <f t="shared" si="42"/>
        <v>1</v>
      </c>
    </row>
    <row r="2746" spans="29:32" x14ac:dyDescent="0.25">
      <c r="AC2746">
        <v>44.68</v>
      </c>
      <c r="AE2746">
        <v>46.52</v>
      </c>
      <c r="AF2746">
        <f t="shared" si="42"/>
        <v>2</v>
      </c>
    </row>
    <row r="2747" spans="29:32" x14ac:dyDescent="0.25">
      <c r="AC2747">
        <v>45.23</v>
      </c>
      <c r="AE2747">
        <v>46.53</v>
      </c>
      <c r="AF2747">
        <f t="shared" si="42"/>
        <v>1</v>
      </c>
    </row>
    <row r="2748" spans="29:32" x14ac:dyDescent="0.25">
      <c r="AC2748">
        <v>44.83</v>
      </c>
      <c r="AE2748">
        <v>46.53</v>
      </c>
      <c r="AF2748">
        <f t="shared" si="42"/>
        <v>2</v>
      </c>
    </row>
    <row r="2749" spans="29:32" x14ac:dyDescent="0.25">
      <c r="AC2749">
        <v>45.11</v>
      </c>
      <c r="AE2749">
        <v>46.54</v>
      </c>
      <c r="AF2749">
        <f t="shared" si="42"/>
        <v>1</v>
      </c>
    </row>
    <row r="2750" spans="29:32" x14ac:dyDescent="0.25">
      <c r="AC2750">
        <v>44.72</v>
      </c>
      <c r="AE2750">
        <v>46.55</v>
      </c>
      <c r="AF2750">
        <f t="shared" si="42"/>
        <v>1</v>
      </c>
    </row>
    <row r="2751" spans="29:32" x14ac:dyDescent="0.25">
      <c r="AC2751">
        <v>44.93</v>
      </c>
      <c r="AE2751">
        <v>46.55</v>
      </c>
      <c r="AF2751">
        <f t="shared" si="42"/>
        <v>2</v>
      </c>
    </row>
    <row r="2752" spans="29:32" x14ac:dyDescent="0.25">
      <c r="AC2752">
        <v>45.09</v>
      </c>
      <c r="AE2752">
        <v>46.56</v>
      </c>
      <c r="AF2752">
        <f t="shared" si="42"/>
        <v>1</v>
      </c>
    </row>
    <row r="2753" spans="29:32" x14ac:dyDescent="0.25">
      <c r="AC2753">
        <v>45.19</v>
      </c>
      <c r="AE2753">
        <v>46.56</v>
      </c>
      <c r="AF2753">
        <f t="shared" si="42"/>
        <v>2</v>
      </c>
    </row>
    <row r="2754" spans="29:32" x14ac:dyDescent="0.25">
      <c r="AC2754">
        <v>45.88</v>
      </c>
      <c r="AE2754">
        <v>46.57</v>
      </c>
      <c r="AF2754">
        <f t="shared" si="42"/>
        <v>1</v>
      </c>
    </row>
    <row r="2755" spans="29:32" x14ac:dyDescent="0.25">
      <c r="AC2755">
        <v>45.58</v>
      </c>
      <c r="AE2755">
        <v>46.58</v>
      </c>
      <c r="AF2755">
        <f t="shared" si="42"/>
        <v>1</v>
      </c>
    </row>
    <row r="2756" spans="29:32" x14ac:dyDescent="0.25">
      <c r="AC2756">
        <v>46.23</v>
      </c>
      <c r="AE2756">
        <v>46.58</v>
      </c>
      <c r="AF2756">
        <f t="shared" ref="AF2756:AF2819" si="43">IF(AE2756=AE2755,AF2755+1,1)</f>
        <v>2</v>
      </c>
    </row>
    <row r="2757" spans="29:32" x14ac:dyDescent="0.25">
      <c r="AC2757">
        <v>47.85</v>
      </c>
      <c r="AE2757">
        <v>46.59</v>
      </c>
      <c r="AF2757">
        <f t="shared" si="43"/>
        <v>1</v>
      </c>
    </row>
    <row r="2758" spans="29:32" x14ac:dyDescent="0.25">
      <c r="AC2758">
        <v>48.26</v>
      </c>
      <c r="AE2758">
        <v>46.59</v>
      </c>
      <c r="AF2758">
        <f t="shared" si="43"/>
        <v>2</v>
      </c>
    </row>
    <row r="2759" spans="29:32" x14ac:dyDescent="0.25">
      <c r="AC2759">
        <v>48.69</v>
      </c>
      <c r="AE2759">
        <v>46.59</v>
      </c>
      <c r="AF2759">
        <f t="shared" si="43"/>
        <v>3</v>
      </c>
    </row>
    <row r="2760" spans="29:32" x14ac:dyDescent="0.25">
      <c r="AC2760">
        <v>49.28</v>
      </c>
      <c r="AE2760">
        <v>46.6</v>
      </c>
      <c r="AF2760">
        <f t="shared" si="43"/>
        <v>1</v>
      </c>
    </row>
    <row r="2761" spans="29:32" x14ac:dyDescent="0.25">
      <c r="AC2761">
        <v>50.07</v>
      </c>
      <c r="AE2761">
        <v>46.62</v>
      </c>
      <c r="AF2761">
        <f t="shared" si="43"/>
        <v>1</v>
      </c>
    </row>
    <row r="2762" spans="29:32" x14ac:dyDescent="0.25">
      <c r="AC2762">
        <v>50.23</v>
      </c>
      <c r="AE2762">
        <v>46.65</v>
      </c>
      <c r="AF2762">
        <f t="shared" si="43"/>
        <v>1</v>
      </c>
    </row>
    <row r="2763" spans="29:32" x14ac:dyDescent="0.25">
      <c r="AC2763" cm="1">
        <f t="array" ref="AC2763:AC3013">AA2:AA252</f>
        <v>20.8</v>
      </c>
      <c r="AE2763">
        <v>46.65</v>
      </c>
      <c r="AF2763">
        <f t="shared" si="43"/>
        <v>2</v>
      </c>
    </row>
    <row r="2764" spans="29:32" x14ac:dyDescent="0.25">
      <c r="AC2764">
        <v>20.5</v>
      </c>
      <c r="AE2764">
        <v>46.65</v>
      </c>
      <c r="AF2764">
        <f t="shared" si="43"/>
        <v>3</v>
      </c>
    </row>
    <row r="2765" spans="29:32" x14ac:dyDescent="0.25">
      <c r="AC2765">
        <v>22.34</v>
      </c>
      <c r="AE2765">
        <v>46.65</v>
      </c>
      <c r="AF2765">
        <f t="shared" si="43"/>
        <v>4</v>
      </c>
    </row>
    <row r="2766" spans="29:32" x14ac:dyDescent="0.25">
      <c r="AC2766">
        <v>22.12</v>
      </c>
      <c r="AE2766">
        <v>46.66</v>
      </c>
      <c r="AF2766">
        <f t="shared" si="43"/>
        <v>1</v>
      </c>
    </row>
    <row r="2767" spans="29:32" x14ac:dyDescent="0.25">
      <c r="AC2767">
        <v>22.71</v>
      </c>
      <c r="AE2767">
        <v>46.66</v>
      </c>
      <c r="AF2767">
        <f t="shared" si="43"/>
        <v>2</v>
      </c>
    </row>
    <row r="2768" spans="29:32" x14ac:dyDescent="0.25">
      <c r="AC2768">
        <v>22.65</v>
      </c>
      <c r="AE2768">
        <v>46.67</v>
      </c>
      <c r="AF2768">
        <f t="shared" si="43"/>
        <v>1</v>
      </c>
    </row>
    <row r="2769" spans="29:32" x14ac:dyDescent="0.25">
      <c r="AC2769">
        <v>23</v>
      </c>
      <c r="AE2769">
        <v>46.68</v>
      </c>
      <c r="AF2769">
        <f t="shared" si="43"/>
        <v>1</v>
      </c>
    </row>
    <row r="2770" spans="29:32" x14ac:dyDescent="0.25">
      <c r="AC2770">
        <v>24.05</v>
      </c>
      <c r="AE2770">
        <v>46.74</v>
      </c>
      <c r="AF2770">
        <f t="shared" si="43"/>
        <v>1</v>
      </c>
    </row>
    <row r="2771" spans="29:32" x14ac:dyDescent="0.25">
      <c r="AC2771">
        <v>23.04</v>
      </c>
      <c r="AE2771">
        <v>46.74</v>
      </c>
      <c r="AF2771">
        <f t="shared" si="43"/>
        <v>2</v>
      </c>
    </row>
    <row r="2772" spans="29:32" x14ac:dyDescent="0.25">
      <c r="AC2772">
        <v>22.65</v>
      </c>
      <c r="AE2772">
        <v>46.74</v>
      </c>
      <c r="AF2772">
        <f t="shared" si="43"/>
        <v>3</v>
      </c>
    </row>
    <row r="2773" spans="29:32" x14ac:dyDescent="0.25">
      <c r="AC2773">
        <v>22.74</v>
      </c>
      <c r="AE2773">
        <v>46.76</v>
      </c>
      <c r="AF2773">
        <f t="shared" si="43"/>
        <v>1</v>
      </c>
    </row>
    <row r="2774" spans="29:32" x14ac:dyDescent="0.25">
      <c r="AC2774">
        <v>23.22</v>
      </c>
      <c r="AE2774">
        <v>46.76</v>
      </c>
      <c r="AF2774">
        <f t="shared" si="43"/>
        <v>2</v>
      </c>
    </row>
    <row r="2775" spans="29:32" x14ac:dyDescent="0.25">
      <c r="AC2775">
        <v>23.26</v>
      </c>
      <c r="AE2775">
        <v>46.78</v>
      </c>
      <c r="AF2775">
        <f t="shared" si="43"/>
        <v>1</v>
      </c>
    </row>
    <row r="2776" spans="29:32" x14ac:dyDescent="0.25">
      <c r="AC2776">
        <v>23.92</v>
      </c>
      <c r="AE2776">
        <v>46.78</v>
      </c>
      <c r="AF2776">
        <f t="shared" si="43"/>
        <v>2</v>
      </c>
    </row>
    <row r="2777" spans="29:32" x14ac:dyDescent="0.25">
      <c r="AC2777">
        <v>22.98</v>
      </c>
      <c r="AE2777">
        <v>46.8</v>
      </c>
      <c r="AF2777">
        <f t="shared" si="43"/>
        <v>1</v>
      </c>
    </row>
    <row r="2778" spans="29:32" x14ac:dyDescent="0.25">
      <c r="AC2778">
        <v>23.54</v>
      </c>
      <c r="AE2778">
        <v>46.85</v>
      </c>
      <c r="AF2778">
        <f t="shared" si="43"/>
        <v>1</v>
      </c>
    </row>
    <row r="2779" spans="29:32" x14ac:dyDescent="0.25">
      <c r="AC2779">
        <v>23.31</v>
      </c>
      <c r="AE2779">
        <v>46.85</v>
      </c>
      <c r="AF2779">
        <f t="shared" si="43"/>
        <v>2</v>
      </c>
    </row>
    <row r="2780" spans="29:32" x14ac:dyDescent="0.25">
      <c r="AC2780">
        <v>23.69</v>
      </c>
      <c r="AE2780">
        <v>46.86</v>
      </c>
      <c r="AF2780">
        <f t="shared" si="43"/>
        <v>1</v>
      </c>
    </row>
    <row r="2781" spans="29:32" x14ac:dyDescent="0.25">
      <c r="AC2781">
        <v>23.96</v>
      </c>
      <c r="AE2781">
        <v>46.91</v>
      </c>
      <c r="AF2781">
        <f t="shared" si="43"/>
        <v>1</v>
      </c>
    </row>
    <row r="2782" spans="29:32" x14ac:dyDescent="0.25">
      <c r="AC2782">
        <v>23.92</v>
      </c>
      <c r="AE2782">
        <v>46.91</v>
      </c>
      <c r="AF2782">
        <f t="shared" si="43"/>
        <v>2</v>
      </c>
    </row>
    <row r="2783" spans="29:32" x14ac:dyDescent="0.25">
      <c r="AC2783">
        <v>24.08</v>
      </c>
      <c r="AE2783">
        <v>46.98</v>
      </c>
      <c r="AF2783">
        <f t="shared" si="43"/>
        <v>1</v>
      </c>
    </row>
    <row r="2784" spans="29:32" x14ac:dyDescent="0.25">
      <c r="AC2784">
        <v>24.35</v>
      </c>
      <c r="AE2784">
        <v>47.03</v>
      </c>
      <c r="AF2784">
        <f t="shared" si="43"/>
        <v>1</v>
      </c>
    </row>
    <row r="2785" spans="29:32" x14ac:dyDescent="0.25">
      <c r="AC2785">
        <v>24.1</v>
      </c>
      <c r="AE2785">
        <v>47.03</v>
      </c>
      <c r="AF2785">
        <f t="shared" si="43"/>
        <v>2</v>
      </c>
    </row>
    <row r="2786" spans="29:32" x14ac:dyDescent="0.25">
      <c r="AC2786">
        <v>24.58</v>
      </c>
      <c r="AE2786">
        <v>47.03</v>
      </c>
      <c r="AF2786">
        <f t="shared" si="43"/>
        <v>3</v>
      </c>
    </row>
    <row r="2787" spans="29:32" x14ac:dyDescent="0.25">
      <c r="AC2787">
        <v>25.1</v>
      </c>
      <c r="AE2787">
        <v>47.09</v>
      </c>
      <c r="AF2787">
        <f t="shared" si="43"/>
        <v>1</v>
      </c>
    </row>
    <row r="2788" spans="29:32" x14ac:dyDescent="0.25">
      <c r="AC2788">
        <v>24.89</v>
      </c>
      <c r="AE2788">
        <v>47.09</v>
      </c>
      <c r="AF2788">
        <f t="shared" si="43"/>
        <v>2</v>
      </c>
    </row>
    <row r="2789" spans="29:32" x14ac:dyDescent="0.25">
      <c r="AC2789">
        <v>24.45</v>
      </c>
      <c r="AE2789">
        <v>47.13</v>
      </c>
      <c r="AF2789">
        <f t="shared" si="43"/>
        <v>1</v>
      </c>
    </row>
    <row r="2790" spans="29:32" x14ac:dyDescent="0.25">
      <c r="AC2790">
        <v>24.12</v>
      </c>
      <c r="AE2790">
        <v>47.14</v>
      </c>
      <c r="AF2790">
        <f t="shared" si="43"/>
        <v>1</v>
      </c>
    </row>
    <row r="2791" spans="29:32" x14ac:dyDescent="0.25">
      <c r="AC2791">
        <v>24.41</v>
      </c>
      <c r="AE2791">
        <v>47.15</v>
      </c>
      <c r="AF2791">
        <f t="shared" si="43"/>
        <v>1</v>
      </c>
    </row>
    <row r="2792" spans="29:32" x14ac:dyDescent="0.25">
      <c r="AC2792">
        <v>24.51</v>
      </c>
      <c r="AE2792">
        <v>47.16</v>
      </c>
      <c r="AF2792">
        <f t="shared" si="43"/>
        <v>1</v>
      </c>
    </row>
    <row r="2793" spans="29:32" x14ac:dyDescent="0.25">
      <c r="AC2793">
        <v>25.02</v>
      </c>
      <c r="AE2793">
        <v>47.17</v>
      </c>
      <c r="AF2793">
        <f t="shared" si="43"/>
        <v>1</v>
      </c>
    </row>
    <row r="2794" spans="29:32" x14ac:dyDescent="0.25">
      <c r="AC2794">
        <v>24.69</v>
      </c>
      <c r="AE2794">
        <v>47.17</v>
      </c>
      <c r="AF2794">
        <f t="shared" si="43"/>
        <v>2</v>
      </c>
    </row>
    <row r="2795" spans="29:32" x14ac:dyDescent="0.25">
      <c r="AC2795">
        <v>25.04</v>
      </c>
      <c r="AE2795">
        <v>47.2</v>
      </c>
      <c r="AF2795">
        <f t="shared" si="43"/>
        <v>1</v>
      </c>
    </row>
    <row r="2796" spans="29:32" x14ac:dyDescent="0.25">
      <c r="AC2796">
        <v>24.75</v>
      </c>
      <c r="AE2796">
        <v>47.2</v>
      </c>
      <c r="AF2796">
        <f t="shared" si="43"/>
        <v>2</v>
      </c>
    </row>
    <row r="2797" spans="29:32" x14ac:dyDescent="0.25">
      <c r="AC2797">
        <v>24.31</v>
      </c>
      <c r="AE2797">
        <v>47.24</v>
      </c>
      <c r="AF2797">
        <f t="shared" si="43"/>
        <v>1</v>
      </c>
    </row>
    <row r="2798" spans="29:32" x14ac:dyDescent="0.25">
      <c r="AC2798">
        <v>25.58</v>
      </c>
      <c r="AE2798">
        <v>47.26</v>
      </c>
      <c r="AF2798">
        <f t="shared" si="43"/>
        <v>1</v>
      </c>
    </row>
    <row r="2799" spans="29:32" x14ac:dyDescent="0.25">
      <c r="AC2799">
        <v>23.88</v>
      </c>
      <c r="AE2799">
        <v>47.27</v>
      </c>
      <c r="AF2799">
        <f t="shared" si="43"/>
        <v>1</v>
      </c>
    </row>
    <row r="2800" spans="29:32" x14ac:dyDescent="0.25">
      <c r="AC2800">
        <v>25.68</v>
      </c>
      <c r="AE2800">
        <v>47.29</v>
      </c>
      <c r="AF2800">
        <f t="shared" si="43"/>
        <v>1</v>
      </c>
    </row>
    <row r="2801" spans="29:32" x14ac:dyDescent="0.25">
      <c r="AC2801">
        <v>24.85</v>
      </c>
      <c r="AE2801">
        <v>47.29</v>
      </c>
      <c r="AF2801">
        <f t="shared" si="43"/>
        <v>2</v>
      </c>
    </row>
    <row r="2802" spans="29:32" x14ac:dyDescent="0.25">
      <c r="AC2802">
        <v>24.45</v>
      </c>
      <c r="AE2802">
        <v>47.3</v>
      </c>
      <c r="AF2802">
        <f t="shared" si="43"/>
        <v>1</v>
      </c>
    </row>
    <row r="2803" spans="29:32" x14ac:dyDescent="0.25">
      <c r="AC2803">
        <v>25.23</v>
      </c>
      <c r="AE2803">
        <v>47.35</v>
      </c>
      <c r="AF2803">
        <f t="shared" si="43"/>
        <v>1</v>
      </c>
    </row>
    <row r="2804" spans="29:32" x14ac:dyDescent="0.25">
      <c r="AC2804">
        <v>26.19</v>
      </c>
      <c r="AE2804">
        <v>47.35</v>
      </c>
      <c r="AF2804">
        <f t="shared" si="43"/>
        <v>2</v>
      </c>
    </row>
    <row r="2805" spans="29:32" x14ac:dyDescent="0.25">
      <c r="AC2805">
        <v>25.19</v>
      </c>
      <c r="AE2805">
        <v>47.41</v>
      </c>
      <c r="AF2805">
        <f t="shared" si="43"/>
        <v>1</v>
      </c>
    </row>
    <row r="2806" spans="29:32" x14ac:dyDescent="0.25">
      <c r="AC2806">
        <v>26.22</v>
      </c>
      <c r="AE2806">
        <v>47.41</v>
      </c>
      <c r="AF2806">
        <f t="shared" si="43"/>
        <v>2</v>
      </c>
    </row>
    <row r="2807" spans="29:32" x14ac:dyDescent="0.25">
      <c r="AC2807">
        <v>26.22</v>
      </c>
      <c r="AE2807">
        <v>47.41</v>
      </c>
      <c r="AF2807">
        <f t="shared" si="43"/>
        <v>3</v>
      </c>
    </row>
    <row r="2808" spans="29:32" x14ac:dyDescent="0.25">
      <c r="AC2808">
        <v>26.6</v>
      </c>
      <c r="AE2808">
        <v>47.43</v>
      </c>
      <c r="AF2808">
        <f t="shared" si="43"/>
        <v>1</v>
      </c>
    </row>
    <row r="2809" spans="29:32" x14ac:dyDescent="0.25">
      <c r="AC2809">
        <v>26.8</v>
      </c>
      <c r="AE2809">
        <v>47.43</v>
      </c>
      <c r="AF2809">
        <f t="shared" si="43"/>
        <v>2</v>
      </c>
    </row>
    <row r="2810" spans="29:32" x14ac:dyDescent="0.25">
      <c r="AC2810">
        <v>26.98</v>
      </c>
      <c r="AE2810">
        <v>47.44</v>
      </c>
      <c r="AF2810">
        <f t="shared" si="43"/>
        <v>1</v>
      </c>
    </row>
    <row r="2811" spans="29:32" x14ac:dyDescent="0.25">
      <c r="AC2811">
        <v>27.06</v>
      </c>
      <c r="AE2811">
        <v>47.44</v>
      </c>
      <c r="AF2811">
        <f t="shared" si="43"/>
        <v>2</v>
      </c>
    </row>
    <row r="2812" spans="29:32" x14ac:dyDescent="0.25">
      <c r="AC2812">
        <v>25.13</v>
      </c>
      <c r="AE2812">
        <v>47.45</v>
      </c>
      <c r="AF2812">
        <f t="shared" si="43"/>
        <v>1</v>
      </c>
    </row>
    <row r="2813" spans="29:32" x14ac:dyDescent="0.25">
      <c r="AC2813">
        <v>28.45</v>
      </c>
      <c r="AE2813">
        <v>47.45</v>
      </c>
      <c r="AF2813">
        <f t="shared" si="43"/>
        <v>2</v>
      </c>
    </row>
    <row r="2814" spans="29:32" x14ac:dyDescent="0.25">
      <c r="AC2814">
        <v>25.19</v>
      </c>
      <c r="AE2814">
        <v>47.46</v>
      </c>
      <c r="AF2814">
        <f t="shared" si="43"/>
        <v>1</v>
      </c>
    </row>
    <row r="2815" spans="29:32" x14ac:dyDescent="0.25">
      <c r="AC2815">
        <v>26.19</v>
      </c>
      <c r="AE2815">
        <v>47.52</v>
      </c>
      <c r="AF2815">
        <f t="shared" si="43"/>
        <v>1</v>
      </c>
    </row>
    <row r="2816" spans="29:32" x14ac:dyDescent="0.25">
      <c r="AC2816">
        <v>28.54</v>
      </c>
      <c r="AE2816">
        <v>47.53</v>
      </c>
      <c r="AF2816">
        <f t="shared" si="43"/>
        <v>1</v>
      </c>
    </row>
    <row r="2817" spans="29:32" x14ac:dyDescent="0.25">
      <c r="AC2817">
        <v>29.11</v>
      </c>
      <c r="AE2817">
        <v>47.54</v>
      </c>
      <c r="AF2817">
        <f t="shared" si="43"/>
        <v>1</v>
      </c>
    </row>
    <row r="2818" spans="29:32" x14ac:dyDescent="0.25">
      <c r="AC2818">
        <v>25.86</v>
      </c>
      <c r="AE2818">
        <v>47.54</v>
      </c>
      <c r="AF2818">
        <f t="shared" si="43"/>
        <v>2</v>
      </c>
    </row>
    <row r="2819" spans="29:32" x14ac:dyDescent="0.25">
      <c r="AC2819">
        <v>26.91</v>
      </c>
      <c r="AE2819">
        <v>47.54</v>
      </c>
      <c r="AF2819">
        <f t="shared" si="43"/>
        <v>3</v>
      </c>
    </row>
    <row r="2820" spans="29:32" x14ac:dyDescent="0.25">
      <c r="AC2820">
        <v>27.9</v>
      </c>
      <c r="AE2820">
        <v>47.56</v>
      </c>
      <c r="AF2820">
        <f t="shared" ref="AF2820:AF2883" si="44">IF(AE2820=AE2819,AF2819+1,1)</f>
        <v>1</v>
      </c>
    </row>
    <row r="2821" spans="29:32" x14ac:dyDescent="0.25">
      <c r="AC2821">
        <v>29.71</v>
      </c>
      <c r="AE2821">
        <v>47.57</v>
      </c>
      <c r="AF2821">
        <f t="shared" si="44"/>
        <v>1</v>
      </c>
    </row>
    <row r="2822" spans="29:32" x14ac:dyDescent="0.25">
      <c r="AC2822">
        <v>34.69</v>
      </c>
      <c r="AE2822">
        <v>47.57</v>
      </c>
      <c r="AF2822">
        <f t="shared" si="44"/>
        <v>2</v>
      </c>
    </row>
    <row r="2823" spans="29:32" x14ac:dyDescent="0.25">
      <c r="AC2823">
        <v>31.66</v>
      </c>
      <c r="AE2823">
        <v>47.61</v>
      </c>
      <c r="AF2823">
        <f t="shared" si="44"/>
        <v>1</v>
      </c>
    </row>
    <row r="2824" spans="29:32" x14ac:dyDescent="0.25">
      <c r="AC2824">
        <v>33.159999999999997</v>
      </c>
      <c r="AE2824">
        <v>47.62</v>
      </c>
      <c r="AF2824">
        <f t="shared" si="44"/>
        <v>1</v>
      </c>
    </row>
    <row r="2825" spans="29:32" x14ac:dyDescent="0.25">
      <c r="AC2825">
        <v>32.61</v>
      </c>
      <c r="AE2825">
        <v>47.63</v>
      </c>
      <c r="AF2825">
        <f t="shared" si="44"/>
        <v>1</v>
      </c>
    </row>
    <row r="2826" spans="29:32" x14ac:dyDescent="0.25">
      <c r="AC2826">
        <v>35.04</v>
      </c>
      <c r="AE2826">
        <v>47.65</v>
      </c>
      <c r="AF2826">
        <f t="shared" si="44"/>
        <v>1</v>
      </c>
    </row>
    <row r="2827" spans="29:32" x14ac:dyDescent="0.25">
      <c r="AC2827">
        <v>34.119999999999997</v>
      </c>
      <c r="AE2827">
        <v>47.65</v>
      </c>
      <c r="AF2827">
        <f t="shared" si="44"/>
        <v>2</v>
      </c>
    </row>
    <row r="2828" spans="29:32" x14ac:dyDescent="0.25">
      <c r="AC2828">
        <v>38.68</v>
      </c>
      <c r="AE2828">
        <v>47.68</v>
      </c>
      <c r="AF2828">
        <f t="shared" si="44"/>
        <v>1</v>
      </c>
    </row>
    <row r="2829" spans="29:32" x14ac:dyDescent="0.25">
      <c r="AC2829">
        <v>38.75</v>
      </c>
      <c r="AE2829">
        <v>47.7</v>
      </c>
      <c r="AF2829">
        <f t="shared" si="44"/>
        <v>1</v>
      </c>
    </row>
    <row r="2830" spans="29:32" x14ac:dyDescent="0.25">
      <c r="AC2830">
        <v>33.35</v>
      </c>
      <c r="AE2830">
        <v>47.72</v>
      </c>
      <c r="AF2830">
        <f t="shared" si="44"/>
        <v>1</v>
      </c>
    </row>
    <row r="2831" spans="29:32" x14ac:dyDescent="0.25">
      <c r="AC2831">
        <v>36.119999999999997</v>
      </c>
      <c r="AE2831">
        <v>47.72</v>
      </c>
      <c r="AF2831">
        <f t="shared" si="44"/>
        <v>2</v>
      </c>
    </row>
    <row r="2832" spans="29:32" x14ac:dyDescent="0.25">
      <c r="AC2832">
        <v>36.1</v>
      </c>
      <c r="AE2832">
        <v>47.73</v>
      </c>
      <c r="AF2832">
        <f t="shared" si="44"/>
        <v>1</v>
      </c>
    </row>
    <row r="2833" spans="29:32" x14ac:dyDescent="0.25">
      <c r="AC2833">
        <v>36.549999999999997</v>
      </c>
      <c r="AE2833">
        <v>47.73</v>
      </c>
      <c r="AF2833">
        <f t="shared" si="44"/>
        <v>2</v>
      </c>
    </row>
    <row r="2834" spans="29:32" x14ac:dyDescent="0.25">
      <c r="AC2834">
        <v>39.69</v>
      </c>
      <c r="AE2834">
        <v>47.78</v>
      </c>
      <c r="AF2834">
        <f t="shared" si="44"/>
        <v>1</v>
      </c>
    </row>
    <row r="2835" spans="29:32" x14ac:dyDescent="0.25">
      <c r="AC2835">
        <v>39.729999999999997</v>
      </c>
      <c r="AE2835">
        <v>47.78</v>
      </c>
      <c r="AF2835">
        <f t="shared" si="44"/>
        <v>2</v>
      </c>
    </row>
    <row r="2836" spans="29:32" x14ac:dyDescent="0.25">
      <c r="AC2836">
        <v>39.28</v>
      </c>
      <c r="AE2836">
        <v>47.79</v>
      </c>
      <c r="AF2836">
        <f t="shared" si="44"/>
        <v>1</v>
      </c>
    </row>
    <row r="2837" spans="29:32" x14ac:dyDescent="0.25">
      <c r="AC2837">
        <v>36.75</v>
      </c>
      <c r="AE2837">
        <v>47.79</v>
      </c>
      <c r="AF2837">
        <f t="shared" si="44"/>
        <v>2</v>
      </c>
    </row>
    <row r="2838" spans="29:32" x14ac:dyDescent="0.25">
      <c r="AC2838">
        <v>35.979999999999997</v>
      </c>
      <c r="AE2838">
        <v>47.84</v>
      </c>
      <c r="AF2838">
        <f t="shared" si="44"/>
        <v>1</v>
      </c>
    </row>
    <row r="2839" spans="29:32" x14ac:dyDescent="0.25">
      <c r="AC2839">
        <v>36.57</v>
      </c>
      <c r="AE2839">
        <v>47.85</v>
      </c>
      <c r="AF2839">
        <f t="shared" si="44"/>
        <v>1</v>
      </c>
    </row>
    <row r="2840" spans="29:32" x14ac:dyDescent="0.25">
      <c r="AC2840">
        <v>40.08</v>
      </c>
      <c r="AE2840">
        <v>47.85</v>
      </c>
      <c r="AF2840">
        <f t="shared" si="44"/>
        <v>2</v>
      </c>
    </row>
    <row r="2841" spans="29:32" x14ac:dyDescent="0.25">
      <c r="AC2841">
        <v>40.93</v>
      </c>
      <c r="AE2841">
        <v>47.85</v>
      </c>
      <c r="AF2841">
        <f t="shared" si="44"/>
        <v>3</v>
      </c>
    </row>
    <row r="2842" spans="29:32" x14ac:dyDescent="0.25">
      <c r="AC2842">
        <v>38.82</v>
      </c>
      <c r="AE2842">
        <v>47.86</v>
      </c>
      <c r="AF2842">
        <f t="shared" si="44"/>
        <v>1</v>
      </c>
    </row>
    <row r="2843" spans="29:32" x14ac:dyDescent="0.25">
      <c r="AC2843">
        <v>37.21</v>
      </c>
      <c r="AE2843">
        <v>47.86</v>
      </c>
      <c r="AF2843">
        <f t="shared" si="44"/>
        <v>2</v>
      </c>
    </row>
    <row r="2844" spans="29:32" x14ac:dyDescent="0.25">
      <c r="AC2844">
        <v>41.71</v>
      </c>
      <c r="AE2844">
        <v>47.87</v>
      </c>
      <c r="AF2844">
        <f t="shared" si="44"/>
        <v>1</v>
      </c>
    </row>
    <row r="2845" spans="29:32" x14ac:dyDescent="0.25">
      <c r="AC2845">
        <v>42.06</v>
      </c>
      <c r="AE2845">
        <v>47.94</v>
      </c>
      <c r="AF2845">
        <f t="shared" si="44"/>
        <v>1</v>
      </c>
    </row>
    <row r="2846" spans="29:32" x14ac:dyDescent="0.25">
      <c r="AC2846">
        <v>37.799999999999997</v>
      </c>
      <c r="AE2846">
        <v>47.94</v>
      </c>
      <c r="AF2846">
        <f t="shared" si="44"/>
        <v>2</v>
      </c>
    </row>
    <row r="2847" spans="29:32" x14ac:dyDescent="0.25">
      <c r="AC2847">
        <v>39.35</v>
      </c>
      <c r="AE2847">
        <v>47.97</v>
      </c>
      <c r="AF2847">
        <f t="shared" si="44"/>
        <v>1</v>
      </c>
    </row>
    <row r="2848" spans="29:32" x14ac:dyDescent="0.25">
      <c r="AC2848">
        <v>39.29</v>
      </c>
      <c r="AE2848">
        <v>48.01</v>
      </c>
      <c r="AF2848">
        <f t="shared" si="44"/>
        <v>1</v>
      </c>
    </row>
    <row r="2849" spans="29:32" x14ac:dyDescent="0.25">
      <c r="AC2849">
        <v>40.909999999999997</v>
      </c>
      <c r="AE2849">
        <v>48.04</v>
      </c>
      <c r="AF2849">
        <f t="shared" si="44"/>
        <v>1</v>
      </c>
    </row>
    <row r="2850" spans="29:32" x14ac:dyDescent="0.25">
      <c r="AC2850">
        <v>42.54</v>
      </c>
      <c r="AE2850">
        <v>48.04</v>
      </c>
      <c r="AF2850">
        <f t="shared" si="44"/>
        <v>2</v>
      </c>
    </row>
    <row r="2851" spans="29:32" x14ac:dyDescent="0.25">
      <c r="AC2851">
        <v>42.54</v>
      </c>
      <c r="AE2851">
        <v>48.04</v>
      </c>
      <c r="AF2851">
        <f t="shared" si="44"/>
        <v>3</v>
      </c>
    </row>
    <row r="2852" spans="29:32" x14ac:dyDescent="0.25">
      <c r="AC2852">
        <v>38.4</v>
      </c>
      <c r="AE2852">
        <v>48.05</v>
      </c>
      <c r="AF2852">
        <f t="shared" si="44"/>
        <v>1</v>
      </c>
    </row>
    <row r="2853" spans="29:32" x14ac:dyDescent="0.25">
      <c r="AC2853">
        <v>43.36</v>
      </c>
      <c r="AE2853">
        <v>48.06</v>
      </c>
      <c r="AF2853">
        <f t="shared" si="44"/>
        <v>1</v>
      </c>
    </row>
    <row r="2854" spans="29:32" x14ac:dyDescent="0.25">
      <c r="AC2854">
        <v>38.03</v>
      </c>
      <c r="AE2854">
        <v>48.06</v>
      </c>
      <c r="AF2854">
        <f t="shared" si="44"/>
        <v>2</v>
      </c>
    </row>
    <row r="2855" spans="29:32" x14ac:dyDescent="0.25">
      <c r="AC2855">
        <v>38.07</v>
      </c>
      <c r="AE2855">
        <v>48.07</v>
      </c>
      <c r="AF2855">
        <f t="shared" si="44"/>
        <v>1</v>
      </c>
    </row>
    <row r="2856" spans="29:32" x14ac:dyDescent="0.25">
      <c r="AC2856">
        <v>38.020000000000003</v>
      </c>
      <c r="AE2856">
        <v>48.08</v>
      </c>
      <c r="AF2856">
        <f t="shared" si="44"/>
        <v>1</v>
      </c>
    </row>
    <row r="2857" spans="29:32" x14ac:dyDescent="0.25">
      <c r="AC2857">
        <v>37.56</v>
      </c>
      <c r="AE2857">
        <v>48.08</v>
      </c>
      <c r="AF2857">
        <f t="shared" si="44"/>
        <v>2</v>
      </c>
    </row>
    <row r="2858" spans="29:32" x14ac:dyDescent="0.25">
      <c r="AC2858">
        <v>39.619999999999997</v>
      </c>
      <c r="AE2858">
        <v>48.1</v>
      </c>
      <c r="AF2858">
        <f t="shared" si="44"/>
        <v>1</v>
      </c>
    </row>
    <row r="2859" spans="29:32" x14ac:dyDescent="0.25">
      <c r="AC2859">
        <v>38.299999999999997</v>
      </c>
      <c r="AE2859">
        <v>48.11</v>
      </c>
      <c r="AF2859">
        <f t="shared" si="44"/>
        <v>1</v>
      </c>
    </row>
    <row r="2860" spans="29:32" x14ac:dyDescent="0.25">
      <c r="AC2860">
        <v>40.49</v>
      </c>
      <c r="AE2860">
        <v>48.12</v>
      </c>
      <c r="AF2860">
        <f t="shared" si="44"/>
        <v>1</v>
      </c>
    </row>
    <row r="2861" spans="29:32" x14ac:dyDescent="0.25">
      <c r="AC2861">
        <v>41.66</v>
      </c>
      <c r="AE2861">
        <v>48.14</v>
      </c>
      <c r="AF2861">
        <f t="shared" si="44"/>
        <v>1</v>
      </c>
    </row>
    <row r="2862" spans="29:32" x14ac:dyDescent="0.25">
      <c r="AC2862">
        <v>41</v>
      </c>
      <c r="AE2862">
        <v>48.14</v>
      </c>
      <c r="AF2862">
        <f t="shared" si="44"/>
        <v>2</v>
      </c>
    </row>
    <row r="2863" spans="29:32" x14ac:dyDescent="0.25">
      <c r="AC2863">
        <v>42.27</v>
      </c>
      <c r="AE2863">
        <v>48.15</v>
      </c>
      <c r="AF2863">
        <f t="shared" si="44"/>
        <v>1</v>
      </c>
    </row>
    <row r="2864" spans="29:32" x14ac:dyDescent="0.25">
      <c r="AC2864">
        <v>41.49</v>
      </c>
      <c r="AE2864">
        <v>48.15</v>
      </c>
      <c r="AF2864">
        <f t="shared" si="44"/>
        <v>2</v>
      </c>
    </row>
    <row r="2865" spans="29:32" x14ac:dyDescent="0.25">
      <c r="AC2865">
        <v>43.99</v>
      </c>
      <c r="AE2865">
        <v>48.17</v>
      </c>
      <c r="AF2865">
        <f t="shared" si="44"/>
        <v>1</v>
      </c>
    </row>
    <row r="2866" spans="29:32" x14ac:dyDescent="0.25">
      <c r="AC2866">
        <v>37.71</v>
      </c>
      <c r="AE2866">
        <v>48.19</v>
      </c>
      <c r="AF2866">
        <f t="shared" si="44"/>
        <v>1</v>
      </c>
    </row>
    <row r="2867" spans="29:32" x14ac:dyDescent="0.25">
      <c r="AC2867">
        <v>39.26</v>
      </c>
      <c r="AE2867">
        <v>48.21</v>
      </c>
      <c r="AF2867">
        <f t="shared" si="44"/>
        <v>1</v>
      </c>
    </row>
    <row r="2868" spans="29:32" x14ac:dyDescent="0.25">
      <c r="AC2868">
        <v>41.71</v>
      </c>
      <c r="AE2868">
        <v>48.21</v>
      </c>
      <c r="AF2868">
        <f t="shared" si="44"/>
        <v>2</v>
      </c>
    </row>
    <row r="2869" spans="29:32" x14ac:dyDescent="0.25">
      <c r="AC2869">
        <v>41.52</v>
      </c>
      <c r="AE2869">
        <v>48.22</v>
      </c>
      <c r="AF2869">
        <f t="shared" si="44"/>
        <v>1</v>
      </c>
    </row>
    <row r="2870" spans="29:32" x14ac:dyDescent="0.25">
      <c r="AC2870">
        <v>39.130000000000003</v>
      </c>
      <c r="AE2870">
        <v>48.22</v>
      </c>
      <c r="AF2870">
        <f t="shared" si="44"/>
        <v>2</v>
      </c>
    </row>
    <row r="2871" spans="29:32" x14ac:dyDescent="0.25">
      <c r="AC2871">
        <v>39.11</v>
      </c>
      <c r="AE2871">
        <v>48.22</v>
      </c>
      <c r="AF2871">
        <f t="shared" si="44"/>
        <v>3</v>
      </c>
    </row>
    <row r="2872" spans="29:32" x14ac:dyDescent="0.25">
      <c r="AC2872">
        <v>42.68</v>
      </c>
      <c r="AE2872">
        <v>48.23</v>
      </c>
      <c r="AF2872">
        <f t="shared" si="44"/>
        <v>1</v>
      </c>
    </row>
    <row r="2873" spans="29:32" x14ac:dyDescent="0.25">
      <c r="AC2873">
        <v>43.84</v>
      </c>
      <c r="AE2873">
        <v>48.25</v>
      </c>
      <c r="AF2873">
        <f t="shared" si="44"/>
        <v>1</v>
      </c>
    </row>
    <row r="2874" spans="29:32" x14ac:dyDescent="0.25">
      <c r="AC2874">
        <v>38.19</v>
      </c>
      <c r="AE2874">
        <v>48.26</v>
      </c>
      <c r="AF2874">
        <f t="shared" si="44"/>
        <v>1</v>
      </c>
    </row>
    <row r="2875" spans="29:32" x14ac:dyDescent="0.25">
      <c r="AC2875">
        <v>42.82</v>
      </c>
      <c r="AE2875">
        <v>48.26</v>
      </c>
      <c r="AF2875">
        <f t="shared" si="44"/>
        <v>2</v>
      </c>
    </row>
    <row r="2876" spans="29:32" x14ac:dyDescent="0.25">
      <c r="AC2876">
        <v>42.61</v>
      </c>
      <c r="AE2876">
        <v>48.27</v>
      </c>
      <c r="AF2876">
        <f t="shared" si="44"/>
        <v>1</v>
      </c>
    </row>
    <row r="2877" spans="29:32" x14ac:dyDescent="0.25">
      <c r="AC2877">
        <v>39.909999999999997</v>
      </c>
      <c r="AE2877">
        <v>48.3</v>
      </c>
      <c r="AF2877">
        <f t="shared" si="44"/>
        <v>1</v>
      </c>
    </row>
    <row r="2878" spans="29:32" x14ac:dyDescent="0.25">
      <c r="AC2878">
        <v>39.72</v>
      </c>
      <c r="AE2878">
        <v>48.3</v>
      </c>
      <c r="AF2878">
        <f t="shared" si="44"/>
        <v>2</v>
      </c>
    </row>
    <row r="2879" spans="29:32" x14ac:dyDescent="0.25">
      <c r="AC2879">
        <v>39.15</v>
      </c>
      <c r="AE2879">
        <v>48.3</v>
      </c>
      <c r="AF2879">
        <f t="shared" si="44"/>
        <v>3</v>
      </c>
    </row>
    <row r="2880" spans="29:32" x14ac:dyDescent="0.25">
      <c r="AC2880">
        <v>38.94</v>
      </c>
      <c r="AE2880">
        <v>48.31</v>
      </c>
      <c r="AF2880">
        <f t="shared" si="44"/>
        <v>1</v>
      </c>
    </row>
    <row r="2881" spans="29:32" x14ac:dyDescent="0.25">
      <c r="AC2881">
        <v>38.909999999999997</v>
      </c>
      <c r="AE2881">
        <v>48.35</v>
      </c>
      <c r="AF2881">
        <f t="shared" si="44"/>
        <v>1</v>
      </c>
    </row>
    <row r="2882" spans="29:32" x14ac:dyDescent="0.25">
      <c r="AC2882">
        <v>38.54</v>
      </c>
      <c r="AE2882">
        <v>48.37</v>
      </c>
      <c r="AF2882">
        <f t="shared" si="44"/>
        <v>1</v>
      </c>
    </row>
    <row r="2883" spans="29:32" x14ac:dyDescent="0.25">
      <c r="AC2883">
        <v>40.39</v>
      </c>
      <c r="AE2883">
        <v>48.37</v>
      </c>
      <c r="AF2883">
        <f t="shared" si="44"/>
        <v>2</v>
      </c>
    </row>
    <row r="2884" spans="29:32" x14ac:dyDescent="0.25">
      <c r="AC2884">
        <v>39.07</v>
      </c>
      <c r="AE2884">
        <v>48.38</v>
      </c>
      <c r="AF2884">
        <f t="shared" ref="AF2884:AF2947" si="45">IF(AE2884=AE2883,AF2883+1,1)</f>
        <v>1</v>
      </c>
    </row>
    <row r="2885" spans="29:32" x14ac:dyDescent="0.25">
      <c r="AC2885">
        <v>39.31</v>
      </c>
      <c r="AE2885">
        <v>48.39</v>
      </c>
      <c r="AF2885">
        <f t="shared" si="45"/>
        <v>1</v>
      </c>
    </row>
    <row r="2886" spans="29:32" x14ac:dyDescent="0.25">
      <c r="AC2886">
        <v>37.82</v>
      </c>
      <c r="AE2886">
        <v>48.39</v>
      </c>
      <c r="AF2886">
        <f t="shared" si="45"/>
        <v>2</v>
      </c>
    </row>
    <row r="2887" spans="29:32" x14ac:dyDescent="0.25">
      <c r="AC2887">
        <v>43.84</v>
      </c>
      <c r="AE2887">
        <v>48.42</v>
      </c>
      <c r="AF2887">
        <f t="shared" si="45"/>
        <v>1</v>
      </c>
    </row>
    <row r="2888" spans="29:32" x14ac:dyDescent="0.25">
      <c r="AC2888">
        <v>38.22</v>
      </c>
      <c r="AE2888">
        <v>48.44</v>
      </c>
      <c r="AF2888">
        <f t="shared" si="45"/>
        <v>1</v>
      </c>
    </row>
    <row r="2889" spans="29:32" x14ac:dyDescent="0.25">
      <c r="AC2889">
        <v>40.15</v>
      </c>
      <c r="AE2889">
        <v>48.45</v>
      </c>
      <c r="AF2889">
        <f t="shared" si="45"/>
        <v>1</v>
      </c>
    </row>
    <row r="2890" spans="29:32" x14ac:dyDescent="0.25">
      <c r="AC2890">
        <v>44.5</v>
      </c>
      <c r="AE2890">
        <v>48.49</v>
      </c>
      <c r="AF2890">
        <f t="shared" si="45"/>
        <v>1</v>
      </c>
    </row>
    <row r="2891" spans="29:32" x14ac:dyDescent="0.25">
      <c r="AC2891">
        <v>41.09</v>
      </c>
      <c r="AE2891">
        <v>48.5</v>
      </c>
      <c r="AF2891">
        <f t="shared" si="45"/>
        <v>1</v>
      </c>
    </row>
    <row r="2892" spans="29:32" x14ac:dyDescent="0.25">
      <c r="AC2892">
        <v>40.42</v>
      </c>
      <c r="AE2892">
        <v>48.52</v>
      </c>
      <c r="AF2892">
        <f t="shared" si="45"/>
        <v>1</v>
      </c>
    </row>
    <row r="2893" spans="29:32" x14ac:dyDescent="0.25">
      <c r="AC2893">
        <v>41.85</v>
      </c>
      <c r="AE2893">
        <v>48.53</v>
      </c>
      <c r="AF2893">
        <f t="shared" si="45"/>
        <v>1</v>
      </c>
    </row>
    <row r="2894" spans="29:32" x14ac:dyDescent="0.25">
      <c r="AC2894">
        <v>44.77</v>
      </c>
      <c r="AE2894">
        <v>48.54</v>
      </c>
      <c r="AF2894">
        <f t="shared" si="45"/>
        <v>1</v>
      </c>
    </row>
    <row r="2895" spans="29:32" x14ac:dyDescent="0.25">
      <c r="AC2895">
        <v>45.25</v>
      </c>
      <c r="AE2895">
        <v>48.55</v>
      </c>
      <c r="AF2895">
        <f t="shared" si="45"/>
        <v>1</v>
      </c>
    </row>
    <row r="2896" spans="29:32" x14ac:dyDescent="0.25">
      <c r="AC2896">
        <v>45.14</v>
      </c>
      <c r="AE2896">
        <v>48.56</v>
      </c>
      <c r="AF2896">
        <f t="shared" si="45"/>
        <v>1</v>
      </c>
    </row>
    <row r="2897" spans="29:32" x14ac:dyDescent="0.25">
      <c r="AC2897">
        <v>40.409999999999997</v>
      </c>
      <c r="AE2897">
        <v>48.56</v>
      </c>
      <c r="AF2897">
        <f t="shared" si="45"/>
        <v>2</v>
      </c>
    </row>
    <row r="2898" spans="29:32" x14ac:dyDescent="0.25">
      <c r="AC2898">
        <v>45.68</v>
      </c>
      <c r="AE2898">
        <v>48.56</v>
      </c>
      <c r="AF2898">
        <f t="shared" si="45"/>
        <v>3</v>
      </c>
    </row>
    <row r="2899" spans="29:32" x14ac:dyDescent="0.25">
      <c r="AC2899">
        <v>46</v>
      </c>
      <c r="AE2899">
        <v>48.6</v>
      </c>
      <c r="AF2899">
        <f t="shared" si="45"/>
        <v>1</v>
      </c>
    </row>
    <row r="2900" spans="29:32" x14ac:dyDescent="0.25">
      <c r="AC2900">
        <v>45.98</v>
      </c>
      <c r="AE2900">
        <v>48.67</v>
      </c>
      <c r="AF2900">
        <f t="shared" si="45"/>
        <v>1</v>
      </c>
    </row>
    <row r="2901" spans="29:32" x14ac:dyDescent="0.25">
      <c r="AC2901">
        <v>46.36</v>
      </c>
      <c r="AE2901">
        <v>48.69</v>
      </c>
      <c r="AF2901">
        <f t="shared" si="45"/>
        <v>1</v>
      </c>
    </row>
    <row r="2902" spans="29:32" x14ac:dyDescent="0.25">
      <c r="AC2902">
        <v>45.63</v>
      </c>
      <c r="AE2902">
        <v>48.69</v>
      </c>
      <c r="AF2902">
        <f t="shared" si="45"/>
        <v>2</v>
      </c>
    </row>
    <row r="2903" spans="29:32" x14ac:dyDescent="0.25">
      <c r="AC2903">
        <v>46.13</v>
      </c>
      <c r="AE2903">
        <v>48.69</v>
      </c>
      <c r="AF2903">
        <f t="shared" si="45"/>
        <v>3</v>
      </c>
    </row>
    <row r="2904" spans="29:32" x14ac:dyDescent="0.25">
      <c r="AC2904">
        <v>46.43</v>
      </c>
      <c r="AE2904">
        <v>48.75</v>
      </c>
      <c r="AF2904">
        <f t="shared" si="45"/>
        <v>1</v>
      </c>
    </row>
    <row r="2905" spans="29:32" x14ac:dyDescent="0.25">
      <c r="AC2905">
        <v>39.520000000000003</v>
      </c>
      <c r="AE2905">
        <v>48.76</v>
      </c>
      <c r="AF2905">
        <f t="shared" si="45"/>
        <v>1</v>
      </c>
    </row>
    <row r="2906" spans="29:32" x14ac:dyDescent="0.25">
      <c r="AC2906">
        <v>46.66</v>
      </c>
      <c r="AE2906">
        <v>48.77</v>
      </c>
      <c r="AF2906">
        <f t="shared" si="45"/>
        <v>1</v>
      </c>
    </row>
    <row r="2907" spans="29:32" x14ac:dyDescent="0.25">
      <c r="AC2907">
        <v>41.09</v>
      </c>
      <c r="AE2907">
        <v>48.81</v>
      </c>
      <c r="AF2907">
        <f t="shared" si="45"/>
        <v>1</v>
      </c>
    </row>
    <row r="2908" spans="29:32" x14ac:dyDescent="0.25">
      <c r="AC2908">
        <v>40.35</v>
      </c>
      <c r="AE2908">
        <v>48.81</v>
      </c>
      <c r="AF2908">
        <f t="shared" si="45"/>
        <v>2</v>
      </c>
    </row>
    <row r="2909" spans="29:32" x14ac:dyDescent="0.25">
      <c r="AC2909">
        <v>42.84</v>
      </c>
      <c r="AE2909">
        <v>48.82</v>
      </c>
      <c r="AF2909">
        <f t="shared" si="45"/>
        <v>1</v>
      </c>
    </row>
    <row r="2910" spans="29:32" x14ac:dyDescent="0.25">
      <c r="AC2910">
        <v>47.63</v>
      </c>
      <c r="AE2910">
        <v>48.83</v>
      </c>
      <c r="AF2910">
        <f t="shared" si="45"/>
        <v>1</v>
      </c>
    </row>
    <row r="2911" spans="29:32" x14ac:dyDescent="0.25">
      <c r="AC2911">
        <v>42.21</v>
      </c>
      <c r="AE2911">
        <v>48.83</v>
      </c>
      <c r="AF2911">
        <f t="shared" si="45"/>
        <v>2</v>
      </c>
    </row>
    <row r="2912" spans="29:32" x14ac:dyDescent="0.25">
      <c r="AC2912">
        <v>44.46</v>
      </c>
      <c r="AE2912">
        <v>48.84</v>
      </c>
      <c r="AF2912">
        <f t="shared" si="45"/>
        <v>1</v>
      </c>
    </row>
    <row r="2913" spans="29:32" x14ac:dyDescent="0.25">
      <c r="AC2913">
        <v>40.549999999999997</v>
      </c>
      <c r="AE2913">
        <v>48.87</v>
      </c>
      <c r="AF2913">
        <f t="shared" si="45"/>
        <v>1</v>
      </c>
    </row>
    <row r="2914" spans="29:32" x14ac:dyDescent="0.25">
      <c r="AC2914">
        <v>43.95</v>
      </c>
      <c r="AE2914">
        <v>48.87</v>
      </c>
      <c r="AF2914">
        <f t="shared" si="45"/>
        <v>2</v>
      </c>
    </row>
    <row r="2915" spans="29:32" x14ac:dyDescent="0.25">
      <c r="AC2915">
        <v>42.46</v>
      </c>
      <c r="AE2915">
        <v>48.95</v>
      </c>
      <c r="AF2915">
        <f t="shared" si="45"/>
        <v>1</v>
      </c>
    </row>
    <row r="2916" spans="29:32" x14ac:dyDescent="0.25">
      <c r="AC2916">
        <v>42.03</v>
      </c>
      <c r="AE2916">
        <v>48.95</v>
      </c>
      <c r="AF2916">
        <f t="shared" si="45"/>
        <v>2</v>
      </c>
    </row>
    <row r="2917" spans="29:32" x14ac:dyDescent="0.25">
      <c r="AC2917">
        <v>40.36</v>
      </c>
      <c r="AE2917">
        <v>48.95</v>
      </c>
      <c r="AF2917">
        <f t="shared" si="45"/>
        <v>3</v>
      </c>
    </row>
    <row r="2918" spans="29:32" x14ac:dyDescent="0.25">
      <c r="AC2918">
        <v>42.63</v>
      </c>
      <c r="AE2918">
        <v>48.96</v>
      </c>
      <c r="AF2918">
        <f t="shared" si="45"/>
        <v>1</v>
      </c>
    </row>
    <row r="2919" spans="29:32" x14ac:dyDescent="0.25">
      <c r="AC2919">
        <v>42.63</v>
      </c>
      <c r="AE2919">
        <v>48.96</v>
      </c>
      <c r="AF2919">
        <f t="shared" si="45"/>
        <v>2</v>
      </c>
    </row>
    <row r="2920" spans="29:32" x14ac:dyDescent="0.25">
      <c r="AC2920">
        <v>42.97</v>
      </c>
      <c r="AE2920">
        <v>48.97</v>
      </c>
      <c r="AF2920">
        <f t="shared" si="45"/>
        <v>1</v>
      </c>
    </row>
    <row r="2921" spans="29:32" x14ac:dyDescent="0.25">
      <c r="AC2921">
        <v>40.729999999999997</v>
      </c>
      <c r="AE2921">
        <v>49.02</v>
      </c>
      <c r="AF2921">
        <f t="shared" si="45"/>
        <v>1</v>
      </c>
    </row>
    <row r="2922" spans="29:32" x14ac:dyDescent="0.25">
      <c r="AC2922">
        <v>43.41</v>
      </c>
      <c r="AE2922">
        <v>49.02</v>
      </c>
      <c r="AF2922">
        <f t="shared" si="45"/>
        <v>2</v>
      </c>
    </row>
    <row r="2923" spans="29:32" x14ac:dyDescent="0.25">
      <c r="AC2923">
        <v>47.52</v>
      </c>
      <c r="AE2923">
        <v>49.03</v>
      </c>
      <c r="AF2923">
        <f t="shared" si="45"/>
        <v>1</v>
      </c>
    </row>
    <row r="2924" spans="29:32" x14ac:dyDescent="0.25">
      <c r="AC2924">
        <v>41.24</v>
      </c>
      <c r="AE2924">
        <v>49.05</v>
      </c>
      <c r="AF2924">
        <f t="shared" si="45"/>
        <v>1</v>
      </c>
    </row>
    <row r="2925" spans="29:32" x14ac:dyDescent="0.25">
      <c r="AC2925">
        <v>43.47</v>
      </c>
      <c r="AE2925">
        <v>49.07</v>
      </c>
      <c r="AF2925">
        <f t="shared" si="45"/>
        <v>1</v>
      </c>
    </row>
    <row r="2926" spans="29:32" x14ac:dyDescent="0.25">
      <c r="AC2926">
        <v>44.82</v>
      </c>
      <c r="AE2926">
        <v>49.07</v>
      </c>
      <c r="AF2926">
        <f t="shared" si="45"/>
        <v>2</v>
      </c>
    </row>
    <row r="2927" spans="29:32" x14ac:dyDescent="0.25">
      <c r="AC2927">
        <v>43.67</v>
      </c>
      <c r="AE2927">
        <v>49.11</v>
      </c>
      <c r="AF2927">
        <f t="shared" si="45"/>
        <v>1</v>
      </c>
    </row>
    <row r="2928" spans="29:32" x14ac:dyDescent="0.25">
      <c r="AC2928">
        <v>42.6</v>
      </c>
      <c r="AE2928">
        <v>49.12</v>
      </c>
      <c r="AF2928">
        <f t="shared" si="45"/>
        <v>1</v>
      </c>
    </row>
    <row r="2929" spans="29:32" x14ac:dyDescent="0.25">
      <c r="AC2929">
        <v>43.92</v>
      </c>
      <c r="AE2929">
        <v>49.17</v>
      </c>
      <c r="AF2929">
        <f t="shared" si="45"/>
        <v>1</v>
      </c>
    </row>
    <row r="2930" spans="29:32" x14ac:dyDescent="0.25">
      <c r="AC2930">
        <v>42.43</v>
      </c>
      <c r="AE2930">
        <v>49.17</v>
      </c>
      <c r="AF2930">
        <f t="shared" si="45"/>
        <v>2</v>
      </c>
    </row>
    <row r="2931" spans="29:32" x14ac:dyDescent="0.25">
      <c r="AC2931">
        <v>47.43</v>
      </c>
      <c r="AE2931">
        <v>49.24</v>
      </c>
      <c r="AF2931">
        <f t="shared" si="45"/>
        <v>1</v>
      </c>
    </row>
    <row r="2932" spans="29:32" x14ac:dyDescent="0.25">
      <c r="AC2932">
        <v>47.73</v>
      </c>
      <c r="AE2932">
        <v>49.24</v>
      </c>
      <c r="AF2932">
        <f t="shared" si="45"/>
        <v>2</v>
      </c>
    </row>
    <row r="2933" spans="29:32" x14ac:dyDescent="0.25">
      <c r="AC2933">
        <v>41.31</v>
      </c>
      <c r="AE2933">
        <v>49.26</v>
      </c>
      <c r="AF2933">
        <f t="shared" si="45"/>
        <v>1</v>
      </c>
    </row>
    <row r="2934" spans="29:32" x14ac:dyDescent="0.25">
      <c r="AC2934">
        <v>45.38</v>
      </c>
      <c r="AE2934">
        <v>49.27</v>
      </c>
      <c r="AF2934">
        <f t="shared" si="45"/>
        <v>1</v>
      </c>
    </row>
    <row r="2935" spans="29:32" x14ac:dyDescent="0.25">
      <c r="AC2935">
        <v>44.09</v>
      </c>
      <c r="AE2935">
        <v>49.28</v>
      </c>
      <c r="AF2935">
        <f t="shared" si="45"/>
        <v>1</v>
      </c>
    </row>
    <row r="2936" spans="29:32" x14ac:dyDescent="0.25">
      <c r="AC2936">
        <v>45.17</v>
      </c>
      <c r="AE2936">
        <v>49.28</v>
      </c>
      <c r="AF2936">
        <f t="shared" si="45"/>
        <v>2</v>
      </c>
    </row>
    <row r="2937" spans="29:32" x14ac:dyDescent="0.25">
      <c r="AC2937">
        <v>42.78</v>
      </c>
      <c r="AE2937">
        <v>49.28</v>
      </c>
      <c r="AF2937">
        <f t="shared" si="45"/>
        <v>3</v>
      </c>
    </row>
    <row r="2938" spans="29:32" x14ac:dyDescent="0.25">
      <c r="AC2938">
        <v>42.57</v>
      </c>
      <c r="AE2938">
        <v>49.28</v>
      </c>
      <c r="AF2938">
        <f t="shared" si="45"/>
        <v>4</v>
      </c>
    </row>
    <row r="2939" spans="29:32" x14ac:dyDescent="0.25">
      <c r="AC2939">
        <v>43.94</v>
      </c>
      <c r="AE2939">
        <v>49.29</v>
      </c>
      <c r="AF2939">
        <f t="shared" si="45"/>
        <v>1</v>
      </c>
    </row>
    <row r="2940" spans="29:32" x14ac:dyDescent="0.25">
      <c r="AC2940">
        <v>42.36</v>
      </c>
      <c r="AE2940">
        <v>49.33</v>
      </c>
      <c r="AF2940">
        <f t="shared" si="45"/>
        <v>1</v>
      </c>
    </row>
    <row r="2941" spans="29:32" x14ac:dyDescent="0.25">
      <c r="AC2941">
        <v>48.39</v>
      </c>
      <c r="AE2941">
        <v>49.35</v>
      </c>
      <c r="AF2941">
        <f t="shared" si="45"/>
        <v>1</v>
      </c>
    </row>
    <row r="2942" spans="29:32" x14ac:dyDescent="0.25">
      <c r="AC2942">
        <v>47.94</v>
      </c>
      <c r="AE2942">
        <v>49.4</v>
      </c>
      <c r="AF2942">
        <f t="shared" si="45"/>
        <v>1</v>
      </c>
    </row>
    <row r="2943" spans="29:32" x14ac:dyDescent="0.25">
      <c r="AC2943">
        <v>43.37</v>
      </c>
      <c r="AE2943">
        <v>49.46</v>
      </c>
      <c r="AF2943">
        <f t="shared" si="45"/>
        <v>1</v>
      </c>
    </row>
    <row r="2944" spans="29:32" x14ac:dyDescent="0.25">
      <c r="AC2944">
        <v>47.78</v>
      </c>
      <c r="AE2944">
        <v>49.52</v>
      </c>
      <c r="AF2944">
        <f t="shared" si="45"/>
        <v>1</v>
      </c>
    </row>
    <row r="2945" spans="29:32" x14ac:dyDescent="0.25">
      <c r="AC2945">
        <v>43.08</v>
      </c>
      <c r="AE2945">
        <v>49.52</v>
      </c>
      <c r="AF2945">
        <f t="shared" si="45"/>
        <v>2</v>
      </c>
    </row>
    <row r="2946" spans="29:32" x14ac:dyDescent="0.25">
      <c r="AC2946">
        <v>45.69</v>
      </c>
      <c r="AE2946">
        <v>49.55</v>
      </c>
      <c r="AF2946">
        <f t="shared" si="45"/>
        <v>1</v>
      </c>
    </row>
    <row r="2947" spans="29:32" x14ac:dyDescent="0.25">
      <c r="AC2947">
        <v>43.12</v>
      </c>
      <c r="AE2947">
        <v>49.56</v>
      </c>
      <c r="AF2947">
        <f t="shared" si="45"/>
        <v>1</v>
      </c>
    </row>
    <row r="2948" spans="29:32" x14ac:dyDescent="0.25">
      <c r="AC2948">
        <v>48.14</v>
      </c>
      <c r="AE2948">
        <v>49.57</v>
      </c>
      <c r="AF2948">
        <f t="shared" ref="AF2948:AF3011" si="46">IF(AE2948=AE2947,AF2947+1,1)</f>
        <v>1</v>
      </c>
    </row>
    <row r="2949" spans="29:32" x14ac:dyDescent="0.25">
      <c r="AC2949">
        <v>48.6</v>
      </c>
      <c r="AE2949">
        <v>49.61</v>
      </c>
      <c r="AF2949">
        <f t="shared" si="46"/>
        <v>1</v>
      </c>
    </row>
    <row r="2950" spans="29:32" x14ac:dyDescent="0.25">
      <c r="AC2950">
        <v>48.21</v>
      </c>
      <c r="AE2950">
        <v>49.64</v>
      </c>
      <c r="AF2950">
        <f t="shared" si="46"/>
        <v>1</v>
      </c>
    </row>
    <row r="2951" spans="29:32" x14ac:dyDescent="0.25">
      <c r="AC2951">
        <v>45.62</v>
      </c>
      <c r="AE2951">
        <v>49.66</v>
      </c>
      <c r="AF2951">
        <f t="shared" si="46"/>
        <v>1</v>
      </c>
    </row>
    <row r="2952" spans="29:32" x14ac:dyDescent="0.25">
      <c r="AC2952">
        <v>43.28</v>
      </c>
      <c r="AE2952">
        <v>49.68</v>
      </c>
      <c r="AF2952">
        <f t="shared" si="46"/>
        <v>1</v>
      </c>
    </row>
    <row r="2953" spans="29:32" x14ac:dyDescent="0.25">
      <c r="AC2953">
        <v>42.77</v>
      </c>
      <c r="AE2953">
        <v>49.75</v>
      </c>
      <c r="AF2953">
        <f t="shared" si="46"/>
        <v>1</v>
      </c>
    </row>
    <row r="2954" spans="29:32" x14ac:dyDescent="0.25">
      <c r="AC2954">
        <v>48.38</v>
      </c>
      <c r="AE2954">
        <v>49.84</v>
      </c>
      <c r="AF2954">
        <f t="shared" si="46"/>
        <v>1</v>
      </c>
    </row>
    <row r="2955" spans="29:32" x14ac:dyDescent="0.25">
      <c r="AC2955">
        <v>42.18</v>
      </c>
      <c r="AE2955">
        <v>49.84</v>
      </c>
      <c r="AF2955">
        <f t="shared" si="46"/>
        <v>2</v>
      </c>
    </row>
    <row r="2956" spans="29:32" x14ac:dyDescent="0.25">
      <c r="AC2956">
        <v>42.98</v>
      </c>
      <c r="AE2956">
        <v>49.85</v>
      </c>
      <c r="AF2956">
        <f t="shared" si="46"/>
        <v>1</v>
      </c>
    </row>
    <row r="2957" spans="29:32" x14ac:dyDescent="0.25">
      <c r="AC2957">
        <v>48.23</v>
      </c>
      <c r="AE2957">
        <v>49.85</v>
      </c>
      <c r="AF2957">
        <f t="shared" si="46"/>
        <v>2</v>
      </c>
    </row>
    <row r="2958" spans="29:32" x14ac:dyDescent="0.25">
      <c r="AC2958">
        <v>48.53</v>
      </c>
      <c r="AE2958">
        <v>49.87</v>
      </c>
      <c r="AF2958">
        <f t="shared" si="46"/>
        <v>1</v>
      </c>
    </row>
    <row r="2959" spans="29:32" x14ac:dyDescent="0.25">
      <c r="AC2959">
        <v>46.41</v>
      </c>
      <c r="AE2959">
        <v>49.94</v>
      </c>
      <c r="AF2959">
        <f t="shared" si="46"/>
        <v>1</v>
      </c>
    </row>
    <row r="2960" spans="29:32" x14ac:dyDescent="0.25">
      <c r="AC2960">
        <v>42.53</v>
      </c>
      <c r="AE2960">
        <v>49.99</v>
      </c>
      <c r="AF2960">
        <f t="shared" si="46"/>
        <v>1</v>
      </c>
    </row>
    <row r="2961" spans="29:32" x14ac:dyDescent="0.25">
      <c r="AC2961">
        <v>43.02</v>
      </c>
      <c r="AE2961">
        <v>50.07</v>
      </c>
      <c r="AF2961">
        <f t="shared" si="46"/>
        <v>1</v>
      </c>
    </row>
    <row r="2962" spans="29:32" x14ac:dyDescent="0.25">
      <c r="AC2962">
        <v>49.03</v>
      </c>
      <c r="AE2962">
        <v>50.07</v>
      </c>
      <c r="AF2962">
        <f t="shared" si="46"/>
        <v>2</v>
      </c>
    </row>
    <row r="2963" spans="29:32" x14ac:dyDescent="0.25">
      <c r="AC2963">
        <v>43.66</v>
      </c>
      <c r="AE2963">
        <v>50.07</v>
      </c>
      <c r="AF2963">
        <f t="shared" si="46"/>
        <v>3</v>
      </c>
    </row>
    <row r="2964" spans="29:32" x14ac:dyDescent="0.25">
      <c r="AC2964">
        <v>43.68</v>
      </c>
      <c r="AE2964">
        <v>50.1</v>
      </c>
      <c r="AF2964">
        <f t="shared" si="46"/>
        <v>1</v>
      </c>
    </row>
    <row r="2965" spans="29:32" x14ac:dyDescent="0.25">
      <c r="AC2965">
        <v>46.34</v>
      </c>
      <c r="AE2965">
        <v>50.19</v>
      </c>
      <c r="AF2965">
        <f t="shared" si="46"/>
        <v>1</v>
      </c>
    </row>
    <row r="2966" spans="29:32" x14ac:dyDescent="0.25">
      <c r="AC2966">
        <v>42.78</v>
      </c>
      <c r="AE2966">
        <v>50.2</v>
      </c>
      <c r="AF2966">
        <f t="shared" si="46"/>
        <v>1</v>
      </c>
    </row>
    <row r="2967" spans="29:32" x14ac:dyDescent="0.25">
      <c r="AC2967">
        <v>43.38</v>
      </c>
      <c r="AE2967">
        <v>50.23</v>
      </c>
      <c r="AF2967">
        <f t="shared" si="46"/>
        <v>1</v>
      </c>
    </row>
    <row r="2968" spans="29:32" x14ac:dyDescent="0.25">
      <c r="AC2968">
        <v>46.74</v>
      </c>
      <c r="AE2968">
        <v>50.23</v>
      </c>
      <c r="AF2968">
        <f t="shared" si="46"/>
        <v>2</v>
      </c>
    </row>
    <row r="2969" spans="29:32" x14ac:dyDescent="0.25">
      <c r="AC2969">
        <v>43.39</v>
      </c>
      <c r="AE2969">
        <v>50.23</v>
      </c>
      <c r="AF2969">
        <f t="shared" si="46"/>
        <v>3</v>
      </c>
    </row>
    <row r="2970" spans="29:32" x14ac:dyDescent="0.25">
      <c r="AC2970">
        <v>45.72</v>
      </c>
      <c r="AE2970">
        <v>50.26</v>
      </c>
      <c r="AF2970">
        <f t="shared" si="46"/>
        <v>1</v>
      </c>
    </row>
    <row r="2971" spans="29:32" x14ac:dyDescent="0.25">
      <c r="AC2971">
        <v>46.65</v>
      </c>
      <c r="AE2971">
        <v>50.37</v>
      </c>
      <c r="AF2971">
        <f t="shared" si="46"/>
        <v>1</v>
      </c>
    </row>
    <row r="2972" spans="29:32" x14ac:dyDescent="0.25">
      <c r="AC2972">
        <v>45.87</v>
      </c>
      <c r="AE2972">
        <v>50.39</v>
      </c>
      <c r="AF2972">
        <f t="shared" si="46"/>
        <v>1</v>
      </c>
    </row>
    <row r="2973" spans="29:32" x14ac:dyDescent="0.25">
      <c r="AC2973">
        <v>43.23</v>
      </c>
      <c r="AE2973">
        <v>50.42</v>
      </c>
      <c r="AF2973">
        <f t="shared" si="46"/>
        <v>1</v>
      </c>
    </row>
    <row r="2974" spans="29:32" x14ac:dyDescent="0.25">
      <c r="AC2974">
        <v>44.08</v>
      </c>
      <c r="AE2974">
        <v>50.47</v>
      </c>
      <c r="AF2974">
        <f t="shared" si="46"/>
        <v>1</v>
      </c>
    </row>
    <row r="2975" spans="29:32" x14ac:dyDescent="0.25">
      <c r="AC2975">
        <v>47.79</v>
      </c>
      <c r="AE2975">
        <v>50.52</v>
      </c>
      <c r="AF2975">
        <f t="shared" si="46"/>
        <v>1</v>
      </c>
    </row>
    <row r="2976" spans="29:32" x14ac:dyDescent="0.25">
      <c r="AC2976">
        <v>43.32</v>
      </c>
      <c r="AE2976">
        <v>50.9</v>
      </c>
      <c r="AF2976">
        <f t="shared" si="46"/>
        <v>1</v>
      </c>
    </row>
    <row r="2977" spans="29:32" x14ac:dyDescent="0.25">
      <c r="AC2977">
        <v>43.05</v>
      </c>
      <c r="AE2977">
        <v>51.11</v>
      </c>
      <c r="AF2977">
        <f t="shared" si="46"/>
        <v>1</v>
      </c>
    </row>
    <row r="2978" spans="29:32" x14ac:dyDescent="0.25">
      <c r="AC2978">
        <v>43.08</v>
      </c>
      <c r="AE2978">
        <v>51.13</v>
      </c>
      <c r="AF2978">
        <f t="shared" si="46"/>
        <v>1</v>
      </c>
    </row>
    <row r="2979" spans="29:32" x14ac:dyDescent="0.25">
      <c r="AC2979">
        <v>49.02</v>
      </c>
      <c r="AE2979">
        <v>51.32</v>
      </c>
      <c r="AF2979">
        <f t="shared" si="46"/>
        <v>1</v>
      </c>
    </row>
    <row r="2980" spans="29:32" x14ac:dyDescent="0.25">
      <c r="AC2980">
        <v>43.79</v>
      </c>
      <c r="AE2980">
        <v>51.61</v>
      </c>
      <c r="AF2980">
        <f t="shared" si="46"/>
        <v>1</v>
      </c>
    </row>
    <row r="2981" spans="29:32" x14ac:dyDescent="0.25">
      <c r="AC2981">
        <v>42.17</v>
      </c>
      <c r="AE2981">
        <v>51.62</v>
      </c>
      <c r="AF2981">
        <f t="shared" si="46"/>
        <v>1</v>
      </c>
    </row>
    <row r="2982" spans="29:32" x14ac:dyDescent="0.25">
      <c r="AC2982">
        <v>47.27</v>
      </c>
      <c r="AE2982">
        <v>51.85</v>
      </c>
      <c r="AF2982">
        <f t="shared" si="46"/>
        <v>1</v>
      </c>
    </row>
    <row r="2983" spans="29:32" x14ac:dyDescent="0.25">
      <c r="AC2983">
        <v>48.5</v>
      </c>
      <c r="AE2983">
        <v>51.88</v>
      </c>
      <c r="AF2983">
        <f t="shared" si="46"/>
        <v>1</v>
      </c>
    </row>
    <row r="2984" spans="29:32" x14ac:dyDescent="0.25">
      <c r="AC2984">
        <v>46.12</v>
      </c>
      <c r="AE2984">
        <v>52.15</v>
      </c>
      <c r="AF2984">
        <f t="shared" si="46"/>
        <v>1</v>
      </c>
    </row>
    <row r="2985" spans="29:32" x14ac:dyDescent="0.25">
      <c r="AC2985">
        <v>43.27</v>
      </c>
      <c r="AE2985">
        <v>52.62</v>
      </c>
      <c r="AF2985">
        <f t="shared" si="46"/>
        <v>1</v>
      </c>
    </row>
    <row r="2986" spans="29:32" x14ac:dyDescent="0.25">
      <c r="AC2986">
        <v>43.21</v>
      </c>
      <c r="AE2986">
        <v>53.12</v>
      </c>
      <c r="AF2986">
        <f t="shared" si="46"/>
        <v>1</v>
      </c>
    </row>
    <row r="2987" spans="29:32" x14ac:dyDescent="0.25">
      <c r="AC2987">
        <v>43.41</v>
      </c>
      <c r="AE2987">
        <v>53.25</v>
      </c>
      <c r="AF2987">
        <f t="shared" si="46"/>
        <v>1</v>
      </c>
    </row>
    <row r="2988" spans="29:32" x14ac:dyDescent="0.25">
      <c r="AC2988">
        <v>43.9</v>
      </c>
      <c r="AE2988">
        <v>53.47</v>
      </c>
      <c r="AF2988">
        <f t="shared" si="46"/>
        <v>1</v>
      </c>
    </row>
    <row r="2989" spans="29:32" x14ac:dyDescent="0.25">
      <c r="AC2989">
        <v>43.87</v>
      </c>
      <c r="AE2989">
        <v>53.53</v>
      </c>
      <c r="AF2989">
        <f t="shared" si="46"/>
        <v>1</v>
      </c>
    </row>
    <row r="2990" spans="29:32" x14ac:dyDescent="0.25">
      <c r="AC2990">
        <v>44.77</v>
      </c>
      <c r="AE2990">
        <v>53.75</v>
      </c>
      <c r="AF2990">
        <f t="shared" si="46"/>
        <v>1</v>
      </c>
    </row>
    <row r="2991" spans="29:32" x14ac:dyDescent="0.25">
      <c r="AC2991">
        <v>44.35</v>
      </c>
      <c r="AE2991">
        <v>53.81</v>
      </c>
      <c r="AF2991">
        <f t="shared" si="46"/>
        <v>1</v>
      </c>
    </row>
    <row r="2992" spans="29:32" x14ac:dyDescent="0.25">
      <c r="AC2992">
        <v>45.11</v>
      </c>
      <c r="AE2992">
        <v>54.03</v>
      </c>
      <c r="AF2992">
        <f t="shared" si="46"/>
        <v>1</v>
      </c>
    </row>
    <row r="2993" spans="29:32" x14ac:dyDescent="0.25">
      <c r="AC2993">
        <v>44.22</v>
      </c>
      <c r="AE2993">
        <v>54.31</v>
      </c>
      <c r="AF2993">
        <f t="shared" si="46"/>
        <v>1</v>
      </c>
    </row>
    <row r="2994" spans="29:32" x14ac:dyDescent="0.25">
      <c r="AC2994">
        <v>44.52</v>
      </c>
      <c r="AE2994">
        <v>54.59</v>
      </c>
      <c r="AF2994">
        <f t="shared" si="46"/>
        <v>1</v>
      </c>
    </row>
    <row r="2995" spans="29:32" x14ac:dyDescent="0.25">
      <c r="AC2995">
        <v>45.18</v>
      </c>
      <c r="AE2995">
        <v>54.88</v>
      </c>
      <c r="AF2995">
        <f t="shared" si="46"/>
        <v>1</v>
      </c>
    </row>
    <row r="2996" spans="29:32" x14ac:dyDescent="0.25">
      <c r="AC2996">
        <v>44.6</v>
      </c>
      <c r="AE2996">
        <v>55.41</v>
      </c>
      <c r="AF2996">
        <f t="shared" si="46"/>
        <v>1</v>
      </c>
    </row>
    <row r="2997" spans="29:32" x14ac:dyDescent="0.25">
      <c r="AC2997">
        <v>44.68</v>
      </c>
      <c r="AE2997">
        <v>55.7</v>
      </c>
      <c r="AF2997">
        <f t="shared" si="46"/>
        <v>1</v>
      </c>
    </row>
    <row r="2998" spans="29:32" x14ac:dyDescent="0.25">
      <c r="AC2998">
        <v>45.25</v>
      </c>
      <c r="AE2998">
        <v>55.99</v>
      </c>
      <c r="AF2998">
        <f t="shared" si="46"/>
        <v>1</v>
      </c>
    </row>
    <row r="2999" spans="29:32" x14ac:dyDescent="0.25">
      <c r="AC2999">
        <v>44.85</v>
      </c>
      <c r="AE2999">
        <v>56.19</v>
      </c>
      <c r="AF2999">
        <f t="shared" si="46"/>
        <v>1</v>
      </c>
    </row>
    <row r="3000" spans="29:32" x14ac:dyDescent="0.25">
      <c r="AC3000">
        <v>45.13</v>
      </c>
      <c r="AE3000">
        <v>56.48</v>
      </c>
      <c r="AF3000">
        <f t="shared" si="46"/>
        <v>1</v>
      </c>
    </row>
    <row r="3001" spans="29:32" x14ac:dyDescent="0.25">
      <c r="AC3001">
        <v>44.73</v>
      </c>
      <c r="AE3001">
        <v>56.65</v>
      </c>
      <c r="AF3001">
        <f t="shared" si="46"/>
        <v>1</v>
      </c>
    </row>
    <row r="3002" spans="29:32" x14ac:dyDescent="0.25">
      <c r="AC3002">
        <v>44.95</v>
      </c>
      <c r="AE3002">
        <v>56.77</v>
      </c>
      <c r="AF3002">
        <f t="shared" si="46"/>
        <v>1</v>
      </c>
    </row>
    <row r="3003" spans="29:32" x14ac:dyDescent="0.25">
      <c r="AC3003">
        <v>45.1</v>
      </c>
      <c r="AE3003">
        <v>56.86</v>
      </c>
      <c r="AF3003">
        <f t="shared" si="46"/>
        <v>1</v>
      </c>
    </row>
    <row r="3004" spans="29:32" x14ac:dyDescent="0.25">
      <c r="AC3004">
        <v>45.21</v>
      </c>
      <c r="AE3004">
        <v>56.94</v>
      </c>
      <c r="AF3004">
        <f t="shared" si="46"/>
        <v>1</v>
      </c>
    </row>
    <row r="3005" spans="29:32" x14ac:dyDescent="0.25">
      <c r="AC3005">
        <v>45.89</v>
      </c>
      <c r="AE3005">
        <v>57.15</v>
      </c>
      <c r="AF3005">
        <f t="shared" si="46"/>
        <v>1</v>
      </c>
    </row>
    <row r="3006" spans="29:32" x14ac:dyDescent="0.25">
      <c r="AC3006">
        <v>45.59</v>
      </c>
      <c r="AE3006">
        <v>57.24</v>
      </c>
      <c r="AF3006">
        <f t="shared" si="46"/>
        <v>1</v>
      </c>
    </row>
    <row r="3007" spans="29:32" x14ac:dyDescent="0.25">
      <c r="AC3007">
        <v>46.24</v>
      </c>
      <c r="AE3007">
        <v>57.44</v>
      </c>
      <c r="AF3007">
        <f t="shared" si="46"/>
        <v>1</v>
      </c>
    </row>
    <row r="3008" spans="29:32" x14ac:dyDescent="0.25">
      <c r="AC3008">
        <v>47.86</v>
      </c>
      <c r="AE3008">
        <v>57.92</v>
      </c>
      <c r="AF3008">
        <f t="shared" si="46"/>
        <v>1</v>
      </c>
    </row>
    <row r="3009" spans="29:32" x14ac:dyDescent="0.25">
      <c r="AC3009">
        <v>48.26</v>
      </c>
      <c r="AE3009">
        <v>58.22</v>
      </c>
      <c r="AF3009">
        <f t="shared" si="46"/>
        <v>1</v>
      </c>
    </row>
    <row r="3010" spans="29:32" x14ac:dyDescent="0.25">
      <c r="AC3010">
        <v>48.69</v>
      </c>
      <c r="AE3010">
        <v>58.51</v>
      </c>
      <c r="AF3010">
        <f t="shared" si="46"/>
        <v>1</v>
      </c>
    </row>
    <row r="3011" spans="29:32" x14ac:dyDescent="0.25">
      <c r="AC3011">
        <v>49.28</v>
      </c>
      <c r="AE3011">
        <v>58.66</v>
      </c>
      <c r="AF3011">
        <f t="shared" si="46"/>
        <v>1</v>
      </c>
    </row>
    <row r="3012" spans="29:32" x14ac:dyDescent="0.25">
      <c r="AC3012">
        <v>50.07</v>
      </c>
      <c r="AE3012">
        <v>58.96</v>
      </c>
      <c r="AF3012">
        <f t="shared" ref="AF3012:AF3013" si="47">IF(AE3012=AE3011,AF3011+1,1)</f>
        <v>1</v>
      </c>
    </row>
    <row r="3013" spans="29:32" x14ac:dyDescent="0.25">
      <c r="AC3013">
        <v>50.23</v>
      </c>
      <c r="AE3013">
        <v>59.26</v>
      </c>
      <c r="AF3013">
        <f t="shared" si="47"/>
        <v>1</v>
      </c>
    </row>
  </sheetData>
  <conditionalFormatting sqref="AF1:AF1048576">
    <cfRule type="cellIs" dxfId="1" priority="1" operator="equal">
      <formula>8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78603-A5FF-4790-8C37-CF173F9F16DB}">
  <dimension ref="A1:M270"/>
  <sheetViews>
    <sheetView tabSelected="1" topLeftCell="A242" workbookViewId="0">
      <selection activeCell="A254" sqref="A254:M256"/>
    </sheetView>
  </sheetViews>
  <sheetFormatPr defaultRowHeight="15" x14ac:dyDescent="0.25"/>
  <cols>
    <col min="1" max="1" width="13.28515625" bestFit="1" customWidth="1"/>
    <col min="2" max="2" width="12.28515625" bestFit="1" customWidth="1"/>
    <col min="3" max="3" width="13.28515625" bestFit="1" customWidth="1"/>
    <col min="4" max="13" width="6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s="1">
        <v>39449</v>
      </c>
      <c r="B2">
        <v>50.9</v>
      </c>
      <c r="C2">
        <v>51.62</v>
      </c>
      <c r="D2">
        <v>53.12</v>
      </c>
      <c r="E2">
        <v>58.66</v>
      </c>
      <c r="F2">
        <v>58.96</v>
      </c>
      <c r="G2">
        <v>59.26</v>
      </c>
      <c r="H2">
        <v>48.15</v>
      </c>
      <c r="I2">
        <v>48.17</v>
      </c>
      <c r="J2">
        <v>48.19</v>
      </c>
      <c r="K2">
        <v>50.23</v>
      </c>
      <c r="L2">
        <v>50.23</v>
      </c>
      <c r="M2">
        <v>50.23</v>
      </c>
    </row>
    <row r="3" spans="1:13" x14ac:dyDescent="0.25">
      <c r="A3" s="1">
        <v>39450</v>
      </c>
      <c r="B3">
        <v>50.42</v>
      </c>
      <c r="C3">
        <v>51.13</v>
      </c>
      <c r="D3">
        <v>52.62</v>
      </c>
      <c r="E3">
        <v>57.92</v>
      </c>
      <c r="F3">
        <v>58.22</v>
      </c>
      <c r="G3">
        <v>58.51</v>
      </c>
      <c r="H3">
        <v>48.04</v>
      </c>
      <c r="I3">
        <v>48.06</v>
      </c>
      <c r="J3">
        <v>48.08</v>
      </c>
      <c r="K3">
        <v>50.07</v>
      </c>
      <c r="L3">
        <v>50.07</v>
      </c>
      <c r="M3">
        <v>50.07</v>
      </c>
    </row>
    <row r="4" spans="1:13" x14ac:dyDescent="0.25">
      <c r="A4" s="1">
        <v>39451</v>
      </c>
      <c r="B4">
        <v>49.68</v>
      </c>
      <c r="C4">
        <v>50.39</v>
      </c>
      <c r="D4">
        <v>51.85</v>
      </c>
      <c r="E4">
        <v>56.86</v>
      </c>
      <c r="F4">
        <v>57.15</v>
      </c>
      <c r="G4">
        <v>57.44</v>
      </c>
      <c r="H4">
        <v>47.14</v>
      </c>
      <c r="I4">
        <v>47.16</v>
      </c>
      <c r="J4">
        <v>47.17</v>
      </c>
      <c r="K4">
        <v>49.27</v>
      </c>
      <c r="L4">
        <v>49.28</v>
      </c>
      <c r="M4">
        <v>49.28</v>
      </c>
    </row>
    <row r="5" spans="1:13" x14ac:dyDescent="0.25">
      <c r="A5" s="1">
        <v>39454</v>
      </c>
      <c r="B5">
        <v>48.97</v>
      </c>
      <c r="C5">
        <v>49.66</v>
      </c>
      <c r="D5">
        <v>51.11</v>
      </c>
      <c r="E5">
        <v>56.19</v>
      </c>
      <c r="F5">
        <v>56.48</v>
      </c>
      <c r="G5">
        <v>56.77</v>
      </c>
      <c r="H5">
        <v>46.52</v>
      </c>
      <c r="I5">
        <v>46.54</v>
      </c>
      <c r="J5">
        <v>46.56</v>
      </c>
      <c r="K5">
        <v>48.25</v>
      </c>
      <c r="L5">
        <v>48.26</v>
      </c>
      <c r="M5">
        <v>48.26</v>
      </c>
    </row>
    <row r="6" spans="1:13" x14ac:dyDescent="0.25">
      <c r="A6" s="1">
        <v>39455</v>
      </c>
      <c r="B6">
        <v>49.17</v>
      </c>
      <c r="C6">
        <v>49.87</v>
      </c>
      <c r="D6">
        <v>51.32</v>
      </c>
      <c r="E6">
        <v>56.65</v>
      </c>
      <c r="F6">
        <v>56.94</v>
      </c>
      <c r="G6">
        <v>57.24</v>
      </c>
      <c r="H6">
        <v>46.76</v>
      </c>
      <c r="I6">
        <v>46.78</v>
      </c>
      <c r="J6">
        <v>46.8</v>
      </c>
      <c r="K6">
        <v>48.69</v>
      </c>
      <c r="L6">
        <v>48.69</v>
      </c>
      <c r="M6">
        <v>48.69</v>
      </c>
    </row>
    <row r="7" spans="1:13" x14ac:dyDescent="0.25">
      <c r="A7" s="1">
        <v>39456</v>
      </c>
      <c r="B7">
        <v>48.08</v>
      </c>
      <c r="C7">
        <v>48.76</v>
      </c>
      <c r="D7">
        <v>50.19</v>
      </c>
      <c r="E7">
        <v>55.41</v>
      </c>
      <c r="F7">
        <v>55.7</v>
      </c>
      <c r="G7">
        <v>55.99</v>
      </c>
      <c r="H7">
        <v>45.34</v>
      </c>
      <c r="I7">
        <v>45.36</v>
      </c>
      <c r="J7">
        <v>45.38</v>
      </c>
      <c r="K7">
        <v>47.85</v>
      </c>
      <c r="L7">
        <v>47.85</v>
      </c>
      <c r="M7">
        <v>47.86</v>
      </c>
    </row>
    <row r="8" spans="1:13" x14ac:dyDescent="0.25">
      <c r="A8" s="1">
        <v>39457</v>
      </c>
      <c r="B8">
        <v>46.78</v>
      </c>
      <c r="C8">
        <v>47.44</v>
      </c>
      <c r="D8">
        <v>48.83</v>
      </c>
      <c r="E8">
        <v>54.31</v>
      </c>
      <c r="F8">
        <v>54.59</v>
      </c>
      <c r="G8">
        <v>54.88</v>
      </c>
      <c r="H8">
        <v>44.44</v>
      </c>
      <c r="I8">
        <v>44.46</v>
      </c>
      <c r="J8">
        <v>44.48</v>
      </c>
      <c r="K8">
        <v>46.23</v>
      </c>
      <c r="L8">
        <v>46.23</v>
      </c>
      <c r="M8">
        <v>46.24</v>
      </c>
    </row>
    <row r="9" spans="1:13" x14ac:dyDescent="0.25">
      <c r="A9" s="1">
        <v>39458</v>
      </c>
      <c r="B9">
        <v>46.19</v>
      </c>
      <c r="C9">
        <v>46.85</v>
      </c>
      <c r="D9">
        <v>48.22</v>
      </c>
      <c r="E9">
        <v>53.47</v>
      </c>
      <c r="F9">
        <v>53.75</v>
      </c>
      <c r="G9">
        <v>54.03</v>
      </c>
      <c r="H9">
        <v>43.93</v>
      </c>
      <c r="I9">
        <v>43.95</v>
      </c>
      <c r="J9">
        <v>43.97</v>
      </c>
      <c r="K9">
        <v>45.58</v>
      </c>
      <c r="L9">
        <v>45.58</v>
      </c>
      <c r="M9">
        <v>45.59</v>
      </c>
    </row>
    <row r="10" spans="1:13" x14ac:dyDescent="0.25">
      <c r="A10" s="1">
        <v>39461</v>
      </c>
      <c r="B10">
        <v>45.92</v>
      </c>
      <c r="C10">
        <v>46.58</v>
      </c>
      <c r="D10">
        <v>47.94</v>
      </c>
      <c r="E10">
        <v>53.25</v>
      </c>
      <c r="F10">
        <v>53.53</v>
      </c>
      <c r="G10">
        <v>53.81</v>
      </c>
      <c r="H10">
        <v>44.11</v>
      </c>
      <c r="I10">
        <v>44.14</v>
      </c>
      <c r="J10">
        <v>44.16</v>
      </c>
      <c r="K10">
        <v>45.87</v>
      </c>
      <c r="L10">
        <v>45.88</v>
      </c>
      <c r="M10">
        <v>45.89</v>
      </c>
    </row>
    <row r="11" spans="1:13" x14ac:dyDescent="0.25">
      <c r="A11" s="1">
        <v>39462</v>
      </c>
      <c r="B11">
        <v>44.59</v>
      </c>
      <c r="C11">
        <v>45.23</v>
      </c>
      <c r="D11">
        <v>46.55</v>
      </c>
      <c r="E11">
        <v>51.61</v>
      </c>
      <c r="F11">
        <v>51.88</v>
      </c>
      <c r="G11">
        <v>52.15</v>
      </c>
      <c r="H11">
        <v>42.81</v>
      </c>
      <c r="I11">
        <v>42.83</v>
      </c>
      <c r="J11">
        <v>42.85</v>
      </c>
      <c r="K11">
        <v>44.67</v>
      </c>
      <c r="L11">
        <v>44.68</v>
      </c>
      <c r="M11">
        <v>44.68</v>
      </c>
    </row>
    <row r="12" spans="1:13" x14ac:dyDescent="0.25">
      <c r="A12" s="1">
        <v>39463</v>
      </c>
      <c r="B12">
        <v>42.88</v>
      </c>
      <c r="C12">
        <v>43.5</v>
      </c>
      <c r="D12">
        <v>44.77</v>
      </c>
      <c r="E12">
        <v>49.94</v>
      </c>
      <c r="F12">
        <v>50.2</v>
      </c>
      <c r="G12">
        <v>50.47</v>
      </c>
      <c r="H12">
        <v>41.38</v>
      </c>
      <c r="I12">
        <v>41.4</v>
      </c>
      <c r="J12">
        <v>41.42</v>
      </c>
      <c r="K12">
        <v>43.37</v>
      </c>
      <c r="L12">
        <v>43.37</v>
      </c>
      <c r="M12">
        <v>43.38</v>
      </c>
    </row>
    <row r="13" spans="1:13" x14ac:dyDescent="0.25">
      <c r="A13" s="1">
        <v>39464</v>
      </c>
      <c r="B13">
        <v>43.16</v>
      </c>
      <c r="C13">
        <v>43.78</v>
      </c>
      <c r="D13">
        <v>45.06</v>
      </c>
      <c r="E13">
        <v>49.84</v>
      </c>
      <c r="F13">
        <v>50.1</v>
      </c>
      <c r="G13">
        <v>50.37</v>
      </c>
      <c r="H13">
        <v>41.66</v>
      </c>
      <c r="I13">
        <v>41.69</v>
      </c>
      <c r="J13">
        <v>41.71</v>
      </c>
      <c r="K13">
        <v>43.31</v>
      </c>
      <c r="L13">
        <v>43.32</v>
      </c>
      <c r="M13">
        <v>43.32</v>
      </c>
    </row>
    <row r="14" spans="1:13" x14ac:dyDescent="0.25">
      <c r="A14" s="1">
        <v>39465</v>
      </c>
      <c r="B14">
        <v>43.58</v>
      </c>
      <c r="C14">
        <v>44.2</v>
      </c>
      <c r="D14">
        <v>45.5</v>
      </c>
      <c r="E14">
        <v>49.99</v>
      </c>
      <c r="F14">
        <v>50.26</v>
      </c>
      <c r="G14">
        <v>50.52</v>
      </c>
      <c r="H14">
        <v>41.64</v>
      </c>
      <c r="I14">
        <v>41.66</v>
      </c>
      <c r="J14">
        <v>41.68</v>
      </c>
      <c r="K14">
        <v>43.2</v>
      </c>
      <c r="L14">
        <v>43.21</v>
      </c>
      <c r="M14">
        <v>43.21</v>
      </c>
    </row>
    <row r="15" spans="1:13" x14ac:dyDescent="0.25">
      <c r="A15" s="1">
        <v>39468</v>
      </c>
      <c r="B15">
        <v>41.1</v>
      </c>
      <c r="C15">
        <v>41.69</v>
      </c>
      <c r="D15">
        <v>42.91</v>
      </c>
      <c r="E15">
        <v>47.03</v>
      </c>
      <c r="F15">
        <v>47.29</v>
      </c>
      <c r="G15">
        <v>47.54</v>
      </c>
      <c r="H15">
        <v>39.94</v>
      </c>
      <c r="I15">
        <v>39.97</v>
      </c>
      <c r="J15">
        <v>39.99</v>
      </c>
      <c r="K15">
        <v>40.54</v>
      </c>
      <c r="L15">
        <v>40.54</v>
      </c>
      <c r="M15">
        <v>40.549999999999997</v>
      </c>
    </row>
    <row r="16" spans="1:13" x14ac:dyDescent="0.25">
      <c r="A16" s="1">
        <v>39469</v>
      </c>
      <c r="B16">
        <v>41.76</v>
      </c>
      <c r="C16">
        <v>42.36</v>
      </c>
      <c r="D16">
        <v>43.61</v>
      </c>
      <c r="E16">
        <v>47.17</v>
      </c>
      <c r="F16">
        <v>47.43</v>
      </c>
      <c r="G16">
        <v>47.68</v>
      </c>
      <c r="H16">
        <v>41.17</v>
      </c>
      <c r="I16">
        <v>41.19</v>
      </c>
      <c r="J16">
        <v>41.22</v>
      </c>
      <c r="K16">
        <v>41.3</v>
      </c>
      <c r="L16">
        <v>41.31</v>
      </c>
      <c r="M16">
        <v>41.31</v>
      </c>
    </row>
    <row r="17" spans="1:13" x14ac:dyDescent="0.25">
      <c r="A17" s="1">
        <v>39470</v>
      </c>
      <c r="B17">
        <v>41.25</v>
      </c>
      <c r="C17">
        <v>41.84</v>
      </c>
      <c r="D17">
        <v>43.07</v>
      </c>
      <c r="E17">
        <v>45.83</v>
      </c>
      <c r="F17">
        <v>46.08</v>
      </c>
      <c r="G17">
        <v>46.32</v>
      </c>
      <c r="H17">
        <v>40.200000000000003</v>
      </c>
      <c r="I17">
        <v>40.22</v>
      </c>
      <c r="J17">
        <v>40.24</v>
      </c>
      <c r="K17">
        <v>40.35</v>
      </c>
      <c r="L17">
        <v>40.36</v>
      </c>
      <c r="M17">
        <v>40.36</v>
      </c>
    </row>
    <row r="18" spans="1:13" x14ac:dyDescent="0.25">
      <c r="A18" s="1">
        <v>39471</v>
      </c>
      <c r="B18">
        <v>43.34</v>
      </c>
      <c r="C18">
        <v>43.96</v>
      </c>
      <c r="D18">
        <v>45.25</v>
      </c>
      <c r="E18">
        <v>48.3</v>
      </c>
      <c r="F18">
        <v>48.56</v>
      </c>
      <c r="G18">
        <v>48.82</v>
      </c>
      <c r="H18">
        <v>42.27</v>
      </c>
      <c r="I18">
        <v>42.3</v>
      </c>
      <c r="J18">
        <v>42.32</v>
      </c>
      <c r="K18">
        <v>42.16</v>
      </c>
      <c r="L18">
        <v>42.16</v>
      </c>
      <c r="M18">
        <v>42.17</v>
      </c>
    </row>
    <row r="19" spans="1:13" x14ac:dyDescent="0.25">
      <c r="A19" s="1">
        <v>39472</v>
      </c>
      <c r="B19">
        <v>43.55</v>
      </c>
      <c r="C19">
        <v>44.18</v>
      </c>
      <c r="D19">
        <v>45.48</v>
      </c>
      <c r="E19">
        <v>48.55</v>
      </c>
      <c r="F19">
        <v>48.81</v>
      </c>
      <c r="G19">
        <v>49.07</v>
      </c>
      <c r="H19">
        <v>42.38</v>
      </c>
      <c r="I19">
        <v>42.4</v>
      </c>
      <c r="J19">
        <v>42.42</v>
      </c>
      <c r="K19">
        <v>43.26</v>
      </c>
      <c r="L19">
        <v>43.26</v>
      </c>
      <c r="M19">
        <v>43.27</v>
      </c>
    </row>
    <row r="20" spans="1:13" x14ac:dyDescent="0.25">
      <c r="A20" s="1">
        <v>39475</v>
      </c>
      <c r="B20">
        <v>42.51</v>
      </c>
      <c r="C20">
        <v>43.12</v>
      </c>
      <c r="D20">
        <v>44.39</v>
      </c>
      <c r="E20">
        <v>47.03</v>
      </c>
      <c r="F20">
        <v>47.29</v>
      </c>
      <c r="G20">
        <v>47.54</v>
      </c>
      <c r="H20">
        <v>41.19</v>
      </c>
      <c r="I20">
        <v>41.21</v>
      </c>
      <c r="J20">
        <v>41.23</v>
      </c>
      <c r="K20">
        <v>42.75</v>
      </c>
      <c r="L20">
        <v>42.76</v>
      </c>
      <c r="M20">
        <v>42.77</v>
      </c>
    </row>
    <row r="21" spans="1:13" x14ac:dyDescent="0.25">
      <c r="A21" s="1">
        <v>39476</v>
      </c>
      <c r="B21">
        <v>43.83</v>
      </c>
      <c r="C21">
        <v>44.46</v>
      </c>
      <c r="D21">
        <v>45.77</v>
      </c>
      <c r="E21">
        <v>48.04</v>
      </c>
      <c r="F21">
        <v>48.3</v>
      </c>
      <c r="G21">
        <v>48.56</v>
      </c>
      <c r="H21">
        <v>42.22</v>
      </c>
      <c r="I21">
        <v>42.25</v>
      </c>
      <c r="J21">
        <v>42.27</v>
      </c>
      <c r="K21">
        <v>43.88</v>
      </c>
      <c r="L21">
        <v>43.89</v>
      </c>
      <c r="M21">
        <v>43.9</v>
      </c>
    </row>
    <row r="22" spans="1:13" x14ac:dyDescent="0.25">
      <c r="A22" s="1">
        <v>39477</v>
      </c>
      <c r="B22">
        <v>43.65</v>
      </c>
      <c r="C22">
        <v>44.28</v>
      </c>
      <c r="D22">
        <v>45.59</v>
      </c>
      <c r="E22">
        <v>47.85</v>
      </c>
      <c r="F22">
        <v>48.11</v>
      </c>
      <c r="G22">
        <v>48.37</v>
      </c>
      <c r="H22">
        <v>42.07</v>
      </c>
      <c r="I22">
        <v>42.1</v>
      </c>
      <c r="J22">
        <v>42.12</v>
      </c>
      <c r="K22">
        <v>43.39</v>
      </c>
      <c r="L22">
        <v>43.4</v>
      </c>
      <c r="M22">
        <v>43.41</v>
      </c>
    </row>
    <row r="23" spans="1:13" x14ac:dyDescent="0.25">
      <c r="A23" s="1">
        <v>39478</v>
      </c>
      <c r="B23">
        <v>43.03</v>
      </c>
      <c r="C23">
        <v>43.65</v>
      </c>
      <c r="D23">
        <v>44.94</v>
      </c>
      <c r="E23">
        <v>47.2</v>
      </c>
      <c r="F23">
        <v>47.46</v>
      </c>
      <c r="G23">
        <v>47.72</v>
      </c>
      <c r="H23">
        <v>41.88</v>
      </c>
      <c r="I23">
        <v>41.91</v>
      </c>
      <c r="J23">
        <v>41.93</v>
      </c>
      <c r="K23">
        <v>43.21</v>
      </c>
      <c r="L23">
        <v>43.22</v>
      </c>
      <c r="M23">
        <v>43.23</v>
      </c>
    </row>
    <row r="24" spans="1:13" x14ac:dyDescent="0.25">
      <c r="A24" s="1">
        <v>39479</v>
      </c>
      <c r="B24">
        <v>44.01</v>
      </c>
      <c r="C24">
        <v>44.65</v>
      </c>
      <c r="D24">
        <v>45.97</v>
      </c>
      <c r="E24">
        <v>48.27</v>
      </c>
      <c r="F24">
        <v>48.54</v>
      </c>
      <c r="G24">
        <v>48.81</v>
      </c>
      <c r="H24">
        <v>42.49</v>
      </c>
      <c r="I24">
        <v>42.52</v>
      </c>
      <c r="J24">
        <v>42.54</v>
      </c>
      <c r="K24">
        <v>43.85</v>
      </c>
      <c r="L24">
        <v>43.86</v>
      </c>
      <c r="M24">
        <v>43.87</v>
      </c>
    </row>
    <row r="25" spans="1:13" x14ac:dyDescent="0.25">
      <c r="A25" s="1">
        <v>39482</v>
      </c>
      <c r="B25">
        <v>44.4</v>
      </c>
      <c r="C25">
        <v>45.05</v>
      </c>
      <c r="D25">
        <v>46.38</v>
      </c>
      <c r="E25">
        <v>48.75</v>
      </c>
      <c r="F25">
        <v>49.02</v>
      </c>
      <c r="G25">
        <v>49.29</v>
      </c>
      <c r="H25">
        <v>42.52</v>
      </c>
      <c r="I25">
        <v>42.55</v>
      </c>
      <c r="J25">
        <v>42.58</v>
      </c>
      <c r="K25">
        <v>44.19</v>
      </c>
      <c r="L25">
        <v>44.21</v>
      </c>
      <c r="M25">
        <v>44.22</v>
      </c>
    </row>
    <row r="26" spans="1:13" x14ac:dyDescent="0.25">
      <c r="A26" s="1">
        <v>39483</v>
      </c>
      <c r="B26">
        <v>43.18</v>
      </c>
      <c r="C26">
        <v>43.81</v>
      </c>
      <c r="D26">
        <v>45.1</v>
      </c>
      <c r="E26">
        <v>47.53</v>
      </c>
      <c r="F26">
        <v>47.79</v>
      </c>
      <c r="G26">
        <v>48.06</v>
      </c>
      <c r="H26">
        <v>41.3</v>
      </c>
      <c r="I26">
        <v>41.33</v>
      </c>
      <c r="J26">
        <v>41.35</v>
      </c>
      <c r="K26">
        <v>43.02</v>
      </c>
      <c r="L26">
        <v>43.03</v>
      </c>
      <c r="M26">
        <v>43.05</v>
      </c>
    </row>
    <row r="27" spans="1:13" x14ac:dyDescent="0.25">
      <c r="A27" s="1">
        <v>39484</v>
      </c>
      <c r="B27">
        <v>43.2</v>
      </c>
      <c r="C27">
        <v>43.83</v>
      </c>
      <c r="D27">
        <v>45.12</v>
      </c>
      <c r="E27">
        <v>47.57</v>
      </c>
      <c r="F27">
        <v>47.84</v>
      </c>
      <c r="G27">
        <v>48.1</v>
      </c>
      <c r="H27">
        <v>41.47</v>
      </c>
      <c r="I27">
        <v>41.49</v>
      </c>
      <c r="J27">
        <v>41.52</v>
      </c>
      <c r="K27">
        <v>43.05</v>
      </c>
      <c r="L27">
        <v>43.07</v>
      </c>
      <c r="M27">
        <v>43.08</v>
      </c>
    </row>
    <row r="28" spans="1:13" x14ac:dyDescent="0.25">
      <c r="A28" s="1">
        <v>39485</v>
      </c>
      <c r="B28">
        <v>42.52</v>
      </c>
      <c r="C28">
        <v>43.14</v>
      </c>
      <c r="D28">
        <v>44.42</v>
      </c>
      <c r="E28">
        <v>46.34</v>
      </c>
      <c r="F28">
        <v>46.59</v>
      </c>
      <c r="G28">
        <v>46.85</v>
      </c>
      <c r="H28">
        <v>40.75</v>
      </c>
      <c r="I28">
        <v>40.78</v>
      </c>
      <c r="J28">
        <v>40.799999999999997</v>
      </c>
      <c r="K28">
        <v>42.15</v>
      </c>
      <c r="L28">
        <v>42.16</v>
      </c>
      <c r="M28">
        <v>42.18</v>
      </c>
    </row>
    <row r="29" spans="1:13" x14ac:dyDescent="0.25">
      <c r="A29" s="1">
        <v>39486</v>
      </c>
      <c r="B29">
        <v>42.68</v>
      </c>
      <c r="C29">
        <v>43.3</v>
      </c>
      <c r="D29">
        <v>44.59</v>
      </c>
      <c r="E29">
        <v>46.39</v>
      </c>
      <c r="F29">
        <v>46.65</v>
      </c>
      <c r="G29">
        <v>46.91</v>
      </c>
      <c r="H29">
        <v>41.23</v>
      </c>
      <c r="I29">
        <v>41.26</v>
      </c>
      <c r="J29">
        <v>41.29</v>
      </c>
      <c r="K29">
        <v>42.51</v>
      </c>
      <c r="L29">
        <v>42.52</v>
      </c>
      <c r="M29">
        <v>42.53</v>
      </c>
    </row>
    <row r="30" spans="1:13" x14ac:dyDescent="0.25">
      <c r="A30" s="1">
        <v>39489</v>
      </c>
      <c r="B30">
        <v>42.79</v>
      </c>
      <c r="C30">
        <v>43.42</v>
      </c>
      <c r="D30">
        <v>44.71</v>
      </c>
      <c r="E30">
        <v>46.06</v>
      </c>
      <c r="F30">
        <v>46.32</v>
      </c>
      <c r="G30">
        <v>46.58</v>
      </c>
      <c r="H30">
        <v>41.18</v>
      </c>
      <c r="I30">
        <v>41.2</v>
      </c>
      <c r="J30">
        <v>41.23</v>
      </c>
      <c r="K30">
        <v>42.75</v>
      </c>
      <c r="L30">
        <v>42.76</v>
      </c>
      <c r="M30">
        <v>42.78</v>
      </c>
    </row>
    <row r="31" spans="1:13" x14ac:dyDescent="0.25">
      <c r="A31" s="1">
        <v>39490</v>
      </c>
      <c r="B31">
        <v>44.11</v>
      </c>
      <c r="C31">
        <v>44.76</v>
      </c>
      <c r="D31">
        <v>46.09</v>
      </c>
      <c r="E31">
        <v>47.61</v>
      </c>
      <c r="F31">
        <v>47.87</v>
      </c>
      <c r="G31">
        <v>48.14</v>
      </c>
      <c r="H31">
        <v>42.26</v>
      </c>
      <c r="I31">
        <v>42.29</v>
      </c>
      <c r="J31">
        <v>42.32</v>
      </c>
      <c r="K31">
        <v>44.33</v>
      </c>
      <c r="L31">
        <v>44.34</v>
      </c>
      <c r="M31">
        <v>44.35</v>
      </c>
    </row>
    <row r="32" spans="1:13" x14ac:dyDescent="0.25">
      <c r="A32" s="1">
        <v>39491</v>
      </c>
      <c r="B32">
        <v>44.67</v>
      </c>
      <c r="C32">
        <v>45.33</v>
      </c>
      <c r="D32">
        <v>46.68</v>
      </c>
      <c r="E32">
        <v>48.56</v>
      </c>
      <c r="F32">
        <v>48.84</v>
      </c>
      <c r="G32">
        <v>49.11</v>
      </c>
      <c r="H32">
        <v>42.56</v>
      </c>
      <c r="I32">
        <v>42.59</v>
      </c>
      <c r="J32">
        <v>42.62</v>
      </c>
      <c r="K32">
        <v>44.82</v>
      </c>
      <c r="L32">
        <v>44.83</v>
      </c>
      <c r="M32">
        <v>44.85</v>
      </c>
    </row>
    <row r="33" spans="1:13" x14ac:dyDescent="0.25">
      <c r="A33" s="1">
        <v>39492</v>
      </c>
      <c r="B33">
        <v>45.01</v>
      </c>
      <c r="C33">
        <v>45.68</v>
      </c>
      <c r="D33">
        <v>47.03</v>
      </c>
      <c r="E33">
        <v>49.05</v>
      </c>
      <c r="F33">
        <v>49.33</v>
      </c>
      <c r="G33">
        <v>49.61</v>
      </c>
      <c r="H33">
        <v>42.84</v>
      </c>
      <c r="I33">
        <v>42.87</v>
      </c>
      <c r="J33">
        <v>42.9</v>
      </c>
      <c r="K33">
        <v>45.1</v>
      </c>
      <c r="L33">
        <v>45.11</v>
      </c>
      <c r="M33">
        <v>45.13</v>
      </c>
    </row>
    <row r="34" spans="1:13" x14ac:dyDescent="0.25">
      <c r="A34" s="1">
        <v>39493</v>
      </c>
      <c r="B34">
        <v>44.4</v>
      </c>
      <c r="C34">
        <v>45.05</v>
      </c>
      <c r="D34">
        <v>46.39</v>
      </c>
      <c r="E34">
        <v>48.22</v>
      </c>
      <c r="F34">
        <v>48.49</v>
      </c>
      <c r="G34">
        <v>48.77</v>
      </c>
      <c r="H34">
        <v>42.04</v>
      </c>
      <c r="I34">
        <v>42.07</v>
      </c>
      <c r="J34">
        <v>42.1</v>
      </c>
      <c r="K34">
        <v>44.49</v>
      </c>
      <c r="L34">
        <v>44.5</v>
      </c>
      <c r="M34">
        <v>44.52</v>
      </c>
    </row>
    <row r="35" spans="1:13" x14ac:dyDescent="0.25">
      <c r="A35" s="1">
        <v>39496</v>
      </c>
      <c r="B35">
        <v>45.37</v>
      </c>
      <c r="C35">
        <v>46.04</v>
      </c>
      <c r="D35">
        <v>47.41</v>
      </c>
      <c r="E35">
        <v>49.07</v>
      </c>
      <c r="F35">
        <v>49.35</v>
      </c>
      <c r="G35">
        <v>49.64</v>
      </c>
      <c r="H35">
        <v>42.95</v>
      </c>
      <c r="I35">
        <v>42.98</v>
      </c>
      <c r="J35">
        <v>43.01</v>
      </c>
      <c r="K35">
        <v>45.07</v>
      </c>
      <c r="L35">
        <v>45.09</v>
      </c>
      <c r="M35">
        <v>45.1</v>
      </c>
    </row>
    <row r="36" spans="1:13" x14ac:dyDescent="0.25">
      <c r="A36" s="1">
        <v>39497</v>
      </c>
      <c r="B36">
        <v>45.37</v>
      </c>
      <c r="C36">
        <v>46.04</v>
      </c>
      <c r="D36">
        <v>47.41</v>
      </c>
      <c r="E36">
        <v>49.28</v>
      </c>
      <c r="F36">
        <v>49.56</v>
      </c>
      <c r="G36">
        <v>49.85</v>
      </c>
      <c r="H36">
        <v>43.06</v>
      </c>
      <c r="I36">
        <v>43.09</v>
      </c>
      <c r="J36">
        <v>43.12</v>
      </c>
      <c r="K36">
        <v>45.18</v>
      </c>
      <c r="L36">
        <v>45.19</v>
      </c>
      <c r="M36">
        <v>45.21</v>
      </c>
    </row>
    <row r="37" spans="1:13" x14ac:dyDescent="0.25">
      <c r="A37" s="1">
        <v>39498</v>
      </c>
      <c r="B37">
        <v>45.07</v>
      </c>
      <c r="C37">
        <v>45.73</v>
      </c>
      <c r="D37">
        <v>47.09</v>
      </c>
      <c r="E37">
        <v>48.96</v>
      </c>
      <c r="F37">
        <v>49.24</v>
      </c>
      <c r="G37">
        <v>49.52</v>
      </c>
      <c r="H37">
        <v>42.83</v>
      </c>
      <c r="I37">
        <v>42.86</v>
      </c>
      <c r="J37">
        <v>42.89</v>
      </c>
      <c r="K37">
        <v>44.7</v>
      </c>
      <c r="L37">
        <v>44.72</v>
      </c>
      <c r="M37">
        <v>44.73</v>
      </c>
    </row>
    <row r="38" spans="1:13" x14ac:dyDescent="0.25">
      <c r="A38" s="1">
        <v>39499</v>
      </c>
      <c r="B38">
        <v>45.11</v>
      </c>
      <c r="C38">
        <v>45.78</v>
      </c>
      <c r="D38">
        <v>47.15</v>
      </c>
      <c r="E38">
        <v>49.28</v>
      </c>
      <c r="F38">
        <v>49.57</v>
      </c>
      <c r="G38">
        <v>49.85</v>
      </c>
      <c r="H38">
        <v>42.91</v>
      </c>
      <c r="I38">
        <v>42.95</v>
      </c>
      <c r="J38">
        <v>42.98</v>
      </c>
      <c r="K38">
        <v>44.91</v>
      </c>
      <c r="L38">
        <v>44.93</v>
      </c>
      <c r="M38">
        <v>44.95</v>
      </c>
    </row>
    <row r="39" spans="1:13" x14ac:dyDescent="0.25">
      <c r="A39" s="1">
        <v>39500</v>
      </c>
      <c r="B39">
        <v>44.58</v>
      </c>
      <c r="C39">
        <v>45.24</v>
      </c>
      <c r="D39">
        <v>46.59</v>
      </c>
      <c r="E39">
        <v>48.83</v>
      </c>
      <c r="F39">
        <v>49.12</v>
      </c>
      <c r="G39">
        <v>49.4</v>
      </c>
      <c r="H39">
        <v>42.52</v>
      </c>
      <c r="I39">
        <v>42.56</v>
      </c>
      <c r="J39">
        <v>42.59</v>
      </c>
      <c r="K39">
        <v>44.56</v>
      </c>
      <c r="L39">
        <v>44.58</v>
      </c>
      <c r="M39">
        <v>44.6</v>
      </c>
    </row>
    <row r="40" spans="1:13" x14ac:dyDescent="0.25">
      <c r="A40" s="1">
        <v>39503</v>
      </c>
      <c r="B40">
        <v>44.63</v>
      </c>
      <c r="C40">
        <v>45.3</v>
      </c>
      <c r="D40">
        <v>46.65</v>
      </c>
      <c r="E40">
        <v>48.95</v>
      </c>
      <c r="F40">
        <v>49.24</v>
      </c>
      <c r="G40">
        <v>49.52</v>
      </c>
      <c r="H40">
        <v>42.63</v>
      </c>
      <c r="I40">
        <v>42.66</v>
      </c>
      <c r="J40">
        <v>42.69</v>
      </c>
      <c r="K40">
        <v>45.2</v>
      </c>
      <c r="L40">
        <v>45.23</v>
      </c>
      <c r="M40">
        <v>45.25</v>
      </c>
    </row>
    <row r="41" spans="1:13" x14ac:dyDescent="0.25">
      <c r="A41" s="1">
        <v>39504</v>
      </c>
      <c r="B41">
        <v>44.36</v>
      </c>
      <c r="C41">
        <v>45.02</v>
      </c>
      <c r="D41">
        <v>46.36</v>
      </c>
      <c r="E41">
        <v>49.17</v>
      </c>
      <c r="F41">
        <v>49.46</v>
      </c>
      <c r="G41">
        <v>49.75</v>
      </c>
      <c r="H41">
        <v>42.7</v>
      </c>
      <c r="I41">
        <v>42.73</v>
      </c>
      <c r="J41">
        <v>42.77</v>
      </c>
      <c r="K41">
        <v>45.07</v>
      </c>
      <c r="L41">
        <v>45.09</v>
      </c>
      <c r="M41">
        <v>45.11</v>
      </c>
    </row>
    <row r="42" spans="1:13" x14ac:dyDescent="0.25">
      <c r="A42" s="1">
        <v>39505</v>
      </c>
      <c r="B42">
        <v>44.44</v>
      </c>
      <c r="C42">
        <v>45.1</v>
      </c>
      <c r="D42">
        <v>46.44</v>
      </c>
      <c r="E42">
        <v>49.26</v>
      </c>
      <c r="F42">
        <v>49.55</v>
      </c>
      <c r="G42">
        <v>49.84</v>
      </c>
      <c r="H42">
        <v>42.86</v>
      </c>
      <c r="I42">
        <v>42.9</v>
      </c>
      <c r="J42">
        <v>42.93</v>
      </c>
      <c r="K42">
        <v>45.13</v>
      </c>
      <c r="L42">
        <v>45.15</v>
      </c>
      <c r="M42">
        <v>45.18</v>
      </c>
    </row>
    <row r="43" spans="1:13" x14ac:dyDescent="0.25">
      <c r="A43" s="1">
        <v>39506</v>
      </c>
      <c r="B43">
        <v>44.03</v>
      </c>
      <c r="C43">
        <v>44.68</v>
      </c>
      <c r="D43">
        <v>46.02</v>
      </c>
      <c r="E43">
        <v>48.39</v>
      </c>
      <c r="F43">
        <v>48.67</v>
      </c>
      <c r="G43">
        <v>48.96</v>
      </c>
      <c r="H43">
        <v>42.08</v>
      </c>
      <c r="I43">
        <v>42.11</v>
      </c>
      <c r="J43">
        <v>42.15</v>
      </c>
      <c r="K43">
        <v>44.73</v>
      </c>
      <c r="L43">
        <v>44.75</v>
      </c>
      <c r="M43">
        <v>44.77</v>
      </c>
    </row>
    <row r="44" spans="1:13" x14ac:dyDescent="0.25">
      <c r="A44" s="1">
        <v>39507</v>
      </c>
      <c r="B44">
        <v>43.32</v>
      </c>
      <c r="C44">
        <v>43.97</v>
      </c>
      <c r="D44">
        <v>45.28</v>
      </c>
      <c r="E44">
        <v>47.45</v>
      </c>
      <c r="F44">
        <v>47.73</v>
      </c>
      <c r="G44">
        <v>48.01</v>
      </c>
      <c r="H44">
        <v>41.25</v>
      </c>
      <c r="I44">
        <v>41.28</v>
      </c>
      <c r="J44">
        <v>41.31</v>
      </c>
      <c r="K44">
        <v>43.75</v>
      </c>
      <c r="L44">
        <v>43.77</v>
      </c>
      <c r="M44">
        <v>43.79</v>
      </c>
    </row>
    <row r="45" spans="1:13" x14ac:dyDescent="0.25">
      <c r="A45" s="1">
        <v>39510</v>
      </c>
      <c r="B45">
        <v>42.22</v>
      </c>
      <c r="C45">
        <v>42.86</v>
      </c>
      <c r="D45">
        <v>44.14</v>
      </c>
      <c r="E45">
        <v>45.87</v>
      </c>
      <c r="F45">
        <v>46.14</v>
      </c>
      <c r="G45">
        <v>46.42</v>
      </c>
      <c r="H45">
        <v>40.28</v>
      </c>
      <c r="I45">
        <v>40.31</v>
      </c>
      <c r="J45">
        <v>40.340000000000003</v>
      </c>
      <c r="K45">
        <v>43.32</v>
      </c>
      <c r="L45">
        <v>43.34</v>
      </c>
      <c r="M45">
        <v>43.37</v>
      </c>
    </row>
    <row r="46" spans="1:13" x14ac:dyDescent="0.25">
      <c r="A46" s="1">
        <v>39511</v>
      </c>
      <c r="B46">
        <v>41.3</v>
      </c>
      <c r="C46">
        <v>41.92</v>
      </c>
      <c r="D46">
        <v>43.17</v>
      </c>
      <c r="E46">
        <v>44.9</v>
      </c>
      <c r="F46">
        <v>45.17</v>
      </c>
      <c r="G46">
        <v>45.43</v>
      </c>
      <c r="H46">
        <v>39.340000000000003</v>
      </c>
      <c r="I46">
        <v>39.369999999999997</v>
      </c>
      <c r="J46">
        <v>39.4</v>
      </c>
      <c r="K46">
        <v>42.92</v>
      </c>
      <c r="L46">
        <v>42.94</v>
      </c>
      <c r="M46">
        <v>42.97</v>
      </c>
    </row>
    <row r="47" spans="1:13" x14ac:dyDescent="0.25">
      <c r="A47" s="1">
        <v>39512</v>
      </c>
      <c r="B47">
        <v>42.07</v>
      </c>
      <c r="C47">
        <v>42.7</v>
      </c>
      <c r="D47">
        <v>43.98</v>
      </c>
      <c r="E47">
        <v>45.77</v>
      </c>
      <c r="F47">
        <v>46.04</v>
      </c>
      <c r="G47">
        <v>46.32</v>
      </c>
      <c r="H47">
        <v>40.340000000000003</v>
      </c>
      <c r="I47">
        <v>40.369999999999997</v>
      </c>
      <c r="J47">
        <v>40.409999999999997</v>
      </c>
      <c r="K47">
        <v>43.89</v>
      </c>
      <c r="L47">
        <v>43.92</v>
      </c>
      <c r="M47">
        <v>43.94</v>
      </c>
    </row>
    <row r="48" spans="1:13" x14ac:dyDescent="0.25">
      <c r="A48" s="1">
        <v>39513</v>
      </c>
      <c r="B48">
        <v>41.48</v>
      </c>
      <c r="C48">
        <v>42.1</v>
      </c>
      <c r="D48">
        <v>43.37</v>
      </c>
      <c r="E48">
        <v>45.06</v>
      </c>
      <c r="F48">
        <v>45.33</v>
      </c>
      <c r="G48">
        <v>45.6</v>
      </c>
      <c r="H48">
        <v>39.65</v>
      </c>
      <c r="I48">
        <v>39.68</v>
      </c>
      <c r="J48">
        <v>39.71</v>
      </c>
      <c r="K48">
        <v>43.62</v>
      </c>
      <c r="L48">
        <v>43.65</v>
      </c>
      <c r="M48">
        <v>43.67</v>
      </c>
    </row>
    <row r="49" spans="1:13" x14ac:dyDescent="0.25">
      <c r="A49" s="1">
        <v>39514</v>
      </c>
      <c r="B49">
        <v>40.880000000000003</v>
      </c>
      <c r="C49">
        <v>41.49</v>
      </c>
      <c r="D49">
        <v>42.73</v>
      </c>
      <c r="E49">
        <v>44.22</v>
      </c>
      <c r="F49">
        <v>44.48</v>
      </c>
      <c r="G49">
        <v>44.75</v>
      </c>
      <c r="H49">
        <v>39.19</v>
      </c>
      <c r="I49">
        <v>39.22</v>
      </c>
      <c r="J49">
        <v>39.25</v>
      </c>
      <c r="K49">
        <v>42.79</v>
      </c>
      <c r="L49">
        <v>42.82</v>
      </c>
      <c r="M49">
        <v>42.84</v>
      </c>
    </row>
    <row r="50" spans="1:13" x14ac:dyDescent="0.25">
      <c r="A50" s="1">
        <v>39517</v>
      </c>
      <c r="B50">
        <v>41.14</v>
      </c>
      <c r="C50">
        <v>41.76</v>
      </c>
      <c r="D50">
        <v>43.01</v>
      </c>
      <c r="E50">
        <v>43.98</v>
      </c>
      <c r="F50">
        <v>44.25</v>
      </c>
      <c r="G50">
        <v>44.51</v>
      </c>
      <c r="H50">
        <v>39.299999999999997</v>
      </c>
      <c r="I50">
        <v>39.33</v>
      </c>
      <c r="J50">
        <v>39.369999999999997</v>
      </c>
      <c r="K50">
        <v>41.98</v>
      </c>
      <c r="L50">
        <v>42.01</v>
      </c>
      <c r="M50">
        <v>42.03</v>
      </c>
    </row>
    <row r="51" spans="1:13" x14ac:dyDescent="0.25">
      <c r="A51" s="1">
        <v>39518</v>
      </c>
      <c r="B51">
        <v>41.97</v>
      </c>
      <c r="C51">
        <v>42.6</v>
      </c>
      <c r="D51">
        <v>43.88</v>
      </c>
      <c r="E51">
        <v>45.05</v>
      </c>
      <c r="F51">
        <v>45.32</v>
      </c>
      <c r="G51">
        <v>45.59</v>
      </c>
      <c r="H51">
        <v>40.04</v>
      </c>
      <c r="I51">
        <v>40.07</v>
      </c>
      <c r="J51">
        <v>40.1</v>
      </c>
      <c r="K51">
        <v>42.72</v>
      </c>
      <c r="L51">
        <v>42.75</v>
      </c>
      <c r="M51">
        <v>42.78</v>
      </c>
    </row>
    <row r="52" spans="1:13" x14ac:dyDescent="0.25">
      <c r="A52" s="1">
        <v>39519</v>
      </c>
      <c r="B52">
        <v>42.52</v>
      </c>
      <c r="C52">
        <v>43.16</v>
      </c>
      <c r="D52">
        <v>44.46</v>
      </c>
      <c r="E52">
        <v>45.73</v>
      </c>
      <c r="F52">
        <v>46</v>
      </c>
      <c r="G52">
        <v>46.28</v>
      </c>
      <c r="H52">
        <v>40.22</v>
      </c>
      <c r="I52">
        <v>40.26</v>
      </c>
      <c r="J52">
        <v>40.29</v>
      </c>
      <c r="K52">
        <v>42.93</v>
      </c>
      <c r="L52">
        <v>42.95</v>
      </c>
      <c r="M52">
        <v>42.98</v>
      </c>
    </row>
    <row r="53" spans="1:13" x14ac:dyDescent="0.25">
      <c r="A53" s="1">
        <v>39520</v>
      </c>
      <c r="B53">
        <v>41.29</v>
      </c>
      <c r="C53">
        <v>41.91</v>
      </c>
      <c r="D53">
        <v>43.17</v>
      </c>
      <c r="E53">
        <v>44.34</v>
      </c>
      <c r="F53">
        <v>44.61</v>
      </c>
      <c r="G53">
        <v>44.88</v>
      </c>
      <c r="H53">
        <v>39.270000000000003</v>
      </c>
      <c r="I53">
        <v>39.299999999999997</v>
      </c>
      <c r="J53">
        <v>39.340000000000003</v>
      </c>
      <c r="K53">
        <v>42.58</v>
      </c>
      <c r="L53">
        <v>42.61</v>
      </c>
      <c r="M53">
        <v>42.63</v>
      </c>
    </row>
    <row r="54" spans="1:13" x14ac:dyDescent="0.25">
      <c r="A54" s="1">
        <v>39521</v>
      </c>
      <c r="B54">
        <v>40.97</v>
      </c>
      <c r="C54">
        <v>41.59</v>
      </c>
      <c r="D54">
        <v>42.84</v>
      </c>
      <c r="E54">
        <v>44.12</v>
      </c>
      <c r="F54">
        <v>44.38</v>
      </c>
      <c r="G54">
        <v>44.65</v>
      </c>
      <c r="H54">
        <v>39.15</v>
      </c>
      <c r="I54">
        <v>39.19</v>
      </c>
      <c r="J54">
        <v>39.22</v>
      </c>
      <c r="K54">
        <v>42.15</v>
      </c>
      <c r="L54">
        <v>42.18</v>
      </c>
      <c r="M54">
        <v>42.21</v>
      </c>
    </row>
    <row r="55" spans="1:13" x14ac:dyDescent="0.25">
      <c r="A55" s="1">
        <v>39524</v>
      </c>
      <c r="B55">
        <v>39.299999999999997</v>
      </c>
      <c r="C55">
        <v>39.89</v>
      </c>
      <c r="D55">
        <v>41.1</v>
      </c>
      <c r="E55">
        <v>41.65</v>
      </c>
      <c r="F55">
        <v>41.91</v>
      </c>
      <c r="G55">
        <v>42.16</v>
      </c>
      <c r="H55">
        <v>37.58</v>
      </c>
      <c r="I55">
        <v>37.619999999999997</v>
      </c>
      <c r="J55">
        <v>37.65</v>
      </c>
      <c r="K55">
        <v>40.35</v>
      </c>
      <c r="L55">
        <v>40.380000000000003</v>
      </c>
      <c r="M55">
        <v>40.409999999999997</v>
      </c>
    </row>
    <row r="56" spans="1:13" x14ac:dyDescent="0.25">
      <c r="A56" s="1">
        <v>39525</v>
      </c>
      <c r="B56">
        <v>40.57</v>
      </c>
      <c r="C56">
        <v>41.18</v>
      </c>
      <c r="D56">
        <v>42.43</v>
      </c>
      <c r="E56">
        <v>42.77</v>
      </c>
      <c r="F56">
        <v>43.03</v>
      </c>
      <c r="G56">
        <v>43.29</v>
      </c>
      <c r="H56">
        <v>38.6</v>
      </c>
      <c r="I56">
        <v>38.630000000000003</v>
      </c>
      <c r="J56">
        <v>38.67</v>
      </c>
      <c r="K56">
        <v>41.03</v>
      </c>
      <c r="L56">
        <v>41.06</v>
      </c>
      <c r="M56">
        <v>41.09</v>
      </c>
    </row>
    <row r="57" spans="1:13" x14ac:dyDescent="0.25">
      <c r="A57" s="1">
        <v>39526</v>
      </c>
      <c r="B57">
        <v>40.700000000000003</v>
      </c>
      <c r="C57">
        <v>41.32</v>
      </c>
      <c r="D57">
        <v>42.57</v>
      </c>
      <c r="E57">
        <v>42.88</v>
      </c>
      <c r="F57">
        <v>43.14</v>
      </c>
      <c r="G57">
        <v>43.41</v>
      </c>
      <c r="H57">
        <v>38.71</v>
      </c>
      <c r="I57">
        <v>38.75</v>
      </c>
      <c r="J57">
        <v>38.79</v>
      </c>
      <c r="K57">
        <v>40.29</v>
      </c>
      <c r="L57">
        <v>40.32</v>
      </c>
      <c r="M57">
        <v>40.35</v>
      </c>
    </row>
    <row r="58" spans="1:13" x14ac:dyDescent="0.25">
      <c r="A58" s="1">
        <v>39527</v>
      </c>
      <c r="B58">
        <v>40.07</v>
      </c>
      <c r="C58">
        <v>40.68</v>
      </c>
      <c r="D58">
        <v>41.91</v>
      </c>
      <c r="E58">
        <v>42.67</v>
      </c>
      <c r="F58">
        <v>42.93</v>
      </c>
      <c r="G58">
        <v>43.19</v>
      </c>
      <c r="H58">
        <v>38.520000000000003</v>
      </c>
      <c r="I58">
        <v>38.56</v>
      </c>
      <c r="J58">
        <v>38.590000000000003</v>
      </c>
      <c r="K58">
        <v>39.46</v>
      </c>
      <c r="L58">
        <v>39.49</v>
      </c>
      <c r="M58">
        <v>39.520000000000003</v>
      </c>
    </row>
    <row r="59" spans="1:13" x14ac:dyDescent="0.25">
      <c r="A59" s="1">
        <v>39532</v>
      </c>
      <c r="B59">
        <v>41.31</v>
      </c>
      <c r="C59">
        <v>41.94</v>
      </c>
      <c r="D59">
        <v>43.21</v>
      </c>
      <c r="E59">
        <v>43.98</v>
      </c>
      <c r="F59">
        <v>44.25</v>
      </c>
      <c r="G59">
        <v>44.53</v>
      </c>
      <c r="H59">
        <v>39.869999999999997</v>
      </c>
      <c r="I59">
        <v>39.909999999999997</v>
      </c>
      <c r="J59">
        <v>39.950000000000003</v>
      </c>
      <c r="K59">
        <v>40.659999999999997</v>
      </c>
      <c r="L59">
        <v>40.700000000000003</v>
      </c>
      <c r="M59">
        <v>40.729999999999997</v>
      </c>
    </row>
    <row r="60" spans="1:13" x14ac:dyDescent="0.25">
      <c r="A60" s="1">
        <v>39533</v>
      </c>
      <c r="B60">
        <v>41.42</v>
      </c>
      <c r="C60">
        <v>42.05</v>
      </c>
      <c r="D60">
        <v>43.33</v>
      </c>
      <c r="E60">
        <v>43.4</v>
      </c>
      <c r="F60">
        <v>43.67</v>
      </c>
      <c r="G60">
        <v>43.95</v>
      </c>
      <c r="H60">
        <v>39.68</v>
      </c>
      <c r="I60">
        <v>39.72</v>
      </c>
      <c r="J60">
        <v>39.75</v>
      </c>
      <c r="K60">
        <v>41.17</v>
      </c>
      <c r="L60">
        <v>41.21</v>
      </c>
      <c r="M60">
        <v>41.24</v>
      </c>
    </row>
    <row r="61" spans="1:13" x14ac:dyDescent="0.25">
      <c r="A61" s="1">
        <v>39534</v>
      </c>
      <c r="B61">
        <v>42.07</v>
      </c>
      <c r="C61">
        <v>42.71</v>
      </c>
      <c r="D61">
        <v>44</v>
      </c>
      <c r="E61">
        <v>44.15</v>
      </c>
      <c r="F61">
        <v>44.43</v>
      </c>
      <c r="G61">
        <v>44.71</v>
      </c>
      <c r="H61">
        <v>40.17</v>
      </c>
      <c r="I61">
        <v>40.21</v>
      </c>
      <c r="J61">
        <v>40.25</v>
      </c>
      <c r="K61">
        <v>42.29</v>
      </c>
      <c r="L61">
        <v>42.33</v>
      </c>
      <c r="M61">
        <v>42.36</v>
      </c>
    </row>
    <row r="62" spans="1:13" x14ac:dyDescent="0.25">
      <c r="A62" s="1">
        <v>39535</v>
      </c>
      <c r="B62">
        <v>42.03</v>
      </c>
      <c r="C62">
        <v>42.68</v>
      </c>
      <c r="D62">
        <v>43.97</v>
      </c>
      <c r="E62">
        <v>43.97</v>
      </c>
      <c r="F62">
        <v>44.25</v>
      </c>
      <c r="G62">
        <v>44.53</v>
      </c>
      <c r="H62">
        <v>40.18</v>
      </c>
      <c r="I62">
        <v>40.22</v>
      </c>
      <c r="J62">
        <v>40.26</v>
      </c>
      <c r="K62">
        <v>42.49</v>
      </c>
      <c r="L62">
        <v>42.53</v>
      </c>
      <c r="M62">
        <v>42.57</v>
      </c>
    </row>
    <row r="63" spans="1:13" x14ac:dyDescent="0.25">
      <c r="A63" s="1">
        <v>39538</v>
      </c>
      <c r="B63">
        <v>41.69</v>
      </c>
      <c r="C63">
        <v>42.33</v>
      </c>
      <c r="D63">
        <v>43.62</v>
      </c>
      <c r="E63">
        <v>42.98</v>
      </c>
      <c r="F63">
        <v>43.26</v>
      </c>
      <c r="G63">
        <v>43.53</v>
      </c>
      <c r="H63">
        <v>39.6</v>
      </c>
      <c r="I63">
        <v>39.64</v>
      </c>
      <c r="J63">
        <v>39.68</v>
      </c>
      <c r="K63">
        <v>42.35</v>
      </c>
      <c r="L63">
        <v>42.39</v>
      </c>
      <c r="M63">
        <v>42.43</v>
      </c>
    </row>
    <row r="64" spans="1:13" x14ac:dyDescent="0.25">
      <c r="A64" s="1">
        <v>39539</v>
      </c>
      <c r="B64">
        <v>42.45</v>
      </c>
      <c r="C64">
        <v>43.1</v>
      </c>
      <c r="D64">
        <v>44.41</v>
      </c>
      <c r="E64">
        <v>44.04</v>
      </c>
      <c r="F64">
        <v>44.32</v>
      </c>
      <c r="G64">
        <v>44.6</v>
      </c>
      <c r="H64">
        <v>40.58</v>
      </c>
      <c r="I64">
        <v>40.619999999999997</v>
      </c>
      <c r="J64">
        <v>40.659999999999997</v>
      </c>
      <c r="K64">
        <v>43.2</v>
      </c>
      <c r="L64">
        <v>43.24</v>
      </c>
      <c r="M64">
        <v>43.28</v>
      </c>
    </row>
    <row r="65" spans="1:13" x14ac:dyDescent="0.25">
      <c r="A65" s="1">
        <v>39540</v>
      </c>
      <c r="B65">
        <v>42.7</v>
      </c>
      <c r="C65">
        <v>43.36</v>
      </c>
      <c r="D65">
        <v>44.68</v>
      </c>
      <c r="E65">
        <v>44.9</v>
      </c>
      <c r="F65">
        <v>45.19</v>
      </c>
      <c r="G65">
        <v>45.48</v>
      </c>
      <c r="H65">
        <v>41.2</v>
      </c>
      <c r="I65">
        <v>41.24</v>
      </c>
      <c r="J65">
        <v>41.28</v>
      </c>
      <c r="K65">
        <v>42.94</v>
      </c>
      <c r="L65">
        <v>42.98</v>
      </c>
      <c r="M65">
        <v>43.02</v>
      </c>
    </row>
    <row r="66" spans="1:13" x14ac:dyDescent="0.25">
      <c r="A66" s="1">
        <v>39541</v>
      </c>
      <c r="B66">
        <v>42.28</v>
      </c>
      <c r="C66">
        <v>42.93</v>
      </c>
      <c r="D66">
        <v>44.24</v>
      </c>
      <c r="E66">
        <v>44.14</v>
      </c>
      <c r="F66">
        <v>44.42</v>
      </c>
      <c r="G66">
        <v>44.7</v>
      </c>
      <c r="H66">
        <v>40.56</v>
      </c>
      <c r="I66">
        <v>40.6</v>
      </c>
      <c r="J66">
        <v>40.64</v>
      </c>
      <c r="K66">
        <v>43.04</v>
      </c>
      <c r="L66">
        <v>43.08</v>
      </c>
      <c r="M66">
        <v>43.12</v>
      </c>
    </row>
    <row r="67" spans="1:13" x14ac:dyDescent="0.25">
      <c r="A67" s="1">
        <v>39542</v>
      </c>
      <c r="B67">
        <v>42.72</v>
      </c>
      <c r="C67">
        <v>43.38</v>
      </c>
      <c r="D67">
        <v>44.7</v>
      </c>
      <c r="E67">
        <v>44.33</v>
      </c>
      <c r="F67">
        <v>44.61</v>
      </c>
      <c r="G67">
        <v>44.9</v>
      </c>
      <c r="H67">
        <v>40.64</v>
      </c>
      <c r="I67">
        <v>40.68</v>
      </c>
      <c r="J67">
        <v>40.729999999999997</v>
      </c>
      <c r="K67">
        <v>43.57</v>
      </c>
      <c r="L67">
        <v>43.62</v>
      </c>
      <c r="M67">
        <v>43.66</v>
      </c>
    </row>
    <row r="68" spans="1:13" x14ac:dyDescent="0.25">
      <c r="A68" s="1">
        <v>39545</v>
      </c>
      <c r="B68">
        <v>43.05</v>
      </c>
      <c r="C68">
        <v>43.71</v>
      </c>
      <c r="D68">
        <v>45.04</v>
      </c>
      <c r="E68">
        <v>45.11</v>
      </c>
      <c r="F68">
        <v>45.4</v>
      </c>
      <c r="G68">
        <v>45.69</v>
      </c>
      <c r="H68">
        <v>40.9</v>
      </c>
      <c r="I68">
        <v>40.94</v>
      </c>
      <c r="J68">
        <v>40.98</v>
      </c>
      <c r="K68">
        <v>43.99</v>
      </c>
      <c r="L68">
        <v>44.03</v>
      </c>
      <c r="M68">
        <v>44.08</v>
      </c>
    </row>
    <row r="69" spans="1:13" x14ac:dyDescent="0.25">
      <c r="A69" s="1">
        <v>39546</v>
      </c>
      <c r="B69">
        <v>42.74</v>
      </c>
      <c r="C69">
        <v>43.4</v>
      </c>
      <c r="D69">
        <v>44.73</v>
      </c>
      <c r="E69">
        <v>44.73</v>
      </c>
      <c r="F69">
        <v>45.02</v>
      </c>
      <c r="G69">
        <v>45.31</v>
      </c>
      <c r="H69">
        <v>40.53</v>
      </c>
      <c r="I69">
        <v>40.58</v>
      </c>
      <c r="J69">
        <v>40.619999999999997</v>
      </c>
      <c r="K69">
        <v>43.59</v>
      </c>
      <c r="L69">
        <v>43.64</v>
      </c>
      <c r="M69">
        <v>43.68</v>
      </c>
    </row>
    <row r="70" spans="1:13" x14ac:dyDescent="0.25">
      <c r="A70" s="1">
        <v>39547</v>
      </c>
      <c r="B70">
        <v>42.91</v>
      </c>
      <c r="C70">
        <v>43.57</v>
      </c>
      <c r="D70">
        <v>44.9</v>
      </c>
      <c r="E70">
        <v>44.76</v>
      </c>
      <c r="F70">
        <v>45.05</v>
      </c>
      <c r="G70">
        <v>45.34</v>
      </c>
      <c r="H70">
        <v>40.53</v>
      </c>
      <c r="I70">
        <v>40.57</v>
      </c>
      <c r="J70">
        <v>40.61</v>
      </c>
      <c r="K70">
        <v>43.3</v>
      </c>
      <c r="L70">
        <v>43.34</v>
      </c>
      <c r="M70">
        <v>43.39</v>
      </c>
    </row>
    <row r="71" spans="1:13" x14ac:dyDescent="0.25">
      <c r="A71" s="1">
        <v>39548</v>
      </c>
      <c r="B71">
        <v>42.27</v>
      </c>
      <c r="C71">
        <v>42.92</v>
      </c>
      <c r="D71">
        <v>44.23</v>
      </c>
      <c r="E71">
        <v>43.61</v>
      </c>
      <c r="F71">
        <v>43.89</v>
      </c>
      <c r="G71">
        <v>44.17</v>
      </c>
      <c r="H71">
        <v>39.729999999999997</v>
      </c>
      <c r="I71">
        <v>39.770000000000003</v>
      </c>
      <c r="J71">
        <v>39.82</v>
      </c>
      <c r="K71">
        <v>42.99</v>
      </c>
      <c r="L71">
        <v>43.04</v>
      </c>
      <c r="M71">
        <v>43.08</v>
      </c>
    </row>
    <row r="72" spans="1:13" x14ac:dyDescent="0.25">
      <c r="A72" s="1">
        <v>39549</v>
      </c>
      <c r="B72">
        <v>41.55</v>
      </c>
      <c r="C72">
        <v>42.2</v>
      </c>
      <c r="D72">
        <v>43.49</v>
      </c>
      <c r="E72">
        <v>42.91</v>
      </c>
      <c r="F72">
        <v>43.19</v>
      </c>
      <c r="G72">
        <v>43.47</v>
      </c>
      <c r="H72">
        <v>38.979999999999997</v>
      </c>
      <c r="I72">
        <v>39.03</v>
      </c>
      <c r="J72">
        <v>39.07</v>
      </c>
      <c r="K72">
        <v>42.51</v>
      </c>
      <c r="L72">
        <v>42.56</v>
      </c>
      <c r="M72">
        <v>42.6</v>
      </c>
    </row>
    <row r="73" spans="1:13" x14ac:dyDescent="0.25">
      <c r="A73" s="1">
        <v>39552</v>
      </c>
      <c r="B73">
        <v>41.12</v>
      </c>
      <c r="C73">
        <v>41.76</v>
      </c>
      <c r="D73">
        <v>43.03</v>
      </c>
      <c r="E73">
        <v>42.57</v>
      </c>
      <c r="F73">
        <v>42.84</v>
      </c>
      <c r="G73">
        <v>43.12</v>
      </c>
      <c r="H73">
        <v>38.85</v>
      </c>
      <c r="I73">
        <v>38.89</v>
      </c>
      <c r="J73">
        <v>38.94</v>
      </c>
      <c r="K73">
        <v>42.36</v>
      </c>
      <c r="L73">
        <v>42.41</v>
      </c>
      <c r="M73">
        <v>42.46</v>
      </c>
    </row>
    <row r="74" spans="1:13" x14ac:dyDescent="0.25">
      <c r="A74" s="1">
        <v>39553</v>
      </c>
      <c r="B74">
        <v>41.25</v>
      </c>
      <c r="C74">
        <v>41.89</v>
      </c>
      <c r="D74">
        <v>43.17</v>
      </c>
      <c r="E74">
        <v>42.63</v>
      </c>
      <c r="F74">
        <v>42.91</v>
      </c>
      <c r="G74">
        <v>43.19</v>
      </c>
      <c r="H74">
        <v>38.770000000000003</v>
      </c>
      <c r="I74">
        <v>38.81</v>
      </c>
      <c r="J74">
        <v>38.85</v>
      </c>
      <c r="K74">
        <v>42.53</v>
      </c>
      <c r="L74">
        <v>42.58</v>
      </c>
      <c r="M74">
        <v>42.63</v>
      </c>
    </row>
    <row r="75" spans="1:13" x14ac:dyDescent="0.25">
      <c r="A75" s="1">
        <v>39554</v>
      </c>
      <c r="B75">
        <v>41.43</v>
      </c>
      <c r="C75">
        <v>42.07</v>
      </c>
      <c r="D75">
        <v>43.36</v>
      </c>
      <c r="E75">
        <v>42.94</v>
      </c>
      <c r="F75">
        <v>43.22</v>
      </c>
      <c r="G75">
        <v>43.51</v>
      </c>
      <c r="H75">
        <v>39.26</v>
      </c>
      <c r="I75">
        <v>39.31</v>
      </c>
      <c r="J75">
        <v>39.35</v>
      </c>
      <c r="K75">
        <v>43.37</v>
      </c>
      <c r="L75">
        <v>43.42</v>
      </c>
      <c r="M75">
        <v>43.47</v>
      </c>
    </row>
    <row r="76" spans="1:13" x14ac:dyDescent="0.25">
      <c r="A76" s="1">
        <v>39555</v>
      </c>
      <c r="B76">
        <v>41.35</v>
      </c>
      <c r="C76">
        <v>42</v>
      </c>
      <c r="D76">
        <v>43.28</v>
      </c>
      <c r="E76">
        <v>42.94</v>
      </c>
      <c r="F76">
        <v>43.22</v>
      </c>
      <c r="G76">
        <v>43.51</v>
      </c>
      <c r="H76">
        <v>39.39</v>
      </c>
      <c r="I76">
        <v>39.43</v>
      </c>
      <c r="J76">
        <v>39.479999999999997</v>
      </c>
      <c r="K76">
        <v>43.31</v>
      </c>
      <c r="L76">
        <v>43.36</v>
      </c>
      <c r="M76">
        <v>43.41</v>
      </c>
    </row>
    <row r="77" spans="1:13" x14ac:dyDescent="0.25">
      <c r="A77" s="1">
        <v>39556</v>
      </c>
      <c r="B77">
        <v>41.88</v>
      </c>
      <c r="C77">
        <v>42.53</v>
      </c>
      <c r="D77">
        <v>43.83</v>
      </c>
      <c r="E77">
        <v>43.65</v>
      </c>
      <c r="F77">
        <v>43.93</v>
      </c>
      <c r="G77">
        <v>44.22</v>
      </c>
      <c r="H77">
        <v>39.869999999999997</v>
      </c>
      <c r="I77">
        <v>39.92</v>
      </c>
      <c r="J77">
        <v>39.96</v>
      </c>
      <c r="K77">
        <v>43.99</v>
      </c>
      <c r="L77">
        <v>44.04</v>
      </c>
      <c r="M77">
        <v>44.09</v>
      </c>
    </row>
    <row r="78" spans="1:13" x14ac:dyDescent="0.25">
      <c r="A78" s="1">
        <v>39559</v>
      </c>
      <c r="B78">
        <v>41.61</v>
      </c>
      <c r="C78">
        <v>42.25</v>
      </c>
      <c r="D78">
        <v>43.55</v>
      </c>
      <c r="E78">
        <v>43.29</v>
      </c>
      <c r="F78">
        <v>43.57</v>
      </c>
      <c r="G78">
        <v>43.86</v>
      </c>
      <c r="H78">
        <v>39.36</v>
      </c>
      <c r="I78">
        <v>39.409999999999997</v>
      </c>
      <c r="J78">
        <v>39.450000000000003</v>
      </c>
      <c r="K78">
        <v>43.82</v>
      </c>
      <c r="L78">
        <v>43.87</v>
      </c>
      <c r="M78">
        <v>43.92</v>
      </c>
    </row>
    <row r="79" spans="1:13" x14ac:dyDescent="0.25">
      <c r="A79" s="1">
        <v>39560</v>
      </c>
      <c r="B79">
        <v>41.11</v>
      </c>
      <c r="C79">
        <v>41.75</v>
      </c>
      <c r="D79">
        <v>43.04</v>
      </c>
      <c r="E79">
        <v>42.97</v>
      </c>
      <c r="F79">
        <v>43.25</v>
      </c>
      <c r="G79">
        <v>43.54</v>
      </c>
      <c r="H79">
        <v>39</v>
      </c>
      <c r="I79">
        <v>39.04</v>
      </c>
      <c r="J79">
        <v>39.090000000000003</v>
      </c>
      <c r="K79">
        <v>43.84</v>
      </c>
      <c r="L79">
        <v>43.9</v>
      </c>
      <c r="M79">
        <v>43.95</v>
      </c>
    </row>
    <row r="80" spans="1:13" x14ac:dyDescent="0.25">
      <c r="A80" s="1">
        <v>39561</v>
      </c>
      <c r="B80">
        <v>40.97</v>
      </c>
      <c r="C80">
        <v>41.61</v>
      </c>
      <c r="D80">
        <v>42.89</v>
      </c>
      <c r="E80">
        <v>43</v>
      </c>
      <c r="F80">
        <v>43.28</v>
      </c>
      <c r="G80">
        <v>43.57</v>
      </c>
      <c r="H80">
        <v>38.97</v>
      </c>
      <c r="I80">
        <v>39.01</v>
      </c>
      <c r="J80">
        <v>39.06</v>
      </c>
      <c r="K80">
        <v>44.35</v>
      </c>
      <c r="L80">
        <v>44.41</v>
      </c>
      <c r="M80">
        <v>44.46</v>
      </c>
    </row>
    <row r="81" spans="1:13" x14ac:dyDescent="0.25">
      <c r="A81" s="1">
        <v>39562</v>
      </c>
      <c r="B81">
        <v>41.43</v>
      </c>
      <c r="C81">
        <v>42.08</v>
      </c>
      <c r="D81">
        <v>43.37</v>
      </c>
      <c r="E81">
        <v>43.34</v>
      </c>
      <c r="F81">
        <v>43.63</v>
      </c>
      <c r="G81">
        <v>43.92</v>
      </c>
      <c r="H81">
        <v>39.14</v>
      </c>
      <c r="I81">
        <v>39.19</v>
      </c>
      <c r="J81">
        <v>39.229999999999997</v>
      </c>
      <c r="K81">
        <v>44.7</v>
      </c>
      <c r="L81">
        <v>44.76</v>
      </c>
      <c r="M81">
        <v>44.82</v>
      </c>
    </row>
    <row r="82" spans="1:13" x14ac:dyDescent="0.25">
      <c r="A82" s="1">
        <v>39563</v>
      </c>
      <c r="B82">
        <v>41.87</v>
      </c>
      <c r="C82">
        <v>42.52</v>
      </c>
      <c r="D82">
        <v>43.83</v>
      </c>
      <c r="E82">
        <v>44.07</v>
      </c>
      <c r="F82">
        <v>44.36</v>
      </c>
      <c r="G82">
        <v>44.65</v>
      </c>
      <c r="H82">
        <v>39.869999999999997</v>
      </c>
      <c r="I82">
        <v>39.909999999999997</v>
      </c>
      <c r="J82">
        <v>39.96</v>
      </c>
      <c r="K82">
        <v>45.26</v>
      </c>
      <c r="L82">
        <v>45.32</v>
      </c>
      <c r="M82">
        <v>45.38</v>
      </c>
    </row>
    <row r="83" spans="1:13" x14ac:dyDescent="0.25">
      <c r="A83" s="1">
        <v>39566</v>
      </c>
      <c r="B83">
        <v>42.27</v>
      </c>
      <c r="C83">
        <v>42.94</v>
      </c>
      <c r="D83">
        <v>44.26</v>
      </c>
      <c r="E83">
        <v>44.71</v>
      </c>
      <c r="F83">
        <v>45.01</v>
      </c>
      <c r="G83">
        <v>45.31</v>
      </c>
      <c r="H83">
        <v>40.57</v>
      </c>
      <c r="I83">
        <v>40.619999999999997</v>
      </c>
      <c r="J83">
        <v>40.659999999999997</v>
      </c>
      <c r="K83">
        <v>45.57</v>
      </c>
      <c r="L83">
        <v>45.63</v>
      </c>
      <c r="M83">
        <v>45.69</v>
      </c>
    </row>
    <row r="84" spans="1:13" x14ac:dyDescent="0.25">
      <c r="A84" s="1">
        <v>39567</v>
      </c>
      <c r="B84">
        <v>41.91</v>
      </c>
      <c r="C84">
        <v>42.57</v>
      </c>
      <c r="D84">
        <v>43.88</v>
      </c>
      <c r="E84">
        <v>44.67</v>
      </c>
      <c r="F84">
        <v>44.97</v>
      </c>
      <c r="G84">
        <v>45.27</v>
      </c>
      <c r="H84">
        <v>40.33</v>
      </c>
      <c r="I84">
        <v>40.380000000000003</v>
      </c>
      <c r="J84">
        <v>40.43</v>
      </c>
      <c r="K84">
        <v>45.05</v>
      </c>
      <c r="L84">
        <v>45.12</v>
      </c>
      <c r="M84">
        <v>45.17</v>
      </c>
    </row>
    <row r="85" spans="1:13" x14ac:dyDescent="0.25">
      <c r="A85" s="1">
        <v>39568</v>
      </c>
      <c r="B85">
        <v>42.33</v>
      </c>
      <c r="C85">
        <v>43</v>
      </c>
      <c r="D85">
        <v>44.32</v>
      </c>
      <c r="E85">
        <v>45.39</v>
      </c>
      <c r="F85">
        <v>45.69</v>
      </c>
      <c r="G85">
        <v>46</v>
      </c>
      <c r="H85">
        <v>40.94</v>
      </c>
      <c r="I85">
        <v>40.99</v>
      </c>
      <c r="J85">
        <v>41.03</v>
      </c>
      <c r="K85">
        <v>45.5</v>
      </c>
      <c r="L85">
        <v>45.56</v>
      </c>
      <c r="M85">
        <v>45.62</v>
      </c>
    </row>
    <row r="86" spans="1:13" x14ac:dyDescent="0.25">
      <c r="A86" s="1">
        <v>39573</v>
      </c>
      <c r="B86">
        <v>43.02</v>
      </c>
      <c r="C86">
        <v>43.7</v>
      </c>
      <c r="D86">
        <v>45.05</v>
      </c>
      <c r="E86">
        <v>46.23</v>
      </c>
      <c r="F86">
        <v>46.55</v>
      </c>
      <c r="G86">
        <v>46.86</v>
      </c>
      <c r="H86">
        <v>41.78</v>
      </c>
      <c r="I86">
        <v>41.83</v>
      </c>
      <c r="J86">
        <v>41.88</v>
      </c>
      <c r="K86">
        <v>45.74</v>
      </c>
      <c r="L86">
        <v>45.81</v>
      </c>
      <c r="M86">
        <v>45.87</v>
      </c>
    </row>
    <row r="87" spans="1:13" x14ac:dyDescent="0.25">
      <c r="A87" s="1">
        <v>39574</v>
      </c>
      <c r="B87">
        <v>42.98</v>
      </c>
      <c r="C87">
        <v>43.66</v>
      </c>
      <c r="D87">
        <v>45.01</v>
      </c>
      <c r="E87">
        <v>46.03</v>
      </c>
      <c r="F87">
        <v>46.34</v>
      </c>
      <c r="G87">
        <v>46.65</v>
      </c>
      <c r="H87">
        <v>41.35</v>
      </c>
      <c r="I87">
        <v>41.4</v>
      </c>
      <c r="J87">
        <v>41.45</v>
      </c>
      <c r="K87">
        <v>45.59</v>
      </c>
      <c r="L87">
        <v>45.66</v>
      </c>
      <c r="M87">
        <v>45.72</v>
      </c>
    </row>
    <row r="88" spans="1:13" x14ac:dyDescent="0.25">
      <c r="A88" s="1">
        <v>39575</v>
      </c>
      <c r="B88">
        <v>43.51</v>
      </c>
      <c r="C88">
        <v>44.2</v>
      </c>
      <c r="D88">
        <v>45.57</v>
      </c>
      <c r="E88">
        <v>46.66</v>
      </c>
      <c r="F88">
        <v>46.98</v>
      </c>
      <c r="G88">
        <v>47.3</v>
      </c>
      <c r="H88">
        <v>42.19</v>
      </c>
      <c r="I88">
        <v>42.24</v>
      </c>
      <c r="J88">
        <v>42.29</v>
      </c>
      <c r="K88">
        <v>45.99</v>
      </c>
      <c r="L88">
        <v>46.05</v>
      </c>
      <c r="M88">
        <v>46.12</v>
      </c>
    </row>
    <row r="89" spans="1:13" x14ac:dyDescent="0.25">
      <c r="A89" s="1">
        <v>39576</v>
      </c>
      <c r="B89">
        <v>42.98</v>
      </c>
      <c r="C89">
        <v>43.66</v>
      </c>
      <c r="D89">
        <v>45.01</v>
      </c>
      <c r="E89">
        <v>45.75</v>
      </c>
      <c r="F89">
        <v>46.06</v>
      </c>
      <c r="G89">
        <v>46.38</v>
      </c>
      <c r="H89">
        <v>41.31</v>
      </c>
      <c r="I89">
        <v>41.37</v>
      </c>
      <c r="J89">
        <v>41.42</v>
      </c>
      <c r="K89">
        <v>46.52</v>
      </c>
      <c r="L89">
        <v>46.59</v>
      </c>
      <c r="M89">
        <v>46.65</v>
      </c>
    </row>
    <row r="90" spans="1:13" x14ac:dyDescent="0.25">
      <c r="A90" s="1">
        <v>39577</v>
      </c>
      <c r="B90">
        <v>42.66</v>
      </c>
      <c r="C90">
        <v>43.33</v>
      </c>
      <c r="D90">
        <v>44.67</v>
      </c>
      <c r="E90">
        <v>45.23</v>
      </c>
      <c r="F90">
        <v>45.54</v>
      </c>
      <c r="G90">
        <v>45.85</v>
      </c>
      <c r="H90">
        <v>40.97</v>
      </c>
      <c r="I90">
        <v>41.02</v>
      </c>
      <c r="J90">
        <v>41.07</v>
      </c>
      <c r="K90">
        <v>46.27</v>
      </c>
      <c r="L90">
        <v>46.34</v>
      </c>
      <c r="M90">
        <v>46.41</v>
      </c>
    </row>
    <row r="91" spans="1:13" x14ac:dyDescent="0.25">
      <c r="A91" s="1">
        <v>39580</v>
      </c>
      <c r="B91">
        <v>42.78</v>
      </c>
      <c r="C91">
        <v>43.46</v>
      </c>
      <c r="D91">
        <v>44.81</v>
      </c>
      <c r="E91">
        <v>45.13</v>
      </c>
      <c r="F91">
        <v>45.45</v>
      </c>
      <c r="G91">
        <v>45.76</v>
      </c>
      <c r="H91">
        <v>40.85</v>
      </c>
      <c r="I91">
        <v>40.9</v>
      </c>
      <c r="J91">
        <v>40.950000000000003</v>
      </c>
      <c r="K91">
        <v>46.2</v>
      </c>
      <c r="L91">
        <v>46.27</v>
      </c>
      <c r="M91">
        <v>46.34</v>
      </c>
    </row>
    <row r="92" spans="1:13" x14ac:dyDescent="0.25">
      <c r="A92" s="1">
        <v>39581</v>
      </c>
      <c r="B92">
        <v>42.88</v>
      </c>
      <c r="C92">
        <v>43.56</v>
      </c>
      <c r="D92">
        <v>44.91</v>
      </c>
      <c r="E92">
        <v>45.37</v>
      </c>
      <c r="F92">
        <v>45.69</v>
      </c>
      <c r="G92">
        <v>46</v>
      </c>
      <c r="H92">
        <v>41.08</v>
      </c>
      <c r="I92">
        <v>41.13</v>
      </c>
      <c r="J92">
        <v>41.19</v>
      </c>
      <c r="K92">
        <v>46.6</v>
      </c>
      <c r="L92">
        <v>46.67</v>
      </c>
      <c r="M92">
        <v>46.74</v>
      </c>
    </row>
    <row r="93" spans="1:13" x14ac:dyDescent="0.25">
      <c r="A93" s="1">
        <v>39582</v>
      </c>
      <c r="B93">
        <v>43.41</v>
      </c>
      <c r="C93">
        <v>44.1</v>
      </c>
      <c r="D93">
        <v>45.46</v>
      </c>
      <c r="E93">
        <v>45.93</v>
      </c>
      <c r="F93">
        <v>46.25</v>
      </c>
      <c r="G93">
        <v>46.57</v>
      </c>
      <c r="H93">
        <v>41.55</v>
      </c>
      <c r="I93">
        <v>41.61</v>
      </c>
      <c r="J93">
        <v>41.66</v>
      </c>
      <c r="K93">
        <v>47.13</v>
      </c>
      <c r="L93">
        <v>47.2</v>
      </c>
      <c r="M93">
        <v>47.27</v>
      </c>
    </row>
    <row r="94" spans="1:13" x14ac:dyDescent="0.25">
      <c r="A94" s="1">
        <v>39583</v>
      </c>
      <c r="B94">
        <v>43.07</v>
      </c>
      <c r="C94">
        <v>43.75</v>
      </c>
      <c r="D94">
        <v>45.11</v>
      </c>
      <c r="E94">
        <v>45.98</v>
      </c>
      <c r="F94">
        <v>46.29</v>
      </c>
      <c r="G94">
        <v>46.62</v>
      </c>
      <c r="H94">
        <v>41.35</v>
      </c>
      <c r="I94">
        <v>41.4</v>
      </c>
      <c r="J94">
        <v>41.46</v>
      </c>
      <c r="K94">
        <v>47.65</v>
      </c>
      <c r="L94">
        <v>47.72</v>
      </c>
      <c r="M94">
        <v>47.79</v>
      </c>
    </row>
    <row r="95" spans="1:13" x14ac:dyDescent="0.25">
      <c r="A95" s="1">
        <v>39584</v>
      </c>
      <c r="B95">
        <v>43.41</v>
      </c>
      <c r="C95">
        <v>44.11</v>
      </c>
      <c r="D95">
        <v>45.48</v>
      </c>
      <c r="E95">
        <v>46.76</v>
      </c>
      <c r="F95">
        <v>47.09</v>
      </c>
      <c r="G95">
        <v>47.41</v>
      </c>
      <c r="H95">
        <v>41.66</v>
      </c>
      <c r="I95">
        <v>41.71</v>
      </c>
      <c r="J95">
        <v>41.76</v>
      </c>
      <c r="K95">
        <v>48.35</v>
      </c>
      <c r="L95">
        <v>48.42</v>
      </c>
      <c r="M95">
        <v>48.5</v>
      </c>
    </row>
    <row r="96" spans="1:13" x14ac:dyDescent="0.25">
      <c r="A96" s="1">
        <v>39587</v>
      </c>
      <c r="B96">
        <v>43.25</v>
      </c>
      <c r="C96">
        <v>43.95</v>
      </c>
      <c r="D96">
        <v>45.31</v>
      </c>
      <c r="E96">
        <v>46.91</v>
      </c>
      <c r="F96">
        <v>47.24</v>
      </c>
      <c r="G96">
        <v>47.57</v>
      </c>
      <c r="H96">
        <v>41.69</v>
      </c>
      <c r="I96">
        <v>41.75</v>
      </c>
      <c r="J96">
        <v>41.81</v>
      </c>
      <c r="K96">
        <v>48.87</v>
      </c>
      <c r="L96">
        <v>48.95</v>
      </c>
      <c r="M96">
        <v>49.02</v>
      </c>
    </row>
    <row r="97" spans="1:13" x14ac:dyDescent="0.25">
      <c r="A97" s="1">
        <v>39588</v>
      </c>
      <c r="B97">
        <v>42.64</v>
      </c>
      <c r="C97">
        <v>43.33</v>
      </c>
      <c r="D97">
        <v>44.68</v>
      </c>
      <c r="E97">
        <v>46.09</v>
      </c>
      <c r="F97">
        <v>46.41</v>
      </c>
      <c r="G97">
        <v>46.74</v>
      </c>
      <c r="H97">
        <v>41.02</v>
      </c>
      <c r="I97">
        <v>41.08</v>
      </c>
      <c r="J97">
        <v>41.13</v>
      </c>
      <c r="K97">
        <v>48.37</v>
      </c>
      <c r="L97">
        <v>48.45</v>
      </c>
      <c r="M97">
        <v>48.53</v>
      </c>
    </row>
    <row r="98" spans="1:13" x14ac:dyDescent="0.25">
      <c r="A98" s="1">
        <v>39589</v>
      </c>
      <c r="B98">
        <v>42.7</v>
      </c>
      <c r="C98">
        <v>43.39</v>
      </c>
      <c r="D98">
        <v>44.74</v>
      </c>
      <c r="E98">
        <v>45.8</v>
      </c>
      <c r="F98">
        <v>46.12</v>
      </c>
      <c r="G98">
        <v>46.45</v>
      </c>
      <c r="H98">
        <v>40.49</v>
      </c>
      <c r="I98">
        <v>40.549999999999997</v>
      </c>
      <c r="J98">
        <v>40.6</v>
      </c>
      <c r="K98">
        <v>48.87</v>
      </c>
      <c r="L98">
        <v>48.95</v>
      </c>
      <c r="M98">
        <v>49.03</v>
      </c>
    </row>
    <row r="99" spans="1:13" x14ac:dyDescent="0.25">
      <c r="A99" s="1">
        <v>39591</v>
      </c>
      <c r="B99">
        <v>42.32</v>
      </c>
      <c r="C99">
        <v>43</v>
      </c>
      <c r="D99">
        <v>44.34</v>
      </c>
      <c r="E99">
        <v>45.4</v>
      </c>
      <c r="F99">
        <v>45.72</v>
      </c>
      <c r="G99">
        <v>46.04</v>
      </c>
      <c r="H99">
        <v>40.06</v>
      </c>
      <c r="I99">
        <v>40.11</v>
      </c>
      <c r="J99">
        <v>40.159999999999997</v>
      </c>
      <c r="K99">
        <v>48.44</v>
      </c>
      <c r="L99">
        <v>48.52</v>
      </c>
      <c r="M99">
        <v>48.6</v>
      </c>
    </row>
    <row r="100" spans="1:13" x14ac:dyDescent="0.25">
      <c r="A100" s="1">
        <v>39594</v>
      </c>
      <c r="B100">
        <v>42.09</v>
      </c>
      <c r="C100">
        <v>42.77</v>
      </c>
      <c r="D100">
        <v>44.1</v>
      </c>
      <c r="E100">
        <v>45.22</v>
      </c>
      <c r="F100">
        <v>45.54</v>
      </c>
      <c r="G100">
        <v>45.86</v>
      </c>
      <c r="H100">
        <v>40.07</v>
      </c>
      <c r="I100">
        <v>40.130000000000003</v>
      </c>
      <c r="J100">
        <v>40.18</v>
      </c>
      <c r="K100">
        <v>48.22</v>
      </c>
      <c r="L100">
        <v>48.31</v>
      </c>
      <c r="M100">
        <v>48.39</v>
      </c>
    </row>
    <row r="101" spans="1:13" x14ac:dyDescent="0.25">
      <c r="A101" s="1">
        <v>39595</v>
      </c>
      <c r="B101">
        <v>42.19</v>
      </c>
      <c r="C101">
        <v>42.87</v>
      </c>
      <c r="D101">
        <v>44.21</v>
      </c>
      <c r="E101">
        <v>45.37</v>
      </c>
      <c r="F101">
        <v>45.7</v>
      </c>
      <c r="G101">
        <v>46.02</v>
      </c>
      <c r="H101">
        <v>40.270000000000003</v>
      </c>
      <c r="I101">
        <v>40.33</v>
      </c>
      <c r="J101">
        <v>40.39</v>
      </c>
      <c r="K101">
        <v>47.78</v>
      </c>
      <c r="L101">
        <v>47.86</v>
      </c>
      <c r="M101">
        <v>47.94</v>
      </c>
    </row>
    <row r="102" spans="1:13" x14ac:dyDescent="0.25">
      <c r="A102" s="1">
        <v>39596</v>
      </c>
      <c r="B102">
        <v>42.54</v>
      </c>
      <c r="C102">
        <v>43.23</v>
      </c>
      <c r="D102">
        <v>44.57</v>
      </c>
      <c r="E102">
        <v>45.88</v>
      </c>
      <c r="F102">
        <v>46.2</v>
      </c>
      <c r="G102">
        <v>46.53</v>
      </c>
      <c r="H102">
        <v>40.950000000000003</v>
      </c>
      <c r="I102">
        <v>41</v>
      </c>
      <c r="J102">
        <v>41.06</v>
      </c>
      <c r="K102">
        <v>48.07</v>
      </c>
      <c r="L102">
        <v>48.15</v>
      </c>
      <c r="M102">
        <v>48.23</v>
      </c>
    </row>
    <row r="103" spans="1:13" x14ac:dyDescent="0.25">
      <c r="A103" s="1">
        <v>39597</v>
      </c>
      <c r="B103">
        <v>42.22</v>
      </c>
      <c r="C103">
        <v>42.9</v>
      </c>
      <c r="D103">
        <v>44.24</v>
      </c>
      <c r="E103">
        <v>45.88</v>
      </c>
      <c r="F103">
        <v>46.2</v>
      </c>
      <c r="G103">
        <v>46.53</v>
      </c>
      <c r="H103">
        <v>40.69</v>
      </c>
      <c r="I103">
        <v>40.74</v>
      </c>
      <c r="J103">
        <v>40.799999999999997</v>
      </c>
      <c r="K103">
        <v>47.62</v>
      </c>
      <c r="L103">
        <v>47.7</v>
      </c>
      <c r="M103">
        <v>47.78</v>
      </c>
    </row>
    <row r="104" spans="1:13" x14ac:dyDescent="0.25">
      <c r="A104" s="1">
        <v>39598</v>
      </c>
      <c r="B104">
        <v>42.51</v>
      </c>
      <c r="C104">
        <v>43.19</v>
      </c>
      <c r="D104">
        <v>44.54</v>
      </c>
      <c r="E104">
        <v>46.08</v>
      </c>
      <c r="F104">
        <v>46.41</v>
      </c>
      <c r="G104">
        <v>46.74</v>
      </c>
      <c r="H104">
        <v>40.770000000000003</v>
      </c>
      <c r="I104">
        <v>40.83</v>
      </c>
      <c r="J104">
        <v>40.89</v>
      </c>
      <c r="K104">
        <v>48.21</v>
      </c>
      <c r="L104">
        <v>48.3</v>
      </c>
      <c r="M104">
        <v>48.38</v>
      </c>
    </row>
    <row r="105" spans="1:13" x14ac:dyDescent="0.25">
      <c r="A105" s="1">
        <v>39601</v>
      </c>
      <c r="B105">
        <v>42.32</v>
      </c>
      <c r="C105">
        <v>43</v>
      </c>
      <c r="D105">
        <v>44.35</v>
      </c>
      <c r="E105">
        <v>45.79</v>
      </c>
      <c r="F105">
        <v>46.12</v>
      </c>
      <c r="G105">
        <v>46.45</v>
      </c>
      <c r="H105">
        <v>40.65</v>
      </c>
      <c r="I105">
        <v>40.71</v>
      </c>
      <c r="J105">
        <v>40.770000000000003</v>
      </c>
      <c r="K105">
        <v>48.04</v>
      </c>
      <c r="L105">
        <v>48.12</v>
      </c>
      <c r="M105">
        <v>48.21</v>
      </c>
    </row>
    <row r="106" spans="1:13" x14ac:dyDescent="0.25">
      <c r="A106" s="1">
        <v>39602</v>
      </c>
      <c r="B106">
        <v>42.29</v>
      </c>
      <c r="C106">
        <v>42.98</v>
      </c>
      <c r="D106">
        <v>44.32</v>
      </c>
      <c r="E106">
        <v>45.64</v>
      </c>
      <c r="F106">
        <v>45.97</v>
      </c>
      <c r="G106">
        <v>46.3</v>
      </c>
      <c r="H106">
        <v>40.58</v>
      </c>
      <c r="I106">
        <v>40.64</v>
      </c>
      <c r="J106">
        <v>40.700000000000003</v>
      </c>
      <c r="K106">
        <v>47.97</v>
      </c>
      <c r="L106">
        <v>48.05</v>
      </c>
      <c r="M106">
        <v>48.14</v>
      </c>
    </row>
    <row r="107" spans="1:13" x14ac:dyDescent="0.25">
      <c r="A107" s="1">
        <v>39603</v>
      </c>
      <c r="B107">
        <v>41.73</v>
      </c>
      <c r="C107">
        <v>42.4</v>
      </c>
      <c r="D107">
        <v>43.73</v>
      </c>
      <c r="E107">
        <v>44.99</v>
      </c>
      <c r="F107">
        <v>45.31</v>
      </c>
      <c r="G107">
        <v>45.64</v>
      </c>
      <c r="H107">
        <v>40.1</v>
      </c>
      <c r="I107">
        <v>40.159999999999997</v>
      </c>
      <c r="J107">
        <v>40.21</v>
      </c>
      <c r="K107">
        <v>47.26</v>
      </c>
      <c r="L107">
        <v>47.35</v>
      </c>
      <c r="M107">
        <v>47.43</v>
      </c>
    </row>
    <row r="108" spans="1:13" x14ac:dyDescent="0.25">
      <c r="A108" s="1">
        <v>39604</v>
      </c>
      <c r="B108">
        <v>41.73</v>
      </c>
      <c r="C108">
        <v>42.41</v>
      </c>
      <c r="D108">
        <v>43.74</v>
      </c>
      <c r="E108">
        <v>45.17</v>
      </c>
      <c r="F108">
        <v>45.5</v>
      </c>
      <c r="G108">
        <v>45.83</v>
      </c>
      <c r="H108">
        <v>40.130000000000003</v>
      </c>
      <c r="I108">
        <v>40.19</v>
      </c>
      <c r="J108">
        <v>40.25</v>
      </c>
      <c r="K108">
        <v>47.56</v>
      </c>
      <c r="L108">
        <v>47.65</v>
      </c>
      <c r="M108">
        <v>47.73</v>
      </c>
    </row>
    <row r="109" spans="1:13" x14ac:dyDescent="0.25">
      <c r="A109" s="1">
        <v>39605</v>
      </c>
      <c r="B109">
        <v>41.38</v>
      </c>
      <c r="C109">
        <v>42.05</v>
      </c>
      <c r="D109">
        <v>43.37</v>
      </c>
      <c r="E109">
        <v>44.76</v>
      </c>
      <c r="F109">
        <v>45.09</v>
      </c>
      <c r="G109">
        <v>45.41</v>
      </c>
      <c r="H109">
        <v>39.630000000000003</v>
      </c>
      <c r="I109">
        <v>39.68</v>
      </c>
      <c r="J109">
        <v>39.74</v>
      </c>
      <c r="K109">
        <v>47.35</v>
      </c>
      <c r="L109">
        <v>47.44</v>
      </c>
      <c r="M109">
        <v>47.52</v>
      </c>
    </row>
    <row r="110" spans="1:13" x14ac:dyDescent="0.25">
      <c r="A110" s="1">
        <v>39608</v>
      </c>
      <c r="B110">
        <v>40.9</v>
      </c>
      <c r="C110">
        <v>41.57</v>
      </c>
      <c r="D110">
        <v>42.87</v>
      </c>
      <c r="E110">
        <v>44.21</v>
      </c>
      <c r="F110">
        <v>44.53</v>
      </c>
      <c r="G110">
        <v>44.86</v>
      </c>
      <c r="H110">
        <v>38.86</v>
      </c>
      <c r="I110">
        <v>38.92</v>
      </c>
      <c r="J110">
        <v>38.97</v>
      </c>
      <c r="K110">
        <v>47.45</v>
      </c>
      <c r="L110">
        <v>47.54</v>
      </c>
      <c r="M110">
        <v>47.63</v>
      </c>
    </row>
    <row r="111" spans="1:13" x14ac:dyDescent="0.25">
      <c r="A111" s="1">
        <v>39609</v>
      </c>
      <c r="B111">
        <v>39.950000000000003</v>
      </c>
      <c r="C111">
        <v>40.6</v>
      </c>
      <c r="D111">
        <v>41.87</v>
      </c>
      <c r="E111">
        <v>43.44</v>
      </c>
      <c r="F111">
        <v>43.76</v>
      </c>
      <c r="G111">
        <v>44.08</v>
      </c>
      <c r="H111">
        <v>38.06</v>
      </c>
      <c r="I111">
        <v>38.11</v>
      </c>
      <c r="J111">
        <v>38.17</v>
      </c>
      <c r="K111">
        <v>46.26</v>
      </c>
      <c r="L111">
        <v>46.35</v>
      </c>
      <c r="M111">
        <v>46.43</v>
      </c>
    </row>
    <row r="112" spans="1:13" x14ac:dyDescent="0.25">
      <c r="A112" s="1">
        <v>39610</v>
      </c>
      <c r="B112">
        <v>39.31</v>
      </c>
      <c r="C112">
        <v>39.950000000000003</v>
      </c>
      <c r="D112">
        <v>41.21</v>
      </c>
      <c r="E112">
        <v>42.87</v>
      </c>
      <c r="F112">
        <v>43.18</v>
      </c>
      <c r="G112">
        <v>43.49</v>
      </c>
      <c r="H112">
        <v>37.479999999999997</v>
      </c>
      <c r="I112">
        <v>37.53</v>
      </c>
      <c r="J112">
        <v>37.590000000000003</v>
      </c>
      <c r="K112">
        <v>45.51</v>
      </c>
      <c r="L112">
        <v>45.59</v>
      </c>
      <c r="M112">
        <v>45.68</v>
      </c>
    </row>
    <row r="113" spans="1:13" x14ac:dyDescent="0.25">
      <c r="A113" s="1">
        <v>39611</v>
      </c>
      <c r="B113">
        <v>39.81</v>
      </c>
      <c r="C113">
        <v>40.46</v>
      </c>
      <c r="D113">
        <v>41.73</v>
      </c>
      <c r="E113">
        <v>43.92</v>
      </c>
      <c r="F113">
        <v>44.24</v>
      </c>
      <c r="G113">
        <v>44.57</v>
      </c>
      <c r="H113">
        <v>38.35</v>
      </c>
      <c r="I113">
        <v>38.409999999999997</v>
      </c>
      <c r="J113">
        <v>38.46</v>
      </c>
      <c r="K113">
        <v>45.46</v>
      </c>
      <c r="L113">
        <v>45.54</v>
      </c>
      <c r="M113">
        <v>45.63</v>
      </c>
    </row>
    <row r="114" spans="1:13" x14ac:dyDescent="0.25">
      <c r="A114" s="1">
        <v>39612</v>
      </c>
      <c r="B114">
        <v>39.86</v>
      </c>
      <c r="C114">
        <v>40.520000000000003</v>
      </c>
      <c r="D114">
        <v>41.79</v>
      </c>
      <c r="E114">
        <v>44.25</v>
      </c>
      <c r="F114">
        <v>44.58</v>
      </c>
      <c r="G114">
        <v>44.9</v>
      </c>
      <c r="H114">
        <v>38.49</v>
      </c>
      <c r="I114">
        <v>38.549999999999997</v>
      </c>
      <c r="J114">
        <v>38.61</v>
      </c>
      <c r="K114">
        <v>45.95</v>
      </c>
      <c r="L114">
        <v>46.04</v>
      </c>
      <c r="M114">
        <v>46.13</v>
      </c>
    </row>
    <row r="115" spans="1:13" x14ac:dyDescent="0.25">
      <c r="A115" s="1">
        <v>39615</v>
      </c>
      <c r="B115">
        <v>39.79</v>
      </c>
      <c r="C115">
        <v>40.450000000000003</v>
      </c>
      <c r="D115">
        <v>41.72</v>
      </c>
      <c r="E115">
        <v>44.36</v>
      </c>
      <c r="F115">
        <v>44.69</v>
      </c>
      <c r="G115">
        <v>45.02</v>
      </c>
      <c r="H115">
        <v>38.39</v>
      </c>
      <c r="I115">
        <v>38.450000000000003</v>
      </c>
      <c r="J115">
        <v>38.51</v>
      </c>
      <c r="K115">
        <v>46.18</v>
      </c>
      <c r="L115">
        <v>46.27</v>
      </c>
      <c r="M115">
        <v>46.36</v>
      </c>
    </row>
    <row r="116" spans="1:13" x14ac:dyDescent="0.25">
      <c r="A116" s="1">
        <v>39616</v>
      </c>
      <c r="B116">
        <v>40.08</v>
      </c>
      <c r="C116">
        <v>40.74</v>
      </c>
      <c r="D116">
        <v>42.02</v>
      </c>
      <c r="E116">
        <v>44.78</v>
      </c>
      <c r="F116">
        <v>45.11</v>
      </c>
      <c r="G116">
        <v>45.45</v>
      </c>
      <c r="H116">
        <v>38.69</v>
      </c>
      <c r="I116">
        <v>38.75</v>
      </c>
      <c r="J116">
        <v>38.81</v>
      </c>
      <c r="K116">
        <v>46.47</v>
      </c>
      <c r="L116">
        <v>46.56</v>
      </c>
      <c r="M116">
        <v>46.66</v>
      </c>
    </row>
    <row r="117" spans="1:13" x14ac:dyDescent="0.25">
      <c r="A117" s="1">
        <v>39617</v>
      </c>
      <c r="B117">
        <v>39.58</v>
      </c>
      <c r="C117">
        <v>40.229999999999997</v>
      </c>
      <c r="D117">
        <v>41.5</v>
      </c>
      <c r="E117">
        <v>44.21</v>
      </c>
      <c r="F117">
        <v>44.54</v>
      </c>
      <c r="G117">
        <v>44.86</v>
      </c>
      <c r="H117">
        <v>38.1</v>
      </c>
      <c r="I117">
        <v>38.159999999999997</v>
      </c>
      <c r="J117">
        <v>38.22</v>
      </c>
      <c r="K117">
        <v>45.82</v>
      </c>
      <c r="L117">
        <v>45.91</v>
      </c>
      <c r="M117">
        <v>46</v>
      </c>
    </row>
    <row r="118" spans="1:13" x14ac:dyDescent="0.25">
      <c r="A118" s="1">
        <v>39618</v>
      </c>
      <c r="B118">
        <v>39.590000000000003</v>
      </c>
      <c r="C118">
        <v>40.25</v>
      </c>
      <c r="D118">
        <v>41.51</v>
      </c>
      <c r="E118">
        <v>43.78</v>
      </c>
      <c r="F118">
        <v>44.1</v>
      </c>
      <c r="G118">
        <v>44.43</v>
      </c>
      <c r="H118">
        <v>37.81</v>
      </c>
      <c r="I118">
        <v>37.869999999999997</v>
      </c>
      <c r="J118">
        <v>37.93</v>
      </c>
      <c r="K118">
        <v>45.8</v>
      </c>
      <c r="L118">
        <v>45.89</v>
      </c>
      <c r="M118">
        <v>45.98</v>
      </c>
    </row>
    <row r="119" spans="1:13" x14ac:dyDescent="0.25">
      <c r="A119" s="1">
        <v>39619</v>
      </c>
      <c r="B119">
        <v>39.28</v>
      </c>
      <c r="C119">
        <v>39.93</v>
      </c>
      <c r="D119">
        <v>41.19</v>
      </c>
      <c r="E119">
        <v>43.34</v>
      </c>
      <c r="F119">
        <v>43.66</v>
      </c>
      <c r="G119">
        <v>43.99</v>
      </c>
      <c r="H119">
        <v>37.64</v>
      </c>
      <c r="I119">
        <v>37.700000000000003</v>
      </c>
      <c r="J119">
        <v>37.75</v>
      </c>
      <c r="K119">
        <v>44.96</v>
      </c>
      <c r="L119">
        <v>45.05</v>
      </c>
      <c r="M119">
        <v>45.14</v>
      </c>
    </row>
    <row r="120" spans="1:13" x14ac:dyDescent="0.25">
      <c r="A120" s="1">
        <v>39622</v>
      </c>
      <c r="B120">
        <v>38.880000000000003</v>
      </c>
      <c r="C120">
        <v>39.520000000000003</v>
      </c>
      <c r="D120">
        <v>40.770000000000003</v>
      </c>
      <c r="E120">
        <v>43.09</v>
      </c>
      <c r="F120">
        <v>43.41</v>
      </c>
      <c r="G120">
        <v>43.74</v>
      </c>
      <c r="H120">
        <v>37.03</v>
      </c>
      <c r="I120">
        <v>37.090000000000003</v>
      </c>
      <c r="J120">
        <v>37.15</v>
      </c>
      <c r="K120">
        <v>45.06</v>
      </c>
      <c r="L120">
        <v>45.15</v>
      </c>
      <c r="M120">
        <v>45.25</v>
      </c>
    </row>
    <row r="121" spans="1:13" x14ac:dyDescent="0.25">
      <c r="A121" s="1">
        <v>39623</v>
      </c>
      <c r="B121">
        <v>38.51</v>
      </c>
      <c r="C121">
        <v>39.15</v>
      </c>
      <c r="D121">
        <v>40.380000000000003</v>
      </c>
      <c r="E121">
        <v>42.59</v>
      </c>
      <c r="F121">
        <v>42.91</v>
      </c>
      <c r="G121">
        <v>43.23</v>
      </c>
      <c r="H121">
        <v>36.54</v>
      </c>
      <c r="I121">
        <v>36.6</v>
      </c>
      <c r="J121">
        <v>36.65</v>
      </c>
      <c r="K121">
        <v>44.32</v>
      </c>
      <c r="L121">
        <v>44.41</v>
      </c>
      <c r="M121">
        <v>44.5</v>
      </c>
    </row>
    <row r="122" spans="1:13" x14ac:dyDescent="0.25">
      <c r="A122" s="1">
        <v>39624</v>
      </c>
      <c r="B122">
        <v>38.71</v>
      </c>
      <c r="C122">
        <v>39.35</v>
      </c>
      <c r="D122">
        <v>40.590000000000003</v>
      </c>
      <c r="E122">
        <v>42.99</v>
      </c>
      <c r="F122">
        <v>43.31</v>
      </c>
      <c r="G122">
        <v>43.64</v>
      </c>
      <c r="H122">
        <v>36.950000000000003</v>
      </c>
      <c r="I122">
        <v>37.01</v>
      </c>
      <c r="J122">
        <v>37.07</v>
      </c>
      <c r="K122">
        <v>44.59</v>
      </c>
      <c r="L122">
        <v>44.68</v>
      </c>
      <c r="M122">
        <v>44.77</v>
      </c>
    </row>
    <row r="123" spans="1:13" x14ac:dyDescent="0.25">
      <c r="A123" s="1">
        <v>39625</v>
      </c>
      <c r="B123">
        <v>38.24</v>
      </c>
      <c r="C123">
        <v>38.869999999999997</v>
      </c>
      <c r="D123">
        <v>40.1</v>
      </c>
      <c r="E123">
        <v>41.98</v>
      </c>
      <c r="F123">
        <v>42.29</v>
      </c>
      <c r="G123">
        <v>42.61</v>
      </c>
      <c r="H123">
        <v>36.07</v>
      </c>
      <c r="I123">
        <v>36.130000000000003</v>
      </c>
      <c r="J123">
        <v>36.19</v>
      </c>
      <c r="K123">
        <v>43.66</v>
      </c>
      <c r="L123">
        <v>43.75</v>
      </c>
      <c r="M123">
        <v>43.84</v>
      </c>
    </row>
    <row r="124" spans="1:13" x14ac:dyDescent="0.25">
      <c r="A124" s="1">
        <v>39626</v>
      </c>
      <c r="B124">
        <v>37.79</v>
      </c>
      <c r="C124">
        <v>38.409999999999997</v>
      </c>
      <c r="D124">
        <v>39.630000000000003</v>
      </c>
      <c r="E124">
        <v>41.51</v>
      </c>
      <c r="F124">
        <v>41.82</v>
      </c>
      <c r="G124">
        <v>42.14</v>
      </c>
      <c r="H124">
        <v>35.65</v>
      </c>
      <c r="I124">
        <v>35.71</v>
      </c>
      <c r="J124">
        <v>35.770000000000003</v>
      </c>
      <c r="K124">
        <v>43.65</v>
      </c>
      <c r="L124">
        <v>43.75</v>
      </c>
      <c r="M124">
        <v>43.84</v>
      </c>
    </row>
    <row r="125" spans="1:13" x14ac:dyDescent="0.25">
      <c r="A125" s="1">
        <v>39629</v>
      </c>
      <c r="B125">
        <v>37.4</v>
      </c>
      <c r="C125">
        <v>38.020000000000003</v>
      </c>
      <c r="D125">
        <v>39.22</v>
      </c>
      <c r="E125">
        <v>41.22</v>
      </c>
      <c r="F125">
        <v>41.53</v>
      </c>
      <c r="G125">
        <v>41.84</v>
      </c>
      <c r="H125">
        <v>35.18</v>
      </c>
      <c r="I125">
        <v>35.24</v>
      </c>
      <c r="J125">
        <v>35.29</v>
      </c>
      <c r="K125">
        <v>43.8</v>
      </c>
      <c r="L125">
        <v>43.89</v>
      </c>
      <c r="M125">
        <v>43.99</v>
      </c>
    </row>
    <row r="126" spans="1:13" x14ac:dyDescent="0.25">
      <c r="A126" s="1">
        <v>39630</v>
      </c>
      <c r="B126">
        <v>36.51</v>
      </c>
      <c r="C126">
        <v>37.11</v>
      </c>
      <c r="D126">
        <v>38.29</v>
      </c>
      <c r="E126">
        <v>39.950000000000003</v>
      </c>
      <c r="F126">
        <v>40.26</v>
      </c>
      <c r="G126">
        <v>40.56</v>
      </c>
      <c r="H126">
        <v>34.04</v>
      </c>
      <c r="I126">
        <v>34.090000000000003</v>
      </c>
      <c r="J126">
        <v>34.15</v>
      </c>
      <c r="K126">
        <v>43.17</v>
      </c>
      <c r="L126">
        <v>43.26</v>
      </c>
      <c r="M126">
        <v>43.36</v>
      </c>
    </row>
    <row r="127" spans="1:13" x14ac:dyDescent="0.25">
      <c r="A127" s="1">
        <v>39631</v>
      </c>
      <c r="B127">
        <v>36.17</v>
      </c>
      <c r="C127">
        <v>36.770000000000003</v>
      </c>
      <c r="D127">
        <v>37.94</v>
      </c>
      <c r="E127">
        <v>39.799999999999997</v>
      </c>
      <c r="F127">
        <v>40.1</v>
      </c>
      <c r="G127">
        <v>40.409999999999997</v>
      </c>
      <c r="H127">
        <v>33.57</v>
      </c>
      <c r="I127">
        <v>33.630000000000003</v>
      </c>
      <c r="J127">
        <v>33.68</v>
      </c>
      <c r="K127">
        <v>42.35</v>
      </c>
      <c r="L127">
        <v>42.44</v>
      </c>
      <c r="M127">
        <v>42.54</v>
      </c>
    </row>
    <row r="128" spans="1:13" x14ac:dyDescent="0.25">
      <c r="A128" s="1">
        <v>39632</v>
      </c>
      <c r="B128">
        <v>35.97</v>
      </c>
      <c r="C128">
        <v>36.56</v>
      </c>
      <c r="D128">
        <v>37.72</v>
      </c>
      <c r="E128">
        <v>39.86</v>
      </c>
      <c r="F128">
        <v>40.159999999999997</v>
      </c>
      <c r="G128">
        <v>40.47</v>
      </c>
      <c r="H128">
        <v>33.64</v>
      </c>
      <c r="I128">
        <v>33.69</v>
      </c>
      <c r="J128">
        <v>33.75</v>
      </c>
      <c r="K128">
        <v>42.35</v>
      </c>
      <c r="L128">
        <v>42.44</v>
      </c>
      <c r="M128">
        <v>42.54</v>
      </c>
    </row>
    <row r="129" spans="1:13" x14ac:dyDescent="0.25">
      <c r="A129" s="1">
        <v>39633</v>
      </c>
      <c r="B129">
        <v>35.31</v>
      </c>
      <c r="C129">
        <v>35.9</v>
      </c>
      <c r="D129">
        <v>37.03</v>
      </c>
      <c r="E129">
        <v>39.03</v>
      </c>
      <c r="F129">
        <v>39.33</v>
      </c>
      <c r="G129">
        <v>39.630000000000003</v>
      </c>
      <c r="H129">
        <v>32.56</v>
      </c>
      <c r="I129">
        <v>32.61</v>
      </c>
      <c r="J129">
        <v>32.659999999999997</v>
      </c>
      <c r="K129">
        <v>41.52</v>
      </c>
      <c r="L129">
        <v>41.61</v>
      </c>
      <c r="M129">
        <v>41.71</v>
      </c>
    </row>
    <row r="130" spans="1:13" x14ac:dyDescent="0.25">
      <c r="A130" s="1">
        <v>39636</v>
      </c>
      <c r="B130">
        <v>35.46</v>
      </c>
      <c r="C130">
        <v>36.06</v>
      </c>
      <c r="D130">
        <v>37.200000000000003</v>
      </c>
      <c r="E130">
        <v>39.71</v>
      </c>
      <c r="F130">
        <v>40.020000000000003</v>
      </c>
      <c r="G130">
        <v>40.32</v>
      </c>
      <c r="H130">
        <v>33.130000000000003</v>
      </c>
      <c r="I130">
        <v>33.19</v>
      </c>
      <c r="J130">
        <v>33.24</v>
      </c>
      <c r="K130">
        <v>41.87</v>
      </c>
      <c r="L130">
        <v>41.97</v>
      </c>
      <c r="M130">
        <v>42.06</v>
      </c>
    </row>
    <row r="131" spans="1:13" x14ac:dyDescent="0.25">
      <c r="A131" s="1">
        <v>39637</v>
      </c>
      <c r="B131">
        <v>35.159999999999997</v>
      </c>
      <c r="C131">
        <v>35.75</v>
      </c>
      <c r="D131">
        <v>36.880000000000003</v>
      </c>
      <c r="E131">
        <v>39.130000000000003</v>
      </c>
      <c r="F131">
        <v>39.43</v>
      </c>
      <c r="G131">
        <v>39.729999999999997</v>
      </c>
      <c r="H131">
        <v>32.729999999999997</v>
      </c>
      <c r="I131">
        <v>32.79</v>
      </c>
      <c r="J131">
        <v>32.840000000000003</v>
      </c>
      <c r="K131">
        <v>40.74</v>
      </c>
      <c r="L131">
        <v>40.840000000000003</v>
      </c>
      <c r="M131">
        <v>40.93</v>
      </c>
    </row>
    <row r="132" spans="1:13" x14ac:dyDescent="0.25">
      <c r="A132" s="1">
        <v>39638</v>
      </c>
      <c r="B132">
        <v>35.81</v>
      </c>
      <c r="C132">
        <v>36.409999999999997</v>
      </c>
      <c r="D132">
        <v>37.57</v>
      </c>
      <c r="E132">
        <v>39.979999999999997</v>
      </c>
      <c r="F132">
        <v>40.29</v>
      </c>
      <c r="G132">
        <v>40.6</v>
      </c>
      <c r="H132">
        <v>33.479999999999997</v>
      </c>
      <c r="I132">
        <v>33.54</v>
      </c>
      <c r="J132">
        <v>33.6</v>
      </c>
      <c r="K132">
        <v>40.72</v>
      </c>
      <c r="L132">
        <v>40.81</v>
      </c>
      <c r="M132">
        <v>40.909999999999997</v>
      </c>
    </row>
    <row r="133" spans="1:13" x14ac:dyDescent="0.25">
      <c r="A133" s="1">
        <v>39639</v>
      </c>
      <c r="B133">
        <v>35.1</v>
      </c>
      <c r="C133">
        <v>35.68</v>
      </c>
      <c r="D133">
        <v>36.82</v>
      </c>
      <c r="E133">
        <v>39.07</v>
      </c>
      <c r="F133">
        <v>39.369999999999997</v>
      </c>
      <c r="G133">
        <v>39.67</v>
      </c>
      <c r="H133">
        <v>32.24</v>
      </c>
      <c r="I133">
        <v>32.299999999999997</v>
      </c>
      <c r="J133">
        <v>32.35</v>
      </c>
      <c r="K133">
        <v>39.9</v>
      </c>
      <c r="L133">
        <v>39.99</v>
      </c>
      <c r="M133">
        <v>40.08</v>
      </c>
    </row>
    <row r="134" spans="1:13" x14ac:dyDescent="0.25">
      <c r="A134" s="1">
        <v>39640</v>
      </c>
      <c r="B134">
        <v>34.46</v>
      </c>
      <c r="C134">
        <v>35.03</v>
      </c>
      <c r="D134">
        <v>36.15</v>
      </c>
      <c r="E134">
        <v>38.06</v>
      </c>
      <c r="F134">
        <v>38.35</v>
      </c>
      <c r="G134">
        <v>38.65</v>
      </c>
      <c r="H134">
        <v>31.13</v>
      </c>
      <c r="I134">
        <v>31.18</v>
      </c>
      <c r="J134">
        <v>31.23</v>
      </c>
      <c r="K134">
        <v>39.51</v>
      </c>
      <c r="L134">
        <v>39.6</v>
      </c>
      <c r="M134">
        <v>39.69</v>
      </c>
    </row>
    <row r="135" spans="1:13" x14ac:dyDescent="0.25">
      <c r="A135" s="1">
        <v>39643</v>
      </c>
      <c r="B135">
        <v>34.520000000000003</v>
      </c>
      <c r="C135">
        <v>35.1</v>
      </c>
      <c r="D135">
        <v>36.22</v>
      </c>
      <c r="E135">
        <v>38.159999999999997</v>
      </c>
      <c r="F135">
        <v>38.450000000000003</v>
      </c>
      <c r="G135">
        <v>38.75</v>
      </c>
      <c r="H135">
        <v>31.31</v>
      </c>
      <c r="I135">
        <v>31.37</v>
      </c>
      <c r="J135">
        <v>31.42</v>
      </c>
      <c r="K135">
        <v>39.549999999999997</v>
      </c>
      <c r="L135">
        <v>39.64</v>
      </c>
      <c r="M135">
        <v>39.729999999999997</v>
      </c>
    </row>
    <row r="136" spans="1:13" x14ac:dyDescent="0.25">
      <c r="A136" s="1">
        <v>39644</v>
      </c>
      <c r="B136">
        <v>33.729999999999997</v>
      </c>
      <c r="C136">
        <v>34.299999999999997</v>
      </c>
      <c r="D136">
        <v>35.39</v>
      </c>
      <c r="E136">
        <v>37.18</v>
      </c>
      <c r="F136">
        <v>37.47</v>
      </c>
      <c r="G136">
        <v>37.770000000000003</v>
      </c>
      <c r="H136">
        <v>30.58</v>
      </c>
      <c r="I136">
        <v>30.63</v>
      </c>
      <c r="J136">
        <v>30.69</v>
      </c>
      <c r="K136">
        <v>38.5</v>
      </c>
      <c r="L136">
        <v>38.590000000000003</v>
      </c>
      <c r="M136">
        <v>38.68</v>
      </c>
    </row>
    <row r="137" spans="1:13" x14ac:dyDescent="0.25">
      <c r="A137" s="1">
        <v>39645</v>
      </c>
      <c r="B137">
        <v>33.770000000000003</v>
      </c>
      <c r="C137">
        <v>34.33</v>
      </c>
      <c r="D137">
        <v>35.43</v>
      </c>
      <c r="E137">
        <v>37.32</v>
      </c>
      <c r="F137">
        <v>37.61</v>
      </c>
      <c r="G137">
        <v>37.9</v>
      </c>
      <c r="H137">
        <v>30.66</v>
      </c>
      <c r="I137">
        <v>30.71</v>
      </c>
      <c r="J137">
        <v>30.77</v>
      </c>
      <c r="K137">
        <v>38.57</v>
      </c>
      <c r="L137">
        <v>38.659999999999997</v>
      </c>
      <c r="M137">
        <v>38.75</v>
      </c>
    </row>
    <row r="138" spans="1:13" x14ac:dyDescent="0.25">
      <c r="A138" s="1">
        <v>39646</v>
      </c>
      <c r="B138">
        <v>34.82</v>
      </c>
      <c r="C138">
        <v>35.409999999999997</v>
      </c>
      <c r="D138">
        <v>36.54</v>
      </c>
      <c r="E138">
        <v>38.5</v>
      </c>
      <c r="F138">
        <v>38.799999999999997</v>
      </c>
      <c r="G138">
        <v>39.11</v>
      </c>
      <c r="H138">
        <v>31.57</v>
      </c>
      <c r="I138">
        <v>31.62</v>
      </c>
      <c r="J138">
        <v>31.68</v>
      </c>
      <c r="K138">
        <v>39.090000000000003</v>
      </c>
      <c r="L138">
        <v>39.19</v>
      </c>
      <c r="M138">
        <v>39.28</v>
      </c>
    </row>
    <row r="139" spans="1:13" x14ac:dyDescent="0.25">
      <c r="A139" s="1">
        <v>39647</v>
      </c>
      <c r="B139">
        <v>35.19</v>
      </c>
      <c r="C139">
        <v>35.78</v>
      </c>
      <c r="D139">
        <v>36.93</v>
      </c>
      <c r="E139">
        <v>39.03</v>
      </c>
      <c r="F139">
        <v>39.33</v>
      </c>
      <c r="G139">
        <v>39.64</v>
      </c>
      <c r="H139">
        <v>31.95</v>
      </c>
      <c r="I139">
        <v>32.01</v>
      </c>
      <c r="J139">
        <v>32.06</v>
      </c>
      <c r="K139">
        <v>38.630000000000003</v>
      </c>
      <c r="L139">
        <v>38.72</v>
      </c>
      <c r="M139">
        <v>38.82</v>
      </c>
    </row>
    <row r="140" spans="1:13" x14ac:dyDescent="0.25">
      <c r="A140" s="1">
        <v>39650</v>
      </c>
      <c r="B140">
        <v>35.65</v>
      </c>
      <c r="C140">
        <v>36.25</v>
      </c>
      <c r="D140">
        <v>37.409999999999997</v>
      </c>
      <c r="E140">
        <v>39.49</v>
      </c>
      <c r="F140">
        <v>39.799999999999997</v>
      </c>
      <c r="G140">
        <v>40.11</v>
      </c>
      <c r="H140">
        <v>32.340000000000003</v>
      </c>
      <c r="I140">
        <v>32.39</v>
      </c>
      <c r="J140">
        <v>32.450000000000003</v>
      </c>
      <c r="K140">
        <v>39.1</v>
      </c>
      <c r="L140">
        <v>39.200000000000003</v>
      </c>
      <c r="M140">
        <v>39.29</v>
      </c>
    </row>
    <row r="141" spans="1:13" x14ac:dyDescent="0.25">
      <c r="A141" s="1">
        <v>39651</v>
      </c>
      <c r="B141">
        <v>35.590000000000003</v>
      </c>
      <c r="C141">
        <v>36.19</v>
      </c>
      <c r="D141">
        <v>37.35</v>
      </c>
      <c r="E141">
        <v>39.08</v>
      </c>
      <c r="F141">
        <v>39.39</v>
      </c>
      <c r="G141">
        <v>39.700000000000003</v>
      </c>
      <c r="H141">
        <v>32.11</v>
      </c>
      <c r="I141">
        <v>32.159999999999997</v>
      </c>
      <c r="J141">
        <v>32.22</v>
      </c>
      <c r="K141">
        <v>39.159999999999997</v>
      </c>
      <c r="L141">
        <v>39.25</v>
      </c>
      <c r="M141">
        <v>39.35</v>
      </c>
    </row>
    <row r="142" spans="1:13" x14ac:dyDescent="0.25">
      <c r="A142" s="1">
        <v>39652</v>
      </c>
      <c r="B142">
        <v>36.94</v>
      </c>
      <c r="C142">
        <v>37.57</v>
      </c>
      <c r="D142">
        <v>38.770000000000003</v>
      </c>
      <c r="E142">
        <v>40.42</v>
      </c>
      <c r="F142">
        <v>40.74</v>
      </c>
      <c r="G142">
        <v>41.06</v>
      </c>
      <c r="H142">
        <v>33.44</v>
      </c>
      <c r="I142">
        <v>33.5</v>
      </c>
      <c r="J142">
        <v>33.56</v>
      </c>
      <c r="K142">
        <v>39.43</v>
      </c>
      <c r="L142">
        <v>39.53</v>
      </c>
      <c r="M142">
        <v>39.619999999999997</v>
      </c>
    </row>
    <row r="143" spans="1:13" x14ac:dyDescent="0.25">
      <c r="A143" s="1">
        <v>39653</v>
      </c>
      <c r="B143">
        <v>36.590000000000003</v>
      </c>
      <c r="C143">
        <v>37.21</v>
      </c>
      <c r="D143">
        <v>38.4</v>
      </c>
      <c r="E143">
        <v>39.68</v>
      </c>
      <c r="F143">
        <v>39.99</v>
      </c>
      <c r="G143">
        <v>40.31</v>
      </c>
      <c r="H143">
        <v>32.950000000000003</v>
      </c>
      <c r="I143">
        <v>33.01</v>
      </c>
      <c r="J143">
        <v>33.07</v>
      </c>
      <c r="K143">
        <v>37.880000000000003</v>
      </c>
      <c r="L143">
        <v>37.979999999999997</v>
      </c>
      <c r="M143">
        <v>38.07</v>
      </c>
    </row>
    <row r="144" spans="1:13" x14ac:dyDescent="0.25">
      <c r="A144" s="1">
        <v>39654</v>
      </c>
      <c r="B144">
        <v>36.57</v>
      </c>
      <c r="C144">
        <v>37.19</v>
      </c>
      <c r="D144">
        <v>38.380000000000003</v>
      </c>
      <c r="E144">
        <v>38.93</v>
      </c>
      <c r="F144">
        <v>39.24</v>
      </c>
      <c r="G144">
        <v>39.549999999999997</v>
      </c>
      <c r="H144">
        <v>32.29</v>
      </c>
      <c r="I144">
        <v>32.35</v>
      </c>
      <c r="J144">
        <v>32.409999999999997</v>
      </c>
      <c r="K144">
        <v>37.840000000000003</v>
      </c>
      <c r="L144">
        <v>37.94</v>
      </c>
      <c r="M144">
        <v>38.03</v>
      </c>
    </row>
    <row r="145" spans="1:13" x14ac:dyDescent="0.25">
      <c r="A145" s="1">
        <v>39657</v>
      </c>
      <c r="B145">
        <v>36.61</v>
      </c>
      <c r="C145">
        <v>37.229999999999997</v>
      </c>
      <c r="D145">
        <v>38.43</v>
      </c>
      <c r="E145">
        <v>39.01</v>
      </c>
      <c r="F145">
        <v>39.33</v>
      </c>
      <c r="G145">
        <v>39.64</v>
      </c>
      <c r="H145">
        <v>32.26</v>
      </c>
      <c r="I145">
        <v>32.32</v>
      </c>
      <c r="J145">
        <v>32.369999999999997</v>
      </c>
      <c r="K145">
        <v>37.83</v>
      </c>
      <c r="L145">
        <v>37.92</v>
      </c>
      <c r="M145">
        <v>38.020000000000003</v>
      </c>
    </row>
    <row r="146" spans="1:13" x14ac:dyDescent="0.25">
      <c r="A146" s="1">
        <v>39658</v>
      </c>
      <c r="B146">
        <v>36.94</v>
      </c>
      <c r="C146">
        <v>37.57</v>
      </c>
      <c r="D146">
        <v>38.78</v>
      </c>
      <c r="E146">
        <v>39.909999999999997</v>
      </c>
      <c r="F146">
        <v>40.229999999999997</v>
      </c>
      <c r="G146">
        <v>40.549999999999997</v>
      </c>
      <c r="H146">
        <v>32.65</v>
      </c>
      <c r="I146">
        <v>32.71</v>
      </c>
      <c r="J146">
        <v>32.770000000000003</v>
      </c>
      <c r="K146">
        <v>38.11</v>
      </c>
      <c r="L146">
        <v>38.21</v>
      </c>
      <c r="M146">
        <v>38.299999999999997</v>
      </c>
    </row>
    <row r="147" spans="1:13" x14ac:dyDescent="0.25">
      <c r="A147" s="1">
        <v>39659</v>
      </c>
      <c r="B147">
        <v>37.909999999999997</v>
      </c>
      <c r="C147">
        <v>38.549999999999997</v>
      </c>
      <c r="D147">
        <v>39.79</v>
      </c>
      <c r="E147">
        <v>40.659999999999997</v>
      </c>
      <c r="F147">
        <v>40.99</v>
      </c>
      <c r="G147">
        <v>41.31</v>
      </c>
      <c r="H147">
        <v>33.270000000000003</v>
      </c>
      <c r="I147">
        <v>33.33</v>
      </c>
      <c r="J147">
        <v>33.39</v>
      </c>
      <c r="K147">
        <v>38.950000000000003</v>
      </c>
      <c r="L147">
        <v>39.049999999999997</v>
      </c>
      <c r="M147">
        <v>39.15</v>
      </c>
    </row>
    <row r="148" spans="1:13" x14ac:dyDescent="0.25">
      <c r="A148" s="1">
        <v>39660</v>
      </c>
      <c r="B148">
        <v>38.130000000000003</v>
      </c>
      <c r="C148">
        <v>38.78</v>
      </c>
      <c r="D148">
        <v>40.03</v>
      </c>
      <c r="E148">
        <v>41.08</v>
      </c>
      <c r="F148">
        <v>41.41</v>
      </c>
      <c r="G148">
        <v>41.74</v>
      </c>
      <c r="H148">
        <v>33.340000000000003</v>
      </c>
      <c r="I148">
        <v>33.4</v>
      </c>
      <c r="J148">
        <v>33.46</v>
      </c>
      <c r="K148">
        <v>39.1</v>
      </c>
      <c r="L148">
        <v>39.21</v>
      </c>
      <c r="M148">
        <v>39.31</v>
      </c>
    </row>
    <row r="149" spans="1:13" x14ac:dyDescent="0.25">
      <c r="A149" s="1">
        <v>39661</v>
      </c>
      <c r="B149">
        <v>38.01</v>
      </c>
      <c r="C149">
        <v>38.65</v>
      </c>
      <c r="D149">
        <v>39.9</v>
      </c>
      <c r="E149">
        <v>41.08</v>
      </c>
      <c r="F149">
        <v>41.41</v>
      </c>
      <c r="G149">
        <v>41.74</v>
      </c>
      <c r="H149">
        <v>33.29</v>
      </c>
      <c r="I149">
        <v>33.35</v>
      </c>
      <c r="J149">
        <v>33.409999999999997</v>
      </c>
      <c r="K149">
        <v>38.71</v>
      </c>
      <c r="L149">
        <v>38.81</v>
      </c>
      <c r="M149">
        <v>38.909999999999997</v>
      </c>
    </row>
    <row r="150" spans="1:13" x14ac:dyDescent="0.25">
      <c r="A150" s="1">
        <v>39664</v>
      </c>
      <c r="B150">
        <v>37.85</v>
      </c>
      <c r="C150">
        <v>38.49</v>
      </c>
      <c r="D150">
        <v>39.729999999999997</v>
      </c>
      <c r="E150">
        <v>41.28</v>
      </c>
      <c r="F150">
        <v>41.61</v>
      </c>
      <c r="G150">
        <v>41.95</v>
      </c>
      <c r="H150">
        <v>33.57</v>
      </c>
      <c r="I150">
        <v>33.630000000000003</v>
      </c>
      <c r="J150">
        <v>33.69</v>
      </c>
      <c r="K150">
        <v>37.99</v>
      </c>
      <c r="L150">
        <v>38.090000000000003</v>
      </c>
      <c r="M150">
        <v>38.19</v>
      </c>
    </row>
    <row r="151" spans="1:13" x14ac:dyDescent="0.25">
      <c r="A151" s="1">
        <v>39665</v>
      </c>
      <c r="B151">
        <v>38.21</v>
      </c>
      <c r="C151">
        <v>38.869999999999997</v>
      </c>
      <c r="D151">
        <v>40.119999999999997</v>
      </c>
      <c r="E151">
        <v>41.69</v>
      </c>
      <c r="F151">
        <v>42.03</v>
      </c>
      <c r="G151">
        <v>42.37</v>
      </c>
      <c r="H151">
        <v>34.14</v>
      </c>
      <c r="I151">
        <v>34.21</v>
      </c>
      <c r="J151">
        <v>34.270000000000003</v>
      </c>
      <c r="K151">
        <v>37.619999999999997</v>
      </c>
      <c r="L151">
        <v>37.72</v>
      </c>
      <c r="M151">
        <v>37.82</v>
      </c>
    </row>
    <row r="152" spans="1:13" x14ac:dyDescent="0.25">
      <c r="A152" s="1">
        <v>39666</v>
      </c>
      <c r="B152">
        <v>38.01</v>
      </c>
      <c r="C152">
        <v>38.659999999999997</v>
      </c>
      <c r="D152">
        <v>39.909999999999997</v>
      </c>
      <c r="E152">
        <v>42.09</v>
      </c>
      <c r="F152">
        <v>42.43</v>
      </c>
      <c r="G152">
        <v>42.77</v>
      </c>
      <c r="H152">
        <v>34.22</v>
      </c>
      <c r="I152">
        <v>34.29</v>
      </c>
      <c r="J152">
        <v>34.35</v>
      </c>
      <c r="K152">
        <v>38.33</v>
      </c>
      <c r="L152">
        <v>38.44</v>
      </c>
      <c r="M152">
        <v>38.54</v>
      </c>
    </row>
    <row r="153" spans="1:13" x14ac:dyDescent="0.25">
      <c r="A153" s="1">
        <v>39667</v>
      </c>
      <c r="B153">
        <v>37.71</v>
      </c>
      <c r="C153">
        <v>38.35</v>
      </c>
      <c r="D153">
        <v>39.590000000000003</v>
      </c>
      <c r="E153">
        <v>41.87</v>
      </c>
      <c r="F153">
        <v>42.21</v>
      </c>
      <c r="G153">
        <v>42.55</v>
      </c>
      <c r="H153">
        <v>33.99</v>
      </c>
      <c r="I153">
        <v>34.06</v>
      </c>
      <c r="J153">
        <v>34.119999999999997</v>
      </c>
      <c r="K153">
        <v>38.9</v>
      </c>
      <c r="L153">
        <v>39</v>
      </c>
      <c r="M153">
        <v>39.11</v>
      </c>
    </row>
    <row r="154" spans="1:13" x14ac:dyDescent="0.25">
      <c r="A154" s="1">
        <v>39668</v>
      </c>
      <c r="B154">
        <v>37.700000000000003</v>
      </c>
      <c r="C154">
        <v>38.35</v>
      </c>
      <c r="D154">
        <v>39.58</v>
      </c>
      <c r="E154">
        <v>41.66</v>
      </c>
      <c r="F154">
        <v>42</v>
      </c>
      <c r="G154">
        <v>42.34</v>
      </c>
      <c r="H154">
        <v>33.89</v>
      </c>
      <c r="I154">
        <v>33.950000000000003</v>
      </c>
      <c r="J154">
        <v>34.020000000000003</v>
      </c>
      <c r="K154">
        <v>38.92</v>
      </c>
      <c r="L154">
        <v>39.020000000000003</v>
      </c>
      <c r="M154">
        <v>39.130000000000003</v>
      </c>
    </row>
    <row r="155" spans="1:13" x14ac:dyDescent="0.25">
      <c r="A155" s="1">
        <v>39671</v>
      </c>
      <c r="B155">
        <v>37.979999999999997</v>
      </c>
      <c r="C155">
        <v>38.630000000000003</v>
      </c>
      <c r="D155">
        <v>39.880000000000003</v>
      </c>
      <c r="E155">
        <v>42.15</v>
      </c>
      <c r="F155">
        <v>42.5</v>
      </c>
      <c r="G155">
        <v>42.84</v>
      </c>
      <c r="H155">
        <v>34.33</v>
      </c>
      <c r="I155">
        <v>34.4</v>
      </c>
      <c r="J155">
        <v>34.46</v>
      </c>
      <c r="K155">
        <v>38.729999999999997</v>
      </c>
      <c r="L155">
        <v>38.83</v>
      </c>
      <c r="M155">
        <v>38.94</v>
      </c>
    </row>
    <row r="156" spans="1:13" x14ac:dyDescent="0.25">
      <c r="A156" s="1">
        <v>39672</v>
      </c>
      <c r="B156">
        <v>38.1</v>
      </c>
      <c r="C156">
        <v>38.75</v>
      </c>
      <c r="D156">
        <v>40</v>
      </c>
      <c r="E156">
        <v>42.43</v>
      </c>
      <c r="F156">
        <v>42.78</v>
      </c>
      <c r="G156">
        <v>43.13</v>
      </c>
      <c r="H156">
        <v>34.67</v>
      </c>
      <c r="I156">
        <v>34.729999999999997</v>
      </c>
      <c r="J156">
        <v>34.799999999999997</v>
      </c>
      <c r="K156">
        <v>38.85</v>
      </c>
      <c r="L156">
        <v>38.96</v>
      </c>
      <c r="M156">
        <v>39.07</v>
      </c>
    </row>
    <row r="157" spans="1:13" x14ac:dyDescent="0.25">
      <c r="A157" s="1">
        <v>39673</v>
      </c>
      <c r="B157">
        <v>37.64</v>
      </c>
      <c r="C157">
        <v>38.29</v>
      </c>
      <c r="D157">
        <v>39.520000000000003</v>
      </c>
      <c r="E157">
        <v>41.67</v>
      </c>
      <c r="F157">
        <v>42.01</v>
      </c>
      <c r="G157">
        <v>42.36</v>
      </c>
      <c r="H157">
        <v>34.14</v>
      </c>
      <c r="I157">
        <v>34.200000000000003</v>
      </c>
      <c r="J157">
        <v>34.270000000000003</v>
      </c>
      <c r="K157">
        <v>39.04</v>
      </c>
      <c r="L157">
        <v>39.15</v>
      </c>
      <c r="M157">
        <v>39.26</v>
      </c>
    </row>
    <row r="158" spans="1:13" x14ac:dyDescent="0.25">
      <c r="A158" s="1">
        <v>39674</v>
      </c>
      <c r="B158">
        <v>37.89</v>
      </c>
      <c r="C158">
        <v>38.54</v>
      </c>
      <c r="D158">
        <v>39.78</v>
      </c>
      <c r="E158">
        <v>42.08</v>
      </c>
      <c r="F158">
        <v>42.42</v>
      </c>
      <c r="G158">
        <v>42.77</v>
      </c>
      <c r="H158">
        <v>34.43</v>
      </c>
      <c r="I158">
        <v>34.5</v>
      </c>
      <c r="J158">
        <v>34.56</v>
      </c>
      <c r="K158">
        <v>39.5</v>
      </c>
      <c r="L158">
        <v>39.61</v>
      </c>
      <c r="M158">
        <v>39.72</v>
      </c>
    </row>
    <row r="159" spans="1:13" x14ac:dyDescent="0.25">
      <c r="A159" s="1">
        <v>39678</v>
      </c>
      <c r="B159">
        <v>38.06</v>
      </c>
      <c r="C159">
        <v>38.72</v>
      </c>
      <c r="D159">
        <v>39.97</v>
      </c>
      <c r="E159">
        <v>42.67</v>
      </c>
      <c r="F159">
        <v>43.02</v>
      </c>
      <c r="G159">
        <v>43.38</v>
      </c>
      <c r="H159">
        <v>34.76</v>
      </c>
      <c r="I159">
        <v>34.83</v>
      </c>
      <c r="J159">
        <v>34.9</v>
      </c>
      <c r="K159">
        <v>40.159999999999997</v>
      </c>
      <c r="L159">
        <v>40.28</v>
      </c>
      <c r="M159">
        <v>40.39</v>
      </c>
    </row>
    <row r="160" spans="1:13" x14ac:dyDescent="0.25">
      <c r="A160" s="1">
        <v>39679</v>
      </c>
      <c r="B160">
        <v>37.049999999999997</v>
      </c>
      <c r="C160">
        <v>37.69</v>
      </c>
      <c r="D160">
        <v>38.909999999999997</v>
      </c>
      <c r="E160">
        <v>41.16</v>
      </c>
      <c r="F160">
        <v>41.5</v>
      </c>
      <c r="G160">
        <v>41.84</v>
      </c>
      <c r="H160">
        <v>33.479999999999997</v>
      </c>
      <c r="I160">
        <v>33.54</v>
      </c>
      <c r="J160">
        <v>33.61</v>
      </c>
      <c r="K160">
        <v>40.26</v>
      </c>
      <c r="L160">
        <v>40.369999999999997</v>
      </c>
      <c r="M160">
        <v>40.49</v>
      </c>
    </row>
    <row r="161" spans="1:13" x14ac:dyDescent="0.25">
      <c r="A161" s="1">
        <v>39680</v>
      </c>
      <c r="B161">
        <v>37.19</v>
      </c>
      <c r="C161">
        <v>37.83</v>
      </c>
      <c r="D161">
        <v>39.049999999999997</v>
      </c>
      <c r="E161">
        <v>40.79</v>
      </c>
      <c r="F161">
        <v>41.13</v>
      </c>
      <c r="G161">
        <v>41.47</v>
      </c>
      <c r="H161">
        <v>33.01</v>
      </c>
      <c r="I161">
        <v>33.07</v>
      </c>
      <c r="J161">
        <v>33.14</v>
      </c>
      <c r="K161">
        <v>40.76</v>
      </c>
      <c r="L161">
        <v>40.880000000000003</v>
      </c>
      <c r="M161">
        <v>41</v>
      </c>
    </row>
    <row r="162" spans="1:13" x14ac:dyDescent="0.25">
      <c r="A162" s="1">
        <v>39681</v>
      </c>
      <c r="B162">
        <v>37.06</v>
      </c>
      <c r="C162">
        <v>37.71</v>
      </c>
      <c r="D162">
        <v>38.93</v>
      </c>
      <c r="E162">
        <v>40.33</v>
      </c>
      <c r="F162">
        <v>40.659999999999997</v>
      </c>
      <c r="G162">
        <v>41</v>
      </c>
      <c r="H162">
        <v>32.57</v>
      </c>
      <c r="I162">
        <v>32.64</v>
      </c>
      <c r="J162">
        <v>32.700000000000003</v>
      </c>
      <c r="K162">
        <v>41.42</v>
      </c>
      <c r="L162">
        <v>41.55</v>
      </c>
      <c r="M162">
        <v>41.66</v>
      </c>
    </row>
    <row r="163" spans="1:13" x14ac:dyDescent="0.25">
      <c r="A163" s="1">
        <v>39682</v>
      </c>
      <c r="B163">
        <v>37.65</v>
      </c>
      <c r="C163">
        <v>38.31</v>
      </c>
      <c r="D163">
        <v>39.549999999999997</v>
      </c>
      <c r="E163">
        <v>41.32</v>
      </c>
      <c r="F163">
        <v>41.67</v>
      </c>
      <c r="G163">
        <v>42.01</v>
      </c>
      <c r="H163">
        <v>33.49</v>
      </c>
      <c r="I163">
        <v>33.56</v>
      </c>
      <c r="J163">
        <v>33.619999999999997</v>
      </c>
      <c r="K163">
        <v>41.47</v>
      </c>
      <c r="L163">
        <v>41.59</v>
      </c>
      <c r="M163">
        <v>41.71</v>
      </c>
    </row>
    <row r="164" spans="1:13" x14ac:dyDescent="0.25">
      <c r="A164" s="1">
        <v>39685</v>
      </c>
      <c r="B164">
        <v>37.69</v>
      </c>
      <c r="C164">
        <v>38.340000000000003</v>
      </c>
      <c r="D164">
        <v>39.58</v>
      </c>
      <c r="E164">
        <v>41.23</v>
      </c>
      <c r="F164">
        <v>41.58</v>
      </c>
      <c r="G164">
        <v>41.92</v>
      </c>
      <c r="H164">
        <v>33.380000000000003</v>
      </c>
      <c r="I164">
        <v>33.450000000000003</v>
      </c>
      <c r="J164">
        <v>33.520000000000003</v>
      </c>
      <c r="K164">
        <v>41.28</v>
      </c>
      <c r="L164">
        <v>41.4</v>
      </c>
      <c r="M164">
        <v>41.52</v>
      </c>
    </row>
    <row r="165" spans="1:13" x14ac:dyDescent="0.25">
      <c r="A165" s="1">
        <v>39686</v>
      </c>
      <c r="B165">
        <v>37.380000000000003</v>
      </c>
      <c r="C165">
        <v>38.03</v>
      </c>
      <c r="D165">
        <v>39.26</v>
      </c>
      <c r="E165">
        <v>41.05</v>
      </c>
      <c r="F165">
        <v>41.39</v>
      </c>
      <c r="G165">
        <v>41.74</v>
      </c>
      <c r="H165">
        <v>33.29</v>
      </c>
      <c r="I165">
        <v>33.36</v>
      </c>
      <c r="J165">
        <v>33.43</v>
      </c>
      <c r="K165">
        <v>41.25</v>
      </c>
      <c r="L165">
        <v>41.37</v>
      </c>
      <c r="M165">
        <v>41.49</v>
      </c>
    </row>
    <row r="166" spans="1:13" x14ac:dyDescent="0.25">
      <c r="A166" s="1">
        <v>39687</v>
      </c>
      <c r="B166">
        <v>37.229999999999997</v>
      </c>
      <c r="C166">
        <v>37.880000000000003</v>
      </c>
      <c r="D166">
        <v>39.11</v>
      </c>
      <c r="E166">
        <v>40.799999999999997</v>
      </c>
      <c r="F166">
        <v>41.14</v>
      </c>
      <c r="G166">
        <v>41.49</v>
      </c>
      <c r="H166">
        <v>33</v>
      </c>
      <c r="I166">
        <v>33.07</v>
      </c>
      <c r="J166">
        <v>33.130000000000003</v>
      </c>
      <c r="K166">
        <v>42.02</v>
      </c>
      <c r="L166">
        <v>42.15</v>
      </c>
      <c r="M166">
        <v>42.27</v>
      </c>
    </row>
    <row r="167" spans="1:13" x14ac:dyDescent="0.25">
      <c r="A167" s="1">
        <v>39688</v>
      </c>
      <c r="B167">
        <v>37.729999999999997</v>
      </c>
      <c r="C167">
        <v>38.39</v>
      </c>
      <c r="D167">
        <v>39.64</v>
      </c>
      <c r="E167">
        <v>41.61</v>
      </c>
      <c r="F167">
        <v>41.96</v>
      </c>
      <c r="G167">
        <v>42.31</v>
      </c>
      <c r="H167">
        <v>33.590000000000003</v>
      </c>
      <c r="I167">
        <v>33.659999999999997</v>
      </c>
      <c r="J167">
        <v>33.72</v>
      </c>
      <c r="K167">
        <v>42.43</v>
      </c>
      <c r="L167">
        <v>42.56</v>
      </c>
      <c r="M167">
        <v>42.68</v>
      </c>
    </row>
    <row r="168" spans="1:13" x14ac:dyDescent="0.25">
      <c r="A168" s="1">
        <v>39689</v>
      </c>
      <c r="B168">
        <v>37.86</v>
      </c>
      <c r="C168">
        <v>38.520000000000003</v>
      </c>
      <c r="D168">
        <v>39.78</v>
      </c>
      <c r="E168">
        <v>41.88</v>
      </c>
      <c r="F168">
        <v>42.23</v>
      </c>
      <c r="G168">
        <v>42.59</v>
      </c>
      <c r="H168">
        <v>33.869999999999997</v>
      </c>
      <c r="I168">
        <v>33.94</v>
      </c>
      <c r="J168">
        <v>34.01</v>
      </c>
      <c r="K168">
        <v>42.57</v>
      </c>
      <c r="L168">
        <v>42.69</v>
      </c>
      <c r="M168">
        <v>42.82</v>
      </c>
    </row>
    <row r="169" spans="1:13" x14ac:dyDescent="0.25">
      <c r="A169" s="1">
        <v>39692</v>
      </c>
      <c r="B169">
        <v>37.86</v>
      </c>
      <c r="C169">
        <v>38.520000000000003</v>
      </c>
      <c r="D169">
        <v>39.770000000000003</v>
      </c>
      <c r="E169">
        <v>41.38</v>
      </c>
      <c r="F169">
        <v>41.73</v>
      </c>
      <c r="G169">
        <v>42.08</v>
      </c>
      <c r="H169">
        <v>33.51</v>
      </c>
      <c r="I169">
        <v>33.58</v>
      </c>
      <c r="J169">
        <v>33.65</v>
      </c>
      <c r="K169">
        <v>42.35</v>
      </c>
      <c r="L169">
        <v>42.48</v>
      </c>
      <c r="M169">
        <v>42.61</v>
      </c>
    </row>
    <row r="170" spans="1:13" x14ac:dyDescent="0.25">
      <c r="A170" s="1">
        <v>39693</v>
      </c>
      <c r="B170">
        <v>38.700000000000003</v>
      </c>
      <c r="C170">
        <v>39.369999999999997</v>
      </c>
      <c r="D170">
        <v>40.65</v>
      </c>
      <c r="E170">
        <v>42.47</v>
      </c>
      <c r="F170">
        <v>42.83</v>
      </c>
      <c r="G170">
        <v>43.19</v>
      </c>
      <c r="H170">
        <v>34.64</v>
      </c>
      <c r="I170">
        <v>34.72</v>
      </c>
      <c r="J170">
        <v>34.79</v>
      </c>
      <c r="K170">
        <v>41.6</v>
      </c>
      <c r="L170">
        <v>41.73</v>
      </c>
      <c r="M170">
        <v>41.85</v>
      </c>
    </row>
    <row r="171" spans="1:13" x14ac:dyDescent="0.25">
      <c r="A171" s="1">
        <v>39694</v>
      </c>
      <c r="B171">
        <v>38.64</v>
      </c>
      <c r="C171">
        <v>39.32</v>
      </c>
      <c r="D171">
        <v>40.6</v>
      </c>
      <c r="E171">
        <v>42.4</v>
      </c>
      <c r="F171">
        <v>42.76</v>
      </c>
      <c r="G171">
        <v>43.12</v>
      </c>
      <c r="H171">
        <v>34.69</v>
      </c>
      <c r="I171">
        <v>34.76</v>
      </c>
      <c r="J171">
        <v>34.840000000000003</v>
      </c>
      <c r="K171">
        <v>40.840000000000003</v>
      </c>
      <c r="L171">
        <v>40.97</v>
      </c>
      <c r="M171">
        <v>41.09</v>
      </c>
    </row>
    <row r="172" spans="1:13" x14ac:dyDescent="0.25">
      <c r="A172" s="1">
        <v>39695</v>
      </c>
      <c r="B172">
        <v>38.479999999999997</v>
      </c>
      <c r="C172">
        <v>39.15</v>
      </c>
      <c r="D172">
        <v>40.43</v>
      </c>
      <c r="E172">
        <v>41.47</v>
      </c>
      <c r="F172">
        <v>41.82</v>
      </c>
      <c r="G172">
        <v>42.18</v>
      </c>
      <c r="H172">
        <v>33.93</v>
      </c>
      <c r="I172">
        <v>34</v>
      </c>
      <c r="J172">
        <v>34.07</v>
      </c>
      <c r="K172">
        <v>39.909999999999997</v>
      </c>
      <c r="L172">
        <v>40.03</v>
      </c>
      <c r="M172">
        <v>40.15</v>
      </c>
    </row>
    <row r="173" spans="1:13" x14ac:dyDescent="0.25">
      <c r="A173" s="1">
        <v>39696</v>
      </c>
      <c r="B173">
        <v>37.86</v>
      </c>
      <c r="C173">
        <v>38.53</v>
      </c>
      <c r="D173">
        <v>39.78</v>
      </c>
      <c r="E173">
        <v>40.99</v>
      </c>
      <c r="F173">
        <v>41.33</v>
      </c>
      <c r="G173">
        <v>41.69</v>
      </c>
      <c r="H173">
        <v>33.369999999999997</v>
      </c>
      <c r="I173">
        <v>33.44</v>
      </c>
      <c r="J173">
        <v>33.51</v>
      </c>
      <c r="K173">
        <v>39.659999999999997</v>
      </c>
      <c r="L173">
        <v>39.78</v>
      </c>
      <c r="M173">
        <v>39.909999999999997</v>
      </c>
    </row>
    <row r="174" spans="1:13" x14ac:dyDescent="0.25">
      <c r="A174" s="1">
        <v>39699</v>
      </c>
      <c r="B174">
        <v>38.69</v>
      </c>
      <c r="C174">
        <v>39.369999999999997</v>
      </c>
      <c r="D174">
        <v>40.659999999999997</v>
      </c>
      <c r="E174">
        <v>42.95</v>
      </c>
      <c r="F174">
        <v>43.32</v>
      </c>
      <c r="G174">
        <v>43.69</v>
      </c>
      <c r="H174">
        <v>34.92</v>
      </c>
      <c r="I174">
        <v>34.99</v>
      </c>
      <c r="J174">
        <v>35.06</v>
      </c>
      <c r="K174">
        <v>40.17</v>
      </c>
      <c r="L174">
        <v>40.29</v>
      </c>
      <c r="M174">
        <v>40.42</v>
      </c>
    </row>
    <row r="175" spans="1:13" x14ac:dyDescent="0.25">
      <c r="A175" s="1">
        <v>39700</v>
      </c>
      <c r="B175">
        <v>38.28</v>
      </c>
      <c r="C175">
        <v>38.96</v>
      </c>
      <c r="D175">
        <v>40.229999999999997</v>
      </c>
      <c r="E175">
        <v>42.81</v>
      </c>
      <c r="F175">
        <v>43.18</v>
      </c>
      <c r="G175">
        <v>43.55</v>
      </c>
      <c r="H175">
        <v>34.78</v>
      </c>
      <c r="I175">
        <v>34.86</v>
      </c>
      <c r="J175">
        <v>34.93</v>
      </c>
      <c r="K175">
        <v>37.979999999999997</v>
      </c>
      <c r="L175">
        <v>38.1</v>
      </c>
      <c r="M175">
        <v>38.22</v>
      </c>
    </row>
    <row r="176" spans="1:13" x14ac:dyDescent="0.25">
      <c r="A176" s="1">
        <v>39701</v>
      </c>
      <c r="B176">
        <v>37.51</v>
      </c>
      <c r="C176">
        <v>38.17</v>
      </c>
      <c r="D176">
        <v>39.42</v>
      </c>
      <c r="E176">
        <v>41.72</v>
      </c>
      <c r="F176">
        <v>42.08</v>
      </c>
      <c r="G176">
        <v>42.44</v>
      </c>
      <c r="H176">
        <v>33.950000000000003</v>
      </c>
      <c r="I176">
        <v>34.03</v>
      </c>
      <c r="J176">
        <v>34.1</v>
      </c>
      <c r="K176">
        <v>37.47</v>
      </c>
      <c r="L176">
        <v>37.590000000000003</v>
      </c>
      <c r="M176">
        <v>37.71</v>
      </c>
    </row>
    <row r="177" spans="1:13" x14ac:dyDescent="0.25">
      <c r="A177" s="1">
        <v>39702</v>
      </c>
      <c r="B177">
        <v>36.64</v>
      </c>
      <c r="C177">
        <v>37.29</v>
      </c>
      <c r="D177">
        <v>38.51</v>
      </c>
      <c r="E177">
        <v>39.79</v>
      </c>
      <c r="F177">
        <v>40.130000000000003</v>
      </c>
      <c r="G177">
        <v>40.479999999999997</v>
      </c>
      <c r="H177">
        <v>32.450000000000003</v>
      </c>
      <c r="I177">
        <v>32.520000000000003</v>
      </c>
      <c r="J177">
        <v>32.590000000000003</v>
      </c>
      <c r="K177">
        <v>37.32</v>
      </c>
      <c r="L177">
        <v>37.44</v>
      </c>
      <c r="M177">
        <v>37.56</v>
      </c>
    </row>
    <row r="178" spans="1:13" x14ac:dyDescent="0.25">
      <c r="A178" s="1">
        <v>39703</v>
      </c>
      <c r="B178">
        <v>36.47</v>
      </c>
      <c r="C178">
        <v>37.11</v>
      </c>
      <c r="D178">
        <v>38.33</v>
      </c>
      <c r="E178">
        <v>39.35</v>
      </c>
      <c r="F178">
        <v>39.68</v>
      </c>
      <c r="G178">
        <v>40.020000000000003</v>
      </c>
      <c r="H178">
        <v>32.119999999999997</v>
      </c>
      <c r="I178">
        <v>32.18</v>
      </c>
      <c r="J178">
        <v>32.25</v>
      </c>
      <c r="K178">
        <v>38.159999999999997</v>
      </c>
      <c r="L178">
        <v>38.28</v>
      </c>
      <c r="M178">
        <v>38.4</v>
      </c>
    </row>
    <row r="179" spans="1:13" x14ac:dyDescent="0.25">
      <c r="A179" s="1">
        <v>39706</v>
      </c>
      <c r="B179">
        <v>35.04</v>
      </c>
      <c r="C179">
        <v>35.65</v>
      </c>
      <c r="D179">
        <v>36.82</v>
      </c>
      <c r="E179">
        <v>37.409999999999997</v>
      </c>
      <c r="F179">
        <v>37.729999999999997</v>
      </c>
      <c r="G179">
        <v>38.049999999999997</v>
      </c>
      <c r="H179">
        <v>30.78</v>
      </c>
      <c r="I179">
        <v>30.85</v>
      </c>
      <c r="J179">
        <v>30.91</v>
      </c>
      <c r="K179">
        <v>36.340000000000003</v>
      </c>
      <c r="L179">
        <v>36.450000000000003</v>
      </c>
      <c r="M179">
        <v>36.57</v>
      </c>
    </row>
    <row r="180" spans="1:13" x14ac:dyDescent="0.25">
      <c r="A180" s="1">
        <v>39707</v>
      </c>
      <c r="B180">
        <v>34.020000000000003</v>
      </c>
      <c r="C180">
        <v>34.630000000000003</v>
      </c>
      <c r="D180">
        <v>35.76</v>
      </c>
      <c r="E180">
        <v>36.1</v>
      </c>
      <c r="F180">
        <v>36.409999999999997</v>
      </c>
      <c r="G180">
        <v>36.72</v>
      </c>
      <c r="H180">
        <v>29.65</v>
      </c>
      <c r="I180">
        <v>29.71</v>
      </c>
      <c r="J180">
        <v>29.77</v>
      </c>
      <c r="K180">
        <v>35.89</v>
      </c>
      <c r="L180">
        <v>36.01</v>
      </c>
      <c r="M180">
        <v>36.119999999999997</v>
      </c>
    </row>
    <row r="181" spans="1:13" x14ac:dyDescent="0.25">
      <c r="A181" s="1">
        <v>39708</v>
      </c>
      <c r="B181">
        <v>33.61</v>
      </c>
      <c r="C181">
        <v>34.200000000000003</v>
      </c>
      <c r="D181">
        <v>35.32</v>
      </c>
      <c r="E181">
        <v>34.799999999999997</v>
      </c>
      <c r="F181">
        <v>35.1</v>
      </c>
      <c r="G181">
        <v>35.4</v>
      </c>
      <c r="H181">
        <v>28.65</v>
      </c>
      <c r="I181">
        <v>28.71</v>
      </c>
      <c r="J181">
        <v>28.77</v>
      </c>
      <c r="K181">
        <v>34.81</v>
      </c>
      <c r="L181">
        <v>34.93</v>
      </c>
      <c r="M181">
        <v>35.04</v>
      </c>
    </row>
    <row r="182" spans="1:13" x14ac:dyDescent="0.25">
      <c r="A182" s="1">
        <v>39709</v>
      </c>
      <c r="B182">
        <v>33.22</v>
      </c>
      <c r="C182">
        <v>33.81</v>
      </c>
      <c r="D182">
        <v>34.92</v>
      </c>
      <c r="E182">
        <v>34.22</v>
      </c>
      <c r="F182">
        <v>34.520000000000003</v>
      </c>
      <c r="G182">
        <v>34.82</v>
      </c>
      <c r="H182">
        <v>28.02</v>
      </c>
      <c r="I182">
        <v>28.09</v>
      </c>
      <c r="J182">
        <v>28.15</v>
      </c>
      <c r="K182">
        <v>34.47</v>
      </c>
      <c r="L182">
        <v>34.58</v>
      </c>
      <c r="M182">
        <v>34.69</v>
      </c>
    </row>
    <row r="183" spans="1:13" x14ac:dyDescent="0.25">
      <c r="A183" s="1">
        <v>39710</v>
      </c>
      <c r="B183">
        <v>35.54</v>
      </c>
      <c r="C183">
        <v>36.17</v>
      </c>
      <c r="D183">
        <v>37.35</v>
      </c>
      <c r="E183">
        <v>38.119999999999997</v>
      </c>
      <c r="F183">
        <v>38.450000000000003</v>
      </c>
      <c r="G183">
        <v>38.78</v>
      </c>
      <c r="H183">
        <v>30.75</v>
      </c>
      <c r="I183">
        <v>30.82</v>
      </c>
      <c r="J183">
        <v>30.89</v>
      </c>
      <c r="K183">
        <v>37.56</v>
      </c>
      <c r="L183">
        <v>37.68</v>
      </c>
      <c r="M183">
        <v>37.799999999999997</v>
      </c>
    </row>
    <row r="184" spans="1:13" x14ac:dyDescent="0.25">
      <c r="A184" s="1">
        <v>39713</v>
      </c>
      <c r="B184">
        <v>35.01</v>
      </c>
      <c r="C184">
        <v>35.64</v>
      </c>
      <c r="D184">
        <v>36.81</v>
      </c>
      <c r="E184">
        <v>37.130000000000003</v>
      </c>
      <c r="F184">
        <v>37.46</v>
      </c>
      <c r="G184">
        <v>37.78</v>
      </c>
      <c r="H184">
        <v>29.96</v>
      </c>
      <c r="I184">
        <v>30.02</v>
      </c>
      <c r="J184">
        <v>30.09</v>
      </c>
      <c r="K184">
        <v>36.51</v>
      </c>
      <c r="L184">
        <v>36.630000000000003</v>
      </c>
      <c r="M184">
        <v>36.75</v>
      </c>
    </row>
    <row r="185" spans="1:13" x14ac:dyDescent="0.25">
      <c r="A185" s="1">
        <v>39714</v>
      </c>
      <c r="B185">
        <v>34.26</v>
      </c>
      <c r="C185">
        <v>34.869999999999997</v>
      </c>
      <c r="D185">
        <v>36.020000000000003</v>
      </c>
      <c r="E185">
        <v>36.229999999999997</v>
      </c>
      <c r="F185">
        <v>36.549999999999997</v>
      </c>
      <c r="G185">
        <v>36.869999999999997</v>
      </c>
      <c r="H185">
        <v>29.18</v>
      </c>
      <c r="I185">
        <v>29.24</v>
      </c>
      <c r="J185">
        <v>29.31</v>
      </c>
      <c r="K185">
        <v>35.86</v>
      </c>
      <c r="L185">
        <v>35.979999999999997</v>
      </c>
      <c r="M185">
        <v>36.1</v>
      </c>
    </row>
    <row r="186" spans="1:13" x14ac:dyDescent="0.25">
      <c r="A186" s="1">
        <v>39715</v>
      </c>
      <c r="B186">
        <v>34.36</v>
      </c>
      <c r="C186">
        <v>34.97</v>
      </c>
      <c r="D186">
        <v>36.119999999999997</v>
      </c>
      <c r="E186">
        <v>36.229999999999997</v>
      </c>
      <c r="F186">
        <v>36.549999999999997</v>
      </c>
      <c r="G186">
        <v>36.869999999999997</v>
      </c>
      <c r="H186">
        <v>29.16</v>
      </c>
      <c r="I186">
        <v>29.22</v>
      </c>
      <c r="J186">
        <v>29.29</v>
      </c>
      <c r="K186">
        <v>36.31</v>
      </c>
      <c r="L186">
        <v>36.43</v>
      </c>
      <c r="M186">
        <v>36.549999999999997</v>
      </c>
    </row>
    <row r="187" spans="1:13" x14ac:dyDescent="0.25">
      <c r="A187" s="1">
        <v>39716</v>
      </c>
      <c r="B187">
        <v>35.19</v>
      </c>
      <c r="C187">
        <v>35.82</v>
      </c>
      <c r="D187">
        <v>37</v>
      </c>
      <c r="E187">
        <v>37.19</v>
      </c>
      <c r="F187">
        <v>37.51</v>
      </c>
      <c r="G187">
        <v>37.840000000000003</v>
      </c>
      <c r="H187">
        <v>30.12</v>
      </c>
      <c r="I187">
        <v>30.19</v>
      </c>
      <c r="J187">
        <v>30.25</v>
      </c>
      <c r="K187">
        <v>36.96</v>
      </c>
      <c r="L187">
        <v>37.090000000000003</v>
      </c>
      <c r="M187">
        <v>37.21</v>
      </c>
    </row>
    <row r="188" spans="1:13" x14ac:dyDescent="0.25">
      <c r="A188" s="1">
        <v>39717</v>
      </c>
      <c r="B188">
        <v>35.01</v>
      </c>
      <c r="C188">
        <v>35.630000000000003</v>
      </c>
      <c r="D188">
        <v>36.81</v>
      </c>
      <c r="E188">
        <v>37</v>
      </c>
      <c r="F188">
        <v>37.33</v>
      </c>
      <c r="G188">
        <v>37.659999999999997</v>
      </c>
      <c r="H188">
        <v>29.96</v>
      </c>
      <c r="I188">
        <v>30.02</v>
      </c>
      <c r="J188">
        <v>30.09</v>
      </c>
      <c r="K188">
        <v>35.729999999999997</v>
      </c>
      <c r="L188">
        <v>35.86</v>
      </c>
      <c r="M188">
        <v>35.979999999999997</v>
      </c>
    </row>
    <row r="189" spans="1:13" x14ac:dyDescent="0.25">
      <c r="A189" s="1">
        <v>39720</v>
      </c>
      <c r="B189">
        <v>33.42</v>
      </c>
      <c r="C189">
        <v>34.01</v>
      </c>
      <c r="D189">
        <v>35.14</v>
      </c>
      <c r="E189">
        <v>35.43</v>
      </c>
      <c r="F189">
        <v>35.74</v>
      </c>
      <c r="G189">
        <v>36.06</v>
      </c>
      <c r="H189">
        <v>28.6</v>
      </c>
      <c r="I189">
        <v>28.67</v>
      </c>
      <c r="J189">
        <v>28.73</v>
      </c>
      <c r="K189">
        <v>32.94</v>
      </c>
      <c r="L189">
        <v>33.049999999999997</v>
      </c>
      <c r="M189">
        <v>33.159999999999997</v>
      </c>
    </row>
    <row r="190" spans="1:13" x14ac:dyDescent="0.25">
      <c r="A190" s="1">
        <v>39721</v>
      </c>
      <c r="B190">
        <v>33.700000000000003</v>
      </c>
      <c r="C190">
        <v>34.31</v>
      </c>
      <c r="D190">
        <v>35.44</v>
      </c>
      <c r="E190">
        <v>35.340000000000003</v>
      </c>
      <c r="F190">
        <v>35.65</v>
      </c>
      <c r="G190">
        <v>35.96</v>
      </c>
      <c r="H190">
        <v>28.51</v>
      </c>
      <c r="I190">
        <v>28.57</v>
      </c>
      <c r="J190">
        <v>28.64</v>
      </c>
      <c r="K190">
        <v>33.89</v>
      </c>
      <c r="L190">
        <v>34.01</v>
      </c>
      <c r="M190">
        <v>34.119999999999997</v>
      </c>
    </row>
    <row r="191" spans="1:13" x14ac:dyDescent="0.25">
      <c r="A191" s="1">
        <v>39722</v>
      </c>
      <c r="B191">
        <v>33.799999999999997</v>
      </c>
      <c r="C191">
        <v>34.409999999999997</v>
      </c>
      <c r="D191">
        <v>35.54</v>
      </c>
      <c r="E191">
        <v>35.42</v>
      </c>
      <c r="F191">
        <v>35.729999999999997</v>
      </c>
      <c r="G191">
        <v>36.049999999999997</v>
      </c>
      <c r="H191">
        <v>28.61</v>
      </c>
      <c r="I191">
        <v>28.67</v>
      </c>
      <c r="J191">
        <v>28.74</v>
      </c>
      <c r="K191">
        <v>33.130000000000003</v>
      </c>
      <c r="L191">
        <v>33.24</v>
      </c>
      <c r="M191">
        <v>33.35</v>
      </c>
    </row>
    <row r="192" spans="1:13" x14ac:dyDescent="0.25">
      <c r="A192" s="1">
        <v>39723</v>
      </c>
      <c r="B192">
        <v>33.28</v>
      </c>
      <c r="C192">
        <v>33.869999999999997</v>
      </c>
      <c r="D192">
        <v>34.99</v>
      </c>
      <c r="E192">
        <v>35.04</v>
      </c>
      <c r="F192">
        <v>35.35</v>
      </c>
      <c r="G192">
        <v>35.67</v>
      </c>
      <c r="H192">
        <v>28.29</v>
      </c>
      <c r="I192">
        <v>28.35</v>
      </c>
      <c r="J192">
        <v>28.41</v>
      </c>
      <c r="K192">
        <v>31.45</v>
      </c>
      <c r="L192">
        <v>31.56</v>
      </c>
      <c r="M192">
        <v>31.66</v>
      </c>
    </row>
    <row r="193" spans="1:13" x14ac:dyDescent="0.25">
      <c r="A193" s="1">
        <v>39724</v>
      </c>
      <c r="B193">
        <v>33.51</v>
      </c>
      <c r="C193">
        <v>34.11</v>
      </c>
      <c r="D193">
        <v>35.24</v>
      </c>
      <c r="E193">
        <v>35.17</v>
      </c>
      <c r="F193">
        <v>35.479999999999997</v>
      </c>
      <c r="G193">
        <v>35.799999999999997</v>
      </c>
      <c r="H193">
        <v>28.52</v>
      </c>
      <c r="I193">
        <v>28.58</v>
      </c>
      <c r="J193">
        <v>28.65</v>
      </c>
      <c r="K193">
        <v>32.380000000000003</v>
      </c>
      <c r="L193">
        <v>32.5</v>
      </c>
      <c r="M193">
        <v>32.61</v>
      </c>
    </row>
    <row r="194" spans="1:13" x14ac:dyDescent="0.25">
      <c r="A194" s="1">
        <v>39727</v>
      </c>
      <c r="B194">
        <v>31.36</v>
      </c>
      <c r="C194">
        <v>31.92</v>
      </c>
      <c r="D194">
        <v>32.979999999999997</v>
      </c>
      <c r="E194">
        <v>31.8</v>
      </c>
      <c r="F194">
        <v>32.090000000000003</v>
      </c>
      <c r="G194">
        <v>32.369999999999997</v>
      </c>
      <c r="H194">
        <v>25.9</v>
      </c>
      <c r="I194">
        <v>25.96</v>
      </c>
      <c r="J194">
        <v>26.02</v>
      </c>
      <c r="K194">
        <v>29.51</v>
      </c>
      <c r="L194">
        <v>29.61</v>
      </c>
      <c r="M194">
        <v>29.71</v>
      </c>
    </row>
    <row r="195" spans="1:13" x14ac:dyDescent="0.25">
      <c r="A195" s="1">
        <v>39728</v>
      </c>
      <c r="B195">
        <v>30.58</v>
      </c>
      <c r="C195">
        <v>31.13</v>
      </c>
      <c r="D195">
        <v>32.159999999999997</v>
      </c>
      <c r="E195">
        <v>31.13</v>
      </c>
      <c r="F195">
        <v>31.41</v>
      </c>
      <c r="G195">
        <v>31.69</v>
      </c>
      <c r="H195">
        <v>25.47</v>
      </c>
      <c r="I195">
        <v>25.53</v>
      </c>
      <c r="J195">
        <v>25.59</v>
      </c>
      <c r="K195">
        <v>27.71</v>
      </c>
      <c r="L195">
        <v>27.81</v>
      </c>
      <c r="M195">
        <v>27.9</v>
      </c>
    </row>
    <row r="196" spans="1:13" x14ac:dyDescent="0.25">
      <c r="A196" s="1">
        <v>39729</v>
      </c>
      <c r="B196">
        <v>29.42</v>
      </c>
      <c r="C196">
        <v>29.94</v>
      </c>
      <c r="D196">
        <v>30.94</v>
      </c>
      <c r="E196">
        <v>29.09</v>
      </c>
      <c r="F196">
        <v>29.35</v>
      </c>
      <c r="G196">
        <v>29.61</v>
      </c>
      <c r="H196">
        <v>23.86</v>
      </c>
      <c r="I196">
        <v>23.91</v>
      </c>
      <c r="J196">
        <v>23.97</v>
      </c>
      <c r="K196">
        <v>26.72</v>
      </c>
      <c r="L196">
        <v>26.82</v>
      </c>
      <c r="M196">
        <v>26.91</v>
      </c>
    </row>
    <row r="197" spans="1:13" x14ac:dyDescent="0.25">
      <c r="A197" s="1">
        <v>39730</v>
      </c>
      <c r="B197">
        <v>29.01</v>
      </c>
      <c r="C197">
        <v>29.53</v>
      </c>
      <c r="D197">
        <v>30.51</v>
      </c>
      <c r="E197">
        <v>28.03</v>
      </c>
      <c r="F197">
        <v>28.29</v>
      </c>
      <c r="G197">
        <v>28.54</v>
      </c>
      <c r="H197">
        <v>23.49</v>
      </c>
      <c r="I197">
        <v>23.54</v>
      </c>
      <c r="J197">
        <v>23.6</v>
      </c>
      <c r="K197">
        <v>25.67</v>
      </c>
      <c r="L197">
        <v>25.76</v>
      </c>
      <c r="M197">
        <v>25.86</v>
      </c>
    </row>
    <row r="198" spans="1:13" x14ac:dyDescent="0.25">
      <c r="A198" s="1">
        <v>39731</v>
      </c>
      <c r="B198">
        <v>26.56</v>
      </c>
      <c r="C198">
        <v>27.04</v>
      </c>
      <c r="D198">
        <v>27.94</v>
      </c>
      <c r="E198">
        <v>25.77</v>
      </c>
      <c r="F198">
        <v>26</v>
      </c>
      <c r="G198">
        <v>26.23</v>
      </c>
      <c r="H198">
        <v>21.38</v>
      </c>
      <c r="I198">
        <v>21.43</v>
      </c>
      <c r="J198">
        <v>21.48</v>
      </c>
      <c r="K198">
        <v>25.01</v>
      </c>
      <c r="L198">
        <v>25.1</v>
      </c>
      <c r="M198">
        <v>25.19</v>
      </c>
    </row>
    <row r="199" spans="1:13" x14ac:dyDescent="0.25">
      <c r="A199" s="1">
        <v>39734</v>
      </c>
      <c r="B199">
        <v>27.75</v>
      </c>
      <c r="C199">
        <v>28.25</v>
      </c>
      <c r="D199">
        <v>29.19</v>
      </c>
      <c r="E199">
        <v>27.25</v>
      </c>
      <c r="F199">
        <v>27.5</v>
      </c>
      <c r="G199">
        <v>27.75</v>
      </c>
      <c r="H199">
        <v>22.31</v>
      </c>
      <c r="I199">
        <v>22.36</v>
      </c>
      <c r="J199">
        <v>22.41</v>
      </c>
      <c r="K199">
        <v>28.34</v>
      </c>
      <c r="L199">
        <v>28.44</v>
      </c>
      <c r="M199">
        <v>28.54</v>
      </c>
    </row>
    <row r="200" spans="1:13" x14ac:dyDescent="0.25">
      <c r="A200" s="1">
        <v>39735</v>
      </c>
      <c r="B200">
        <v>28.94</v>
      </c>
      <c r="C200">
        <v>29.46</v>
      </c>
      <c r="D200">
        <v>30.44</v>
      </c>
      <c r="E200">
        <v>28.96</v>
      </c>
      <c r="F200">
        <v>29.22</v>
      </c>
      <c r="G200">
        <v>29.48</v>
      </c>
      <c r="H200">
        <v>23.44</v>
      </c>
      <c r="I200">
        <v>23.49</v>
      </c>
      <c r="J200">
        <v>23.55</v>
      </c>
      <c r="K200">
        <v>28.9</v>
      </c>
      <c r="L200">
        <v>29</v>
      </c>
      <c r="M200">
        <v>29.11</v>
      </c>
    </row>
    <row r="201" spans="1:13" x14ac:dyDescent="0.25">
      <c r="A201" s="1">
        <v>39736</v>
      </c>
      <c r="B201">
        <v>27.09</v>
      </c>
      <c r="C201">
        <v>27.58</v>
      </c>
      <c r="D201">
        <v>28.5</v>
      </c>
      <c r="E201">
        <v>26.8</v>
      </c>
      <c r="F201">
        <v>27.05</v>
      </c>
      <c r="G201">
        <v>27.29</v>
      </c>
      <c r="H201">
        <v>21.96</v>
      </c>
      <c r="I201">
        <v>22.01</v>
      </c>
      <c r="J201">
        <v>22.06</v>
      </c>
      <c r="K201">
        <v>26</v>
      </c>
      <c r="L201">
        <v>26.1</v>
      </c>
      <c r="M201">
        <v>26.19</v>
      </c>
    </row>
    <row r="202" spans="1:13" x14ac:dyDescent="0.25">
      <c r="A202" s="1">
        <v>39737</v>
      </c>
      <c r="B202">
        <v>25.71</v>
      </c>
      <c r="C202">
        <v>26.17</v>
      </c>
      <c r="D202">
        <v>27.04</v>
      </c>
      <c r="E202">
        <v>24.73</v>
      </c>
      <c r="F202">
        <v>24.95</v>
      </c>
      <c r="G202">
        <v>25.18</v>
      </c>
      <c r="H202">
        <v>20.079999999999998</v>
      </c>
      <c r="I202">
        <v>20.13</v>
      </c>
      <c r="J202">
        <v>20.18</v>
      </c>
      <c r="K202">
        <v>24.95</v>
      </c>
      <c r="L202">
        <v>25.04</v>
      </c>
      <c r="M202">
        <v>25.13</v>
      </c>
    </row>
    <row r="203" spans="1:13" x14ac:dyDescent="0.25">
      <c r="A203" s="1">
        <v>39738</v>
      </c>
      <c r="B203">
        <v>24.79</v>
      </c>
      <c r="C203">
        <v>25.24</v>
      </c>
      <c r="D203">
        <v>26.08</v>
      </c>
      <c r="E203">
        <v>23.37</v>
      </c>
      <c r="F203">
        <v>23.59</v>
      </c>
      <c r="G203">
        <v>23.8</v>
      </c>
      <c r="H203">
        <v>19.09</v>
      </c>
      <c r="I203">
        <v>19.13</v>
      </c>
      <c r="J203">
        <v>19.18</v>
      </c>
      <c r="K203">
        <v>25.04</v>
      </c>
      <c r="L203">
        <v>25.14</v>
      </c>
      <c r="M203">
        <v>25.23</v>
      </c>
    </row>
    <row r="204" spans="1:13" x14ac:dyDescent="0.25">
      <c r="A204" s="1">
        <v>39741</v>
      </c>
      <c r="B204">
        <v>25.22</v>
      </c>
      <c r="C204">
        <v>25.68</v>
      </c>
      <c r="D204">
        <v>26.54</v>
      </c>
      <c r="E204">
        <v>23.63</v>
      </c>
      <c r="F204">
        <v>23.85</v>
      </c>
      <c r="G204">
        <v>24.07</v>
      </c>
      <c r="H204">
        <v>19.48</v>
      </c>
      <c r="I204">
        <v>19.53</v>
      </c>
      <c r="J204">
        <v>19.579999999999998</v>
      </c>
      <c r="K204">
        <v>26.41</v>
      </c>
      <c r="L204">
        <v>26.5</v>
      </c>
      <c r="M204">
        <v>26.6</v>
      </c>
    </row>
    <row r="205" spans="1:13" x14ac:dyDescent="0.25">
      <c r="A205" s="1">
        <v>39742</v>
      </c>
      <c r="B205">
        <v>25.38</v>
      </c>
      <c r="C205">
        <v>25.84</v>
      </c>
      <c r="D205">
        <v>26.7</v>
      </c>
      <c r="E205">
        <v>23.64</v>
      </c>
      <c r="F205">
        <v>23.85</v>
      </c>
      <c r="G205">
        <v>24.07</v>
      </c>
      <c r="H205">
        <v>19.59</v>
      </c>
      <c r="I205">
        <v>19.64</v>
      </c>
      <c r="J205">
        <v>19.690000000000001</v>
      </c>
      <c r="K205">
        <v>26.77</v>
      </c>
      <c r="L205">
        <v>26.88</v>
      </c>
      <c r="M205">
        <v>26.98</v>
      </c>
    </row>
    <row r="206" spans="1:13" x14ac:dyDescent="0.25">
      <c r="A206" s="1">
        <v>39743</v>
      </c>
      <c r="B206">
        <v>24.09</v>
      </c>
      <c r="C206">
        <v>24.52</v>
      </c>
      <c r="D206">
        <v>25.34</v>
      </c>
      <c r="E206">
        <v>22.69</v>
      </c>
      <c r="F206">
        <v>22.9</v>
      </c>
      <c r="G206">
        <v>23.11</v>
      </c>
      <c r="H206">
        <v>18.71</v>
      </c>
      <c r="I206">
        <v>18.75</v>
      </c>
      <c r="J206">
        <v>18.8</v>
      </c>
      <c r="K206">
        <v>25.49</v>
      </c>
      <c r="L206">
        <v>25.59</v>
      </c>
      <c r="M206">
        <v>25.68</v>
      </c>
    </row>
    <row r="207" spans="1:13" x14ac:dyDescent="0.25">
      <c r="A207" s="1">
        <v>39744</v>
      </c>
      <c r="B207">
        <v>23.59</v>
      </c>
      <c r="C207">
        <v>24.02</v>
      </c>
      <c r="D207">
        <v>24.82</v>
      </c>
      <c r="E207">
        <v>22.45</v>
      </c>
      <c r="F207">
        <v>22.65</v>
      </c>
      <c r="G207">
        <v>22.86</v>
      </c>
      <c r="H207">
        <v>18.34</v>
      </c>
      <c r="I207">
        <v>18.39</v>
      </c>
      <c r="J207">
        <v>18.43</v>
      </c>
      <c r="K207">
        <v>25.39</v>
      </c>
      <c r="L207">
        <v>25.48</v>
      </c>
      <c r="M207">
        <v>25.58</v>
      </c>
    </row>
    <row r="208" spans="1:13" x14ac:dyDescent="0.25">
      <c r="A208" s="1">
        <v>39745</v>
      </c>
      <c r="B208">
        <v>23.07</v>
      </c>
      <c r="C208">
        <v>23.49</v>
      </c>
      <c r="D208">
        <v>24.28</v>
      </c>
      <c r="E208">
        <v>22</v>
      </c>
      <c r="F208">
        <v>22.2</v>
      </c>
      <c r="G208">
        <v>22.41</v>
      </c>
      <c r="H208">
        <v>17.84</v>
      </c>
      <c r="I208">
        <v>17.88</v>
      </c>
      <c r="J208">
        <v>17.93</v>
      </c>
      <c r="K208">
        <v>24.91</v>
      </c>
      <c r="L208">
        <v>25.01</v>
      </c>
      <c r="M208">
        <v>25.1</v>
      </c>
    </row>
    <row r="209" spans="1:13" x14ac:dyDescent="0.25">
      <c r="A209" s="1">
        <v>39748</v>
      </c>
      <c r="B209">
        <v>22.24</v>
      </c>
      <c r="C209">
        <v>22.64</v>
      </c>
      <c r="D209">
        <v>23.4</v>
      </c>
      <c r="E209">
        <v>20.99</v>
      </c>
      <c r="F209">
        <v>21.18</v>
      </c>
      <c r="G209">
        <v>21.38</v>
      </c>
      <c r="H209">
        <v>17.350000000000001</v>
      </c>
      <c r="I209">
        <v>17.39</v>
      </c>
      <c r="J209">
        <v>17.43</v>
      </c>
      <c r="K209">
        <v>22.48</v>
      </c>
      <c r="L209">
        <v>22.57</v>
      </c>
      <c r="M209">
        <v>22.65</v>
      </c>
    </row>
    <row r="210" spans="1:13" x14ac:dyDescent="0.25">
      <c r="A210" s="1">
        <v>39749</v>
      </c>
      <c r="B210">
        <v>22.53</v>
      </c>
      <c r="C210">
        <v>22.94</v>
      </c>
      <c r="D210">
        <v>23.7</v>
      </c>
      <c r="E210">
        <v>21.52</v>
      </c>
      <c r="F210">
        <v>21.72</v>
      </c>
      <c r="G210">
        <v>21.92</v>
      </c>
      <c r="H210">
        <v>17.77</v>
      </c>
      <c r="I210">
        <v>17.82</v>
      </c>
      <c r="J210">
        <v>17.86</v>
      </c>
      <c r="K210">
        <v>22.48</v>
      </c>
      <c r="L210">
        <v>22.57</v>
      </c>
      <c r="M210">
        <v>22.65</v>
      </c>
    </row>
    <row r="211" spans="1:13" x14ac:dyDescent="0.25">
      <c r="A211" s="1">
        <v>39750</v>
      </c>
      <c r="B211">
        <v>23.68</v>
      </c>
      <c r="C211">
        <v>24.11</v>
      </c>
      <c r="D211">
        <v>24.91</v>
      </c>
      <c r="E211">
        <v>22.17</v>
      </c>
      <c r="F211">
        <v>22.37</v>
      </c>
      <c r="G211">
        <v>22.58</v>
      </c>
      <c r="H211">
        <v>18.13</v>
      </c>
      <c r="I211">
        <v>18.18</v>
      </c>
      <c r="J211">
        <v>18.22</v>
      </c>
      <c r="K211">
        <v>23.7</v>
      </c>
      <c r="L211">
        <v>23.79</v>
      </c>
      <c r="M211">
        <v>23.88</v>
      </c>
    </row>
    <row r="212" spans="1:13" x14ac:dyDescent="0.25">
      <c r="A212" s="1">
        <v>39751</v>
      </c>
      <c r="B212">
        <v>24.22</v>
      </c>
      <c r="C212">
        <v>24.66</v>
      </c>
      <c r="D212">
        <v>25.49</v>
      </c>
      <c r="E212">
        <v>23.16</v>
      </c>
      <c r="F212">
        <v>23.37</v>
      </c>
      <c r="G212">
        <v>23.59</v>
      </c>
      <c r="H212">
        <v>18.940000000000001</v>
      </c>
      <c r="I212">
        <v>18.989999999999998</v>
      </c>
      <c r="J212">
        <v>19.03</v>
      </c>
      <c r="K212">
        <v>24.66</v>
      </c>
      <c r="L212">
        <v>24.75</v>
      </c>
      <c r="M212">
        <v>24.85</v>
      </c>
    </row>
    <row r="213" spans="1:13" x14ac:dyDescent="0.25">
      <c r="A213" s="1">
        <v>39752</v>
      </c>
      <c r="B213">
        <v>24.82</v>
      </c>
      <c r="C213">
        <v>25.27</v>
      </c>
      <c r="D213">
        <v>26.11</v>
      </c>
      <c r="E213">
        <v>23.77</v>
      </c>
      <c r="F213">
        <v>23.99</v>
      </c>
      <c r="G213">
        <v>24.22</v>
      </c>
      <c r="H213">
        <v>19.649999999999999</v>
      </c>
      <c r="I213">
        <v>19.7</v>
      </c>
      <c r="J213">
        <v>19.75</v>
      </c>
      <c r="K213">
        <v>25.98</v>
      </c>
      <c r="L213">
        <v>26.09</v>
      </c>
      <c r="M213">
        <v>26.19</v>
      </c>
    </row>
    <row r="214" spans="1:13" x14ac:dyDescent="0.25">
      <c r="A214" s="1">
        <v>39755</v>
      </c>
      <c r="B214">
        <v>25.05</v>
      </c>
      <c r="C214">
        <v>25.5</v>
      </c>
      <c r="D214">
        <v>26.36</v>
      </c>
      <c r="E214">
        <v>24</v>
      </c>
      <c r="F214">
        <v>24.23</v>
      </c>
      <c r="G214">
        <v>24.45</v>
      </c>
      <c r="H214">
        <v>19.87</v>
      </c>
      <c r="I214">
        <v>19.920000000000002</v>
      </c>
      <c r="J214">
        <v>19.97</v>
      </c>
      <c r="K214">
        <v>26.01</v>
      </c>
      <c r="L214">
        <v>26.11</v>
      </c>
      <c r="M214">
        <v>26.22</v>
      </c>
    </row>
    <row r="215" spans="1:13" x14ac:dyDescent="0.25">
      <c r="A215" s="1">
        <v>39756</v>
      </c>
      <c r="B215">
        <v>26.31</v>
      </c>
      <c r="C215">
        <v>26.8</v>
      </c>
      <c r="D215">
        <v>27.69</v>
      </c>
      <c r="E215">
        <v>25.46</v>
      </c>
      <c r="F215">
        <v>25.69</v>
      </c>
      <c r="G215">
        <v>25.93</v>
      </c>
      <c r="H215">
        <v>21.15</v>
      </c>
      <c r="I215">
        <v>21.2</v>
      </c>
      <c r="J215">
        <v>21.26</v>
      </c>
      <c r="K215">
        <v>28.23</v>
      </c>
      <c r="L215">
        <v>28.34</v>
      </c>
      <c r="M215">
        <v>28.45</v>
      </c>
    </row>
    <row r="216" spans="1:13" x14ac:dyDescent="0.25">
      <c r="A216" s="1">
        <v>39757</v>
      </c>
      <c r="B216">
        <v>25.61</v>
      </c>
      <c r="C216">
        <v>26.08</v>
      </c>
      <c r="D216">
        <v>26.96</v>
      </c>
      <c r="E216">
        <v>24.19</v>
      </c>
      <c r="F216">
        <v>24.42</v>
      </c>
      <c r="G216">
        <v>24.64</v>
      </c>
      <c r="H216">
        <v>20.04</v>
      </c>
      <c r="I216">
        <v>20.09</v>
      </c>
      <c r="J216">
        <v>20.14</v>
      </c>
      <c r="K216">
        <v>26.84</v>
      </c>
      <c r="L216">
        <v>26.95</v>
      </c>
      <c r="M216">
        <v>27.06</v>
      </c>
    </row>
    <row r="217" spans="1:13" x14ac:dyDescent="0.25">
      <c r="A217" s="1">
        <v>39758</v>
      </c>
      <c r="B217">
        <v>24.83</v>
      </c>
      <c r="C217">
        <v>25.28</v>
      </c>
      <c r="D217">
        <v>26.13</v>
      </c>
      <c r="E217">
        <v>23.28</v>
      </c>
      <c r="F217">
        <v>23.5</v>
      </c>
      <c r="G217">
        <v>23.72</v>
      </c>
      <c r="H217">
        <v>19.440000000000001</v>
      </c>
      <c r="I217">
        <v>19.489999999999998</v>
      </c>
      <c r="J217">
        <v>19.54</v>
      </c>
      <c r="K217">
        <v>24.99</v>
      </c>
      <c r="L217">
        <v>25.09</v>
      </c>
      <c r="M217">
        <v>25.19</v>
      </c>
    </row>
    <row r="218" spans="1:13" x14ac:dyDescent="0.25">
      <c r="A218" s="1">
        <v>39759</v>
      </c>
      <c r="B218">
        <v>25.21</v>
      </c>
      <c r="C218">
        <v>25.68</v>
      </c>
      <c r="D218">
        <v>26.54</v>
      </c>
      <c r="E218">
        <v>23.71</v>
      </c>
      <c r="F218">
        <v>23.93</v>
      </c>
      <c r="G218">
        <v>24.15</v>
      </c>
      <c r="H218">
        <v>19.7</v>
      </c>
      <c r="I218">
        <v>19.75</v>
      </c>
      <c r="J218">
        <v>19.8</v>
      </c>
      <c r="K218">
        <v>26.01</v>
      </c>
      <c r="L218">
        <v>26.12</v>
      </c>
      <c r="M218">
        <v>26.22</v>
      </c>
    </row>
    <row r="219" spans="1:13" x14ac:dyDescent="0.25">
      <c r="A219" s="1">
        <v>39762</v>
      </c>
      <c r="B219">
        <v>25.28</v>
      </c>
      <c r="C219">
        <v>25.75</v>
      </c>
      <c r="D219">
        <v>26.61</v>
      </c>
      <c r="E219">
        <v>23.46</v>
      </c>
      <c r="F219">
        <v>23.68</v>
      </c>
      <c r="G219">
        <v>23.9</v>
      </c>
      <c r="H219">
        <v>19.53</v>
      </c>
      <c r="I219">
        <v>19.579999999999998</v>
      </c>
      <c r="J219">
        <v>19.63</v>
      </c>
      <c r="K219">
        <v>26.58</v>
      </c>
      <c r="L219">
        <v>26.69</v>
      </c>
      <c r="M219">
        <v>26.8</v>
      </c>
    </row>
    <row r="220" spans="1:13" x14ac:dyDescent="0.25">
      <c r="A220" s="1">
        <v>39764</v>
      </c>
      <c r="B220">
        <v>24.23</v>
      </c>
      <c r="C220">
        <v>24.68</v>
      </c>
      <c r="D220">
        <v>25.51</v>
      </c>
      <c r="E220">
        <v>21.59</v>
      </c>
      <c r="F220">
        <v>21.79</v>
      </c>
      <c r="G220">
        <v>22</v>
      </c>
      <c r="H220">
        <v>18.350000000000001</v>
      </c>
      <c r="I220">
        <v>18.399999999999999</v>
      </c>
      <c r="J220">
        <v>18.440000000000001</v>
      </c>
      <c r="K220">
        <v>24.26</v>
      </c>
      <c r="L220">
        <v>24.35</v>
      </c>
      <c r="M220">
        <v>24.45</v>
      </c>
    </row>
    <row r="221" spans="1:13" x14ac:dyDescent="0.25">
      <c r="A221" s="1">
        <v>39765</v>
      </c>
      <c r="B221">
        <v>23.23</v>
      </c>
      <c r="C221">
        <v>23.66</v>
      </c>
      <c r="D221">
        <v>24.46</v>
      </c>
      <c r="E221">
        <v>20.93</v>
      </c>
      <c r="F221">
        <v>21.13</v>
      </c>
      <c r="G221">
        <v>21.33</v>
      </c>
      <c r="H221">
        <v>17.850000000000001</v>
      </c>
      <c r="I221">
        <v>17.899999999999999</v>
      </c>
      <c r="J221">
        <v>17.95</v>
      </c>
      <c r="K221">
        <v>24.49</v>
      </c>
      <c r="L221">
        <v>24.59</v>
      </c>
      <c r="M221">
        <v>24.69</v>
      </c>
    </row>
    <row r="222" spans="1:13" x14ac:dyDescent="0.25">
      <c r="A222" s="1">
        <v>39766</v>
      </c>
      <c r="B222">
        <v>23.54</v>
      </c>
      <c r="C222">
        <v>23.98</v>
      </c>
      <c r="D222">
        <v>24.78</v>
      </c>
      <c r="E222">
        <v>21.25</v>
      </c>
      <c r="F222">
        <v>21.45</v>
      </c>
      <c r="G222">
        <v>21.65</v>
      </c>
      <c r="H222">
        <v>18.18</v>
      </c>
      <c r="I222">
        <v>18.22</v>
      </c>
      <c r="J222">
        <v>18.27</v>
      </c>
      <c r="K222">
        <v>24.12</v>
      </c>
      <c r="L222">
        <v>24.21</v>
      </c>
      <c r="M222">
        <v>24.31</v>
      </c>
    </row>
    <row r="223" spans="1:13" x14ac:dyDescent="0.25">
      <c r="A223" s="1">
        <v>39769</v>
      </c>
      <c r="B223">
        <v>22.82</v>
      </c>
      <c r="C223">
        <v>23.25</v>
      </c>
      <c r="D223">
        <v>24.03</v>
      </c>
      <c r="E223">
        <v>20.78</v>
      </c>
      <c r="F223">
        <v>20.97</v>
      </c>
      <c r="G223">
        <v>21.17</v>
      </c>
      <c r="H223">
        <v>17.510000000000002</v>
      </c>
      <c r="I223">
        <v>17.559999999999999</v>
      </c>
      <c r="J223">
        <v>17.61</v>
      </c>
      <c r="K223">
        <v>23.76</v>
      </c>
      <c r="L223">
        <v>23.86</v>
      </c>
      <c r="M223">
        <v>23.96</v>
      </c>
    </row>
    <row r="224" spans="1:13" x14ac:dyDescent="0.25">
      <c r="A224" s="1">
        <v>39770</v>
      </c>
      <c r="B224">
        <v>22.32</v>
      </c>
      <c r="C224">
        <v>22.73</v>
      </c>
      <c r="D224">
        <v>23.49</v>
      </c>
      <c r="E224">
        <v>20.6</v>
      </c>
      <c r="F224">
        <v>20.79</v>
      </c>
      <c r="G224">
        <v>20.99</v>
      </c>
      <c r="H224">
        <v>17.489999999999998</v>
      </c>
      <c r="I224">
        <v>17.53</v>
      </c>
      <c r="J224">
        <v>17.579999999999998</v>
      </c>
      <c r="K224">
        <v>23.86</v>
      </c>
      <c r="L224">
        <v>23.96</v>
      </c>
      <c r="M224">
        <v>24.05</v>
      </c>
    </row>
    <row r="225" spans="1:13" x14ac:dyDescent="0.25">
      <c r="A225" s="1">
        <v>39771</v>
      </c>
      <c r="B225">
        <v>21.88</v>
      </c>
      <c r="C225">
        <v>22.29</v>
      </c>
      <c r="D225">
        <v>23.04</v>
      </c>
      <c r="E225">
        <v>19.579999999999998</v>
      </c>
      <c r="F225">
        <v>19.77</v>
      </c>
      <c r="G225">
        <v>19.96</v>
      </c>
      <c r="H225">
        <v>16.64</v>
      </c>
      <c r="I225">
        <v>16.690000000000001</v>
      </c>
      <c r="J225">
        <v>16.73</v>
      </c>
      <c r="K225">
        <v>22.15</v>
      </c>
      <c r="L225">
        <v>22.24</v>
      </c>
      <c r="M225">
        <v>22.34</v>
      </c>
    </row>
    <row r="226" spans="1:13" x14ac:dyDescent="0.25">
      <c r="A226" s="1">
        <v>39772</v>
      </c>
      <c r="B226">
        <v>20.82</v>
      </c>
      <c r="C226">
        <v>21.21</v>
      </c>
      <c r="D226">
        <v>21.92</v>
      </c>
      <c r="E226">
        <v>18.760000000000002</v>
      </c>
      <c r="F226">
        <v>18.940000000000001</v>
      </c>
      <c r="G226">
        <v>19.12</v>
      </c>
      <c r="H226">
        <v>16.04</v>
      </c>
      <c r="I226">
        <v>16.079999999999998</v>
      </c>
      <c r="J226">
        <v>16.12</v>
      </c>
      <c r="K226">
        <v>20.62</v>
      </c>
      <c r="L226">
        <v>20.71</v>
      </c>
      <c r="M226">
        <v>20.8</v>
      </c>
    </row>
    <row r="227" spans="1:13" x14ac:dyDescent="0.25">
      <c r="A227" s="1">
        <v>39773</v>
      </c>
      <c r="B227">
        <v>21.17</v>
      </c>
      <c r="C227">
        <v>21.57</v>
      </c>
      <c r="D227">
        <v>22.29</v>
      </c>
      <c r="E227">
        <v>18.97</v>
      </c>
      <c r="F227">
        <v>19.149999999999999</v>
      </c>
      <c r="G227">
        <v>19.329999999999998</v>
      </c>
      <c r="H227">
        <v>16.309999999999999</v>
      </c>
      <c r="I227">
        <v>16.350000000000001</v>
      </c>
      <c r="J227">
        <v>16.39</v>
      </c>
      <c r="K227">
        <v>20.329999999999998</v>
      </c>
      <c r="L227">
        <v>20.41</v>
      </c>
      <c r="M227">
        <v>20.5</v>
      </c>
    </row>
    <row r="228" spans="1:13" x14ac:dyDescent="0.25">
      <c r="A228" s="1">
        <v>39776</v>
      </c>
      <c r="B228">
        <v>22.57</v>
      </c>
      <c r="C228">
        <v>22.99</v>
      </c>
      <c r="D228">
        <v>23.77</v>
      </c>
      <c r="E228">
        <v>21.12</v>
      </c>
      <c r="F228">
        <v>21.32</v>
      </c>
      <c r="G228">
        <v>21.53</v>
      </c>
      <c r="H228">
        <v>18.12</v>
      </c>
      <c r="I228">
        <v>18.170000000000002</v>
      </c>
      <c r="J228">
        <v>18.21</v>
      </c>
      <c r="K228">
        <v>22.54</v>
      </c>
      <c r="L228">
        <v>22.64</v>
      </c>
      <c r="M228">
        <v>22.74</v>
      </c>
    </row>
    <row r="229" spans="1:13" x14ac:dyDescent="0.25">
      <c r="A229" s="1">
        <v>39777</v>
      </c>
      <c r="B229">
        <v>22.78</v>
      </c>
      <c r="C229">
        <v>23.21</v>
      </c>
      <c r="D229">
        <v>23.99</v>
      </c>
      <c r="E229">
        <v>21.58</v>
      </c>
      <c r="F229">
        <v>21.79</v>
      </c>
      <c r="G229">
        <v>22</v>
      </c>
      <c r="H229">
        <v>18.2</v>
      </c>
      <c r="I229">
        <v>18.239999999999998</v>
      </c>
      <c r="J229">
        <v>18.29</v>
      </c>
      <c r="K229">
        <v>23.11</v>
      </c>
      <c r="L229">
        <v>23.21</v>
      </c>
      <c r="M229">
        <v>23.31</v>
      </c>
    </row>
    <row r="230" spans="1:13" x14ac:dyDescent="0.25">
      <c r="A230" s="1">
        <v>39778</v>
      </c>
      <c r="B230">
        <v>22.81</v>
      </c>
      <c r="C230">
        <v>23.23</v>
      </c>
      <c r="D230">
        <v>24.02</v>
      </c>
      <c r="E230">
        <v>21.23</v>
      </c>
      <c r="F230">
        <v>21.44</v>
      </c>
      <c r="G230">
        <v>21.64</v>
      </c>
      <c r="H230">
        <v>17.93</v>
      </c>
      <c r="I230">
        <v>17.98</v>
      </c>
      <c r="J230">
        <v>18.03</v>
      </c>
      <c r="K230">
        <v>23.49</v>
      </c>
      <c r="L230">
        <v>23.59</v>
      </c>
      <c r="M230">
        <v>23.69</v>
      </c>
    </row>
    <row r="231" spans="1:13" x14ac:dyDescent="0.25">
      <c r="A231" s="1">
        <v>39779</v>
      </c>
      <c r="B231">
        <v>23.21</v>
      </c>
      <c r="C231">
        <v>23.64</v>
      </c>
      <c r="D231">
        <v>24.44</v>
      </c>
      <c r="E231">
        <v>22.03</v>
      </c>
      <c r="F231">
        <v>22.24</v>
      </c>
      <c r="G231">
        <v>22.45</v>
      </c>
      <c r="H231">
        <v>18.45</v>
      </c>
      <c r="I231">
        <v>18.5</v>
      </c>
      <c r="J231">
        <v>18.55</v>
      </c>
      <c r="K231">
        <v>24.2</v>
      </c>
      <c r="L231">
        <v>24.31</v>
      </c>
      <c r="M231">
        <v>24.41</v>
      </c>
    </row>
    <row r="232" spans="1:13" x14ac:dyDescent="0.25">
      <c r="A232" s="1">
        <v>39780</v>
      </c>
      <c r="B232">
        <v>23.12</v>
      </c>
      <c r="C232">
        <v>23.55</v>
      </c>
      <c r="D232">
        <v>24.35</v>
      </c>
      <c r="E232">
        <v>22.2</v>
      </c>
      <c r="F232">
        <v>22.42</v>
      </c>
      <c r="G232">
        <v>22.63</v>
      </c>
      <c r="H232">
        <v>18.489999999999998</v>
      </c>
      <c r="I232">
        <v>18.54</v>
      </c>
      <c r="J232">
        <v>18.59</v>
      </c>
      <c r="K232">
        <v>24.25</v>
      </c>
      <c r="L232">
        <v>24.35</v>
      </c>
      <c r="M232">
        <v>24.45</v>
      </c>
    </row>
    <row r="233" spans="1:13" x14ac:dyDescent="0.25">
      <c r="A233" s="1">
        <v>39783</v>
      </c>
      <c r="B233">
        <v>22.23</v>
      </c>
      <c r="C233">
        <v>22.64</v>
      </c>
      <c r="D233">
        <v>23.41</v>
      </c>
      <c r="E233">
        <v>21.45</v>
      </c>
      <c r="F233">
        <v>21.66</v>
      </c>
      <c r="G233">
        <v>21.87</v>
      </c>
      <c r="H233">
        <v>17.91</v>
      </c>
      <c r="I233">
        <v>17.96</v>
      </c>
      <c r="J233">
        <v>18.010000000000002</v>
      </c>
      <c r="K233">
        <v>22.51</v>
      </c>
      <c r="L233">
        <v>22.61</v>
      </c>
      <c r="M233">
        <v>22.71</v>
      </c>
    </row>
    <row r="234" spans="1:13" x14ac:dyDescent="0.25">
      <c r="A234" s="1">
        <v>39784</v>
      </c>
      <c r="B234">
        <v>22.35</v>
      </c>
      <c r="C234">
        <v>22.77</v>
      </c>
      <c r="D234">
        <v>23.54</v>
      </c>
      <c r="E234">
        <v>21.6</v>
      </c>
      <c r="F234">
        <v>21.81</v>
      </c>
      <c r="G234">
        <v>22.02</v>
      </c>
      <c r="H234">
        <v>18.010000000000002</v>
      </c>
      <c r="I234">
        <v>18.059999999999999</v>
      </c>
      <c r="J234">
        <v>18.11</v>
      </c>
      <c r="K234">
        <v>22.84</v>
      </c>
      <c r="L234">
        <v>22.94</v>
      </c>
      <c r="M234">
        <v>23.04</v>
      </c>
    </row>
    <row r="235" spans="1:13" x14ac:dyDescent="0.25">
      <c r="A235" s="1">
        <v>39785</v>
      </c>
      <c r="B235">
        <v>22.27</v>
      </c>
      <c r="C235">
        <v>22.69</v>
      </c>
      <c r="D235">
        <v>23.46</v>
      </c>
      <c r="E235">
        <v>21.39</v>
      </c>
      <c r="F235">
        <v>21.6</v>
      </c>
      <c r="G235">
        <v>21.81</v>
      </c>
      <c r="H235">
        <v>17.899999999999999</v>
      </c>
      <c r="I235">
        <v>17.95</v>
      </c>
      <c r="J235">
        <v>18</v>
      </c>
      <c r="K235">
        <v>22.8</v>
      </c>
      <c r="L235">
        <v>22.9</v>
      </c>
      <c r="M235">
        <v>23</v>
      </c>
    </row>
    <row r="236" spans="1:13" x14ac:dyDescent="0.25">
      <c r="A236" s="1">
        <v>39786</v>
      </c>
      <c r="B236">
        <v>22.7</v>
      </c>
      <c r="C236">
        <v>23.12</v>
      </c>
      <c r="D236">
        <v>23.91</v>
      </c>
      <c r="E236">
        <v>22.19</v>
      </c>
      <c r="F236">
        <v>22.41</v>
      </c>
      <c r="G236">
        <v>22.63</v>
      </c>
      <c r="H236">
        <v>18.510000000000002</v>
      </c>
      <c r="I236">
        <v>18.559999999999999</v>
      </c>
      <c r="J236">
        <v>18.61</v>
      </c>
      <c r="K236">
        <v>22.78</v>
      </c>
      <c r="L236">
        <v>22.88</v>
      </c>
      <c r="M236">
        <v>22.98</v>
      </c>
    </row>
    <row r="237" spans="1:13" x14ac:dyDescent="0.25">
      <c r="A237" s="1">
        <v>39787</v>
      </c>
      <c r="B237">
        <v>22.14</v>
      </c>
      <c r="C237">
        <v>22.56</v>
      </c>
      <c r="D237">
        <v>23.32</v>
      </c>
      <c r="E237">
        <v>21.24</v>
      </c>
      <c r="F237">
        <v>21.45</v>
      </c>
      <c r="G237">
        <v>21.66</v>
      </c>
      <c r="H237">
        <v>17.86</v>
      </c>
      <c r="I237">
        <v>17.899999999999999</v>
      </c>
      <c r="J237">
        <v>17.95</v>
      </c>
      <c r="K237">
        <v>21.93</v>
      </c>
      <c r="L237">
        <v>22.03</v>
      </c>
      <c r="M237">
        <v>22.12</v>
      </c>
    </row>
    <row r="238" spans="1:13" x14ac:dyDescent="0.25">
      <c r="A238" s="1">
        <v>39790</v>
      </c>
      <c r="B238">
        <v>22.68</v>
      </c>
      <c r="C238">
        <v>23.1</v>
      </c>
      <c r="D238">
        <v>23.89</v>
      </c>
      <c r="E238">
        <v>21.26</v>
      </c>
      <c r="F238">
        <v>21.47</v>
      </c>
      <c r="G238">
        <v>21.68</v>
      </c>
      <c r="H238">
        <v>17.829999999999998</v>
      </c>
      <c r="I238">
        <v>17.88</v>
      </c>
      <c r="J238">
        <v>17.93</v>
      </c>
      <c r="K238">
        <v>23.05</v>
      </c>
      <c r="L238">
        <v>23.15</v>
      </c>
      <c r="M238">
        <v>23.26</v>
      </c>
    </row>
    <row r="239" spans="1:13" x14ac:dyDescent="0.25">
      <c r="A239" s="1">
        <v>39791</v>
      </c>
      <c r="B239">
        <v>23.17</v>
      </c>
      <c r="C239">
        <v>23.61</v>
      </c>
      <c r="D239">
        <v>24.41</v>
      </c>
      <c r="E239">
        <v>22.02</v>
      </c>
      <c r="F239">
        <v>22.23</v>
      </c>
      <c r="G239">
        <v>22.45</v>
      </c>
      <c r="H239">
        <v>18.37</v>
      </c>
      <c r="I239">
        <v>18.420000000000002</v>
      </c>
      <c r="J239">
        <v>18.47</v>
      </c>
      <c r="K239">
        <v>23.91</v>
      </c>
      <c r="L239">
        <v>24.01</v>
      </c>
      <c r="M239">
        <v>24.12</v>
      </c>
    </row>
    <row r="240" spans="1:13" x14ac:dyDescent="0.25">
      <c r="A240" s="1">
        <v>39792</v>
      </c>
      <c r="B240">
        <v>23.28</v>
      </c>
      <c r="C240">
        <v>23.72</v>
      </c>
      <c r="D240">
        <v>24.52</v>
      </c>
      <c r="E240">
        <v>22.36</v>
      </c>
      <c r="F240">
        <v>22.58</v>
      </c>
      <c r="G240">
        <v>22.8</v>
      </c>
      <c r="H240">
        <v>18.62</v>
      </c>
      <c r="I240">
        <v>18.670000000000002</v>
      </c>
      <c r="J240">
        <v>18.72</v>
      </c>
      <c r="K240">
        <v>24.82</v>
      </c>
      <c r="L240">
        <v>24.93</v>
      </c>
      <c r="M240">
        <v>25.04</v>
      </c>
    </row>
    <row r="241" spans="1:13" x14ac:dyDescent="0.25">
      <c r="A241" s="1">
        <v>39793</v>
      </c>
      <c r="B241">
        <v>23.21</v>
      </c>
      <c r="C241">
        <v>23.65</v>
      </c>
      <c r="D241">
        <v>24.46</v>
      </c>
      <c r="E241">
        <v>22.39</v>
      </c>
      <c r="F241">
        <v>22.61</v>
      </c>
      <c r="G241">
        <v>22.83</v>
      </c>
      <c r="H241">
        <v>18.690000000000001</v>
      </c>
      <c r="I241">
        <v>18.739999999999998</v>
      </c>
      <c r="J241">
        <v>18.79</v>
      </c>
      <c r="K241">
        <v>24.29</v>
      </c>
      <c r="L241">
        <v>24.4</v>
      </c>
      <c r="M241">
        <v>24.51</v>
      </c>
    </row>
    <row r="242" spans="1:13" x14ac:dyDescent="0.25">
      <c r="A242" s="1">
        <v>39794</v>
      </c>
      <c r="B242">
        <v>22.69</v>
      </c>
      <c r="C242">
        <v>23.12</v>
      </c>
      <c r="D242">
        <v>23.9</v>
      </c>
      <c r="E242">
        <v>21.77</v>
      </c>
      <c r="F242">
        <v>21.99</v>
      </c>
      <c r="G242">
        <v>22.2</v>
      </c>
      <c r="H242">
        <v>18.37</v>
      </c>
      <c r="I242">
        <v>18.43</v>
      </c>
      <c r="J242">
        <v>18.48</v>
      </c>
      <c r="K242">
        <v>23.71</v>
      </c>
      <c r="L242">
        <v>23.81</v>
      </c>
      <c r="M242">
        <v>23.92</v>
      </c>
    </row>
    <row r="243" spans="1:13" x14ac:dyDescent="0.25">
      <c r="A243" s="1">
        <v>39797</v>
      </c>
      <c r="B243">
        <v>22.95</v>
      </c>
      <c r="C243">
        <v>23.38</v>
      </c>
      <c r="D243">
        <v>24.18</v>
      </c>
      <c r="E243">
        <v>21.87</v>
      </c>
      <c r="F243">
        <v>22.09</v>
      </c>
      <c r="G243">
        <v>22.31</v>
      </c>
      <c r="H243">
        <v>18.53</v>
      </c>
      <c r="I243">
        <v>18.59</v>
      </c>
      <c r="J243">
        <v>18.64</v>
      </c>
      <c r="K243">
        <v>23.89</v>
      </c>
      <c r="L243">
        <v>23.99</v>
      </c>
      <c r="M243">
        <v>24.1</v>
      </c>
    </row>
    <row r="244" spans="1:13" x14ac:dyDescent="0.25">
      <c r="A244" s="1">
        <v>39798</v>
      </c>
      <c r="B244">
        <v>23.28</v>
      </c>
      <c r="C244">
        <v>23.72</v>
      </c>
      <c r="D244">
        <v>24.53</v>
      </c>
      <c r="E244">
        <v>22.27</v>
      </c>
      <c r="F244">
        <v>22.49</v>
      </c>
      <c r="G244">
        <v>22.71</v>
      </c>
      <c r="H244">
        <v>18.91</v>
      </c>
      <c r="I244">
        <v>18.96</v>
      </c>
      <c r="J244">
        <v>19.010000000000002</v>
      </c>
      <c r="K244">
        <v>24.52</v>
      </c>
      <c r="L244">
        <v>24.64</v>
      </c>
      <c r="M244">
        <v>24.75</v>
      </c>
    </row>
    <row r="245" spans="1:13" x14ac:dyDescent="0.25">
      <c r="A245" s="1">
        <v>39799</v>
      </c>
      <c r="B245">
        <v>23.22</v>
      </c>
      <c r="C245">
        <v>23.66</v>
      </c>
      <c r="D245">
        <v>24.47</v>
      </c>
      <c r="E245">
        <v>22.57</v>
      </c>
      <c r="F245">
        <v>22.79</v>
      </c>
      <c r="G245">
        <v>23.02</v>
      </c>
      <c r="H245">
        <v>19.059999999999999</v>
      </c>
      <c r="I245">
        <v>19.12</v>
      </c>
      <c r="J245">
        <v>19.170000000000002</v>
      </c>
      <c r="K245">
        <v>24.8</v>
      </c>
      <c r="L245">
        <v>24.91</v>
      </c>
      <c r="M245">
        <v>25.02</v>
      </c>
    </row>
    <row r="246" spans="1:13" x14ac:dyDescent="0.25">
      <c r="A246" s="1">
        <v>39800</v>
      </c>
      <c r="B246">
        <v>22.98</v>
      </c>
      <c r="C246">
        <v>23.42</v>
      </c>
      <c r="D246">
        <v>24.21</v>
      </c>
      <c r="E246">
        <v>22.31</v>
      </c>
      <c r="F246">
        <v>22.53</v>
      </c>
      <c r="G246">
        <v>22.76</v>
      </c>
      <c r="H246">
        <v>18.88</v>
      </c>
      <c r="I246">
        <v>18.93</v>
      </c>
      <c r="J246">
        <v>18.98</v>
      </c>
      <c r="K246">
        <v>24.36</v>
      </c>
      <c r="L246">
        <v>24.47</v>
      </c>
      <c r="M246">
        <v>24.58</v>
      </c>
    </row>
    <row r="247" spans="1:13" x14ac:dyDescent="0.25">
      <c r="A247" s="1">
        <v>39801</v>
      </c>
      <c r="B247">
        <v>22.83</v>
      </c>
      <c r="C247">
        <v>23.27</v>
      </c>
      <c r="D247">
        <v>24.06</v>
      </c>
      <c r="E247">
        <v>22.3</v>
      </c>
      <c r="F247">
        <v>22.52</v>
      </c>
      <c r="G247">
        <v>22.75</v>
      </c>
      <c r="H247">
        <v>18.670000000000002</v>
      </c>
      <c r="I247">
        <v>18.72</v>
      </c>
      <c r="J247">
        <v>18.77</v>
      </c>
      <c r="K247">
        <v>23.71</v>
      </c>
      <c r="L247">
        <v>23.82</v>
      </c>
      <c r="M247">
        <v>23.92</v>
      </c>
    </row>
    <row r="248" spans="1:13" x14ac:dyDescent="0.25">
      <c r="A248" s="1">
        <v>39804</v>
      </c>
      <c r="B248">
        <v>22.62</v>
      </c>
      <c r="C248">
        <v>23.05</v>
      </c>
      <c r="D248">
        <v>23.84</v>
      </c>
      <c r="E248">
        <v>22.3</v>
      </c>
      <c r="F248">
        <v>22.52</v>
      </c>
      <c r="G248">
        <v>22.75</v>
      </c>
      <c r="H248">
        <v>18.690000000000001</v>
      </c>
      <c r="I248">
        <v>18.739999999999998</v>
      </c>
      <c r="J248">
        <v>18.79</v>
      </c>
      <c r="K248">
        <v>23</v>
      </c>
      <c r="L248">
        <v>23.11</v>
      </c>
      <c r="M248">
        <v>23.22</v>
      </c>
    </row>
    <row r="249" spans="1:13" x14ac:dyDescent="0.25">
      <c r="A249" s="1">
        <v>39805</v>
      </c>
      <c r="B249">
        <v>22.7</v>
      </c>
      <c r="C249">
        <v>23.13</v>
      </c>
      <c r="D249">
        <v>23.92</v>
      </c>
      <c r="E249">
        <v>22.71</v>
      </c>
      <c r="F249">
        <v>22.94</v>
      </c>
      <c r="G249">
        <v>23.17</v>
      </c>
      <c r="H249">
        <v>18.899999999999999</v>
      </c>
      <c r="I249">
        <v>18.96</v>
      </c>
      <c r="J249">
        <v>19.010000000000002</v>
      </c>
      <c r="K249">
        <v>23.32</v>
      </c>
      <c r="L249">
        <v>23.43</v>
      </c>
      <c r="M249">
        <v>23.54</v>
      </c>
    </row>
    <row r="250" spans="1:13" x14ac:dyDescent="0.25">
      <c r="A250" s="1">
        <v>39811</v>
      </c>
      <c r="B250">
        <v>22.84</v>
      </c>
      <c r="C250">
        <v>23.28</v>
      </c>
      <c r="D250">
        <v>24.08</v>
      </c>
      <c r="E250">
        <v>23.14</v>
      </c>
      <c r="F250">
        <v>23.37</v>
      </c>
      <c r="G250">
        <v>23.61</v>
      </c>
      <c r="H250">
        <v>19.13</v>
      </c>
      <c r="I250">
        <v>19.190000000000001</v>
      </c>
      <c r="J250">
        <v>19.239999999999998</v>
      </c>
      <c r="K250">
        <v>23.85</v>
      </c>
      <c r="L250">
        <v>23.96</v>
      </c>
      <c r="M250">
        <v>24.08</v>
      </c>
    </row>
    <row r="251" spans="1:13" x14ac:dyDescent="0.25">
      <c r="A251" s="1">
        <v>39812</v>
      </c>
      <c r="B251">
        <v>22.94</v>
      </c>
      <c r="C251">
        <v>23.37</v>
      </c>
      <c r="D251">
        <v>24.18</v>
      </c>
      <c r="E251">
        <v>22.95</v>
      </c>
      <c r="F251">
        <v>23.18</v>
      </c>
      <c r="G251">
        <v>23.41</v>
      </c>
      <c r="H251">
        <v>19</v>
      </c>
      <c r="I251">
        <v>19.05</v>
      </c>
      <c r="J251">
        <v>19.11</v>
      </c>
      <c r="K251">
        <v>24.12</v>
      </c>
      <c r="L251">
        <v>24.23</v>
      </c>
      <c r="M251">
        <v>24.35</v>
      </c>
    </row>
    <row r="252" spans="1:13" x14ac:dyDescent="0.25">
      <c r="A252" s="1">
        <v>39813</v>
      </c>
      <c r="B252">
        <v>23.08</v>
      </c>
      <c r="C252">
        <v>23.52</v>
      </c>
      <c r="D252">
        <v>24.33</v>
      </c>
      <c r="E252">
        <v>23.23</v>
      </c>
      <c r="F252">
        <v>23.46</v>
      </c>
      <c r="G252">
        <v>23.7</v>
      </c>
      <c r="H252">
        <v>19.190000000000001</v>
      </c>
      <c r="I252">
        <v>19.239999999999998</v>
      </c>
      <c r="J252">
        <v>19.3</v>
      </c>
      <c r="K252">
        <v>24.66</v>
      </c>
      <c r="L252">
        <v>24.77</v>
      </c>
      <c r="M252">
        <v>24.89</v>
      </c>
    </row>
    <row r="254" spans="1:13" x14ac:dyDescent="0.25">
      <c r="B254" t="s">
        <v>1</v>
      </c>
      <c r="C254" t="s">
        <v>2</v>
      </c>
      <c r="D254" t="s">
        <v>3</v>
      </c>
      <c r="E254" t="s">
        <v>4</v>
      </c>
      <c r="F254" t="s">
        <v>5</v>
      </c>
      <c r="G254" t="s">
        <v>6</v>
      </c>
      <c r="H254" t="s">
        <v>7</v>
      </c>
      <c r="I254" t="s">
        <v>8</v>
      </c>
      <c r="J254" t="s">
        <v>9</v>
      </c>
      <c r="K254" t="s">
        <v>10</v>
      </c>
      <c r="L254" t="s">
        <v>11</v>
      </c>
      <c r="M254" t="s">
        <v>12</v>
      </c>
    </row>
    <row r="255" spans="1:13" x14ac:dyDescent="0.25">
      <c r="A255" t="s">
        <v>22</v>
      </c>
      <c r="B255">
        <f>MAX(historia6[A])</f>
        <v>50.9</v>
      </c>
      <c r="C255">
        <f>MAX(historia6[B])</f>
        <v>51.62</v>
      </c>
      <c r="D255">
        <f>MAX(historia6[C])</f>
        <v>53.12</v>
      </c>
      <c r="E255">
        <f>MAX(historia6[D])</f>
        <v>58.66</v>
      </c>
      <c r="F255">
        <f>MAX(historia6[E])</f>
        <v>58.96</v>
      </c>
      <c r="G255">
        <f>MAX(historia6[F])</f>
        <v>59.26</v>
      </c>
      <c r="H255">
        <f>MAX(historia6[G])</f>
        <v>48.15</v>
      </c>
      <c r="I255">
        <f>MAX(historia6[H])</f>
        <v>48.17</v>
      </c>
      <c r="J255">
        <f>MAX(historia6[I])</f>
        <v>48.19</v>
      </c>
      <c r="K255">
        <f>MAX(historia6[J])</f>
        <v>50.23</v>
      </c>
      <c r="L255">
        <f>MAX(historia6[K])</f>
        <v>50.23</v>
      </c>
      <c r="M255">
        <f>MAX(historia6[L])</f>
        <v>50.23</v>
      </c>
    </row>
    <row r="256" spans="1:13" x14ac:dyDescent="0.25">
      <c r="A256" t="s">
        <v>23</v>
      </c>
      <c r="B256">
        <f>MIN(historia6[[#All],[A]])</f>
        <v>20.82</v>
      </c>
      <c r="C256">
        <f>MIN(historia6[[#All],[B]])</f>
        <v>21.21</v>
      </c>
      <c r="D256">
        <f>MIN(historia6[[#All],[C]])</f>
        <v>21.92</v>
      </c>
      <c r="E256">
        <f>MIN(historia6[[#All],[D]])</f>
        <v>18.760000000000002</v>
      </c>
      <c r="F256">
        <f>MIN(historia6[[#All],[E]])</f>
        <v>18.940000000000001</v>
      </c>
      <c r="G256">
        <f>MIN(historia6[[#All],[F]])</f>
        <v>19.12</v>
      </c>
      <c r="H256">
        <f>MIN(historia6[[#All],[G]])</f>
        <v>16.04</v>
      </c>
      <c r="I256">
        <f>MIN(historia6[[#All],[H]])</f>
        <v>16.079999999999998</v>
      </c>
      <c r="J256">
        <f>MIN(historia6[[#All],[I]])</f>
        <v>16.12</v>
      </c>
      <c r="K256">
        <f>MIN(historia6[[#All],[J]])</f>
        <v>20.329999999999998</v>
      </c>
      <c r="L256">
        <f>MIN(historia6[[#All],[K]])</f>
        <v>20.41</v>
      </c>
      <c r="M256">
        <f>MIN(historia6[[#All],[L]])</f>
        <v>20.5</v>
      </c>
    </row>
    <row r="258" spans="1:3" x14ac:dyDescent="0.25">
      <c r="A258" s="3" cm="1">
        <f t="array" ref="A258:C270">TRANSPOSE(A254:M256)</f>
        <v>0</v>
      </c>
      <c r="B258" s="3" t="str">
        <v>NAJWIĘKSZA</v>
      </c>
      <c r="C258" s="3" t="str">
        <v>NAJMNIEJSZA</v>
      </c>
    </row>
    <row r="259" spans="1:3" x14ac:dyDescent="0.25">
      <c r="A259" s="3" t="str">
        <v>A</v>
      </c>
      <c r="B259" s="3">
        <v>50.9</v>
      </c>
      <c r="C259" s="3">
        <v>20.82</v>
      </c>
    </row>
    <row r="260" spans="1:3" x14ac:dyDescent="0.25">
      <c r="A260" s="3" t="str">
        <v>B</v>
      </c>
      <c r="B260" s="3">
        <v>51.62</v>
      </c>
      <c r="C260" s="3">
        <v>21.21</v>
      </c>
    </row>
    <row r="261" spans="1:3" x14ac:dyDescent="0.25">
      <c r="A261" s="3" t="str">
        <v>C</v>
      </c>
      <c r="B261" s="3">
        <v>53.12</v>
      </c>
      <c r="C261" s="3">
        <v>21.92</v>
      </c>
    </row>
    <row r="262" spans="1:3" x14ac:dyDescent="0.25">
      <c r="A262" s="3" t="str">
        <v>D</v>
      </c>
      <c r="B262" s="3">
        <v>58.66</v>
      </c>
      <c r="C262" s="3">
        <v>18.760000000000002</v>
      </c>
    </row>
    <row r="263" spans="1:3" x14ac:dyDescent="0.25">
      <c r="A263" s="3" t="str">
        <v>E</v>
      </c>
      <c r="B263" s="3">
        <v>58.96</v>
      </c>
      <c r="C263" s="3">
        <v>18.940000000000001</v>
      </c>
    </row>
    <row r="264" spans="1:3" x14ac:dyDescent="0.25">
      <c r="A264" s="3" t="str">
        <v>F</v>
      </c>
      <c r="B264" s="3">
        <v>59.26</v>
      </c>
      <c r="C264" s="3">
        <v>19.12</v>
      </c>
    </row>
    <row r="265" spans="1:3" x14ac:dyDescent="0.25">
      <c r="A265" s="3" t="str">
        <v>G</v>
      </c>
      <c r="B265" s="3">
        <v>48.15</v>
      </c>
      <c r="C265" s="3">
        <v>16.04</v>
      </c>
    </row>
    <row r="266" spans="1:3" x14ac:dyDescent="0.25">
      <c r="A266" s="3" t="str">
        <v>H</v>
      </c>
      <c r="B266" s="3">
        <v>48.17</v>
      </c>
      <c r="C266" s="3">
        <v>16.079999999999998</v>
      </c>
    </row>
    <row r="267" spans="1:3" x14ac:dyDescent="0.25">
      <c r="A267" s="3" t="str">
        <v>I</v>
      </c>
      <c r="B267" s="3">
        <v>48.19</v>
      </c>
      <c r="C267" s="3">
        <v>16.12</v>
      </c>
    </row>
    <row r="268" spans="1:3" x14ac:dyDescent="0.25">
      <c r="A268" s="3" t="str">
        <v>J</v>
      </c>
      <c r="B268" s="3">
        <v>50.23</v>
      </c>
      <c r="C268" s="3">
        <v>20.329999999999998</v>
      </c>
    </row>
    <row r="269" spans="1:3" x14ac:dyDescent="0.25">
      <c r="A269" s="3" t="str">
        <v>K</v>
      </c>
      <c r="B269" s="3">
        <v>50.23</v>
      </c>
      <c r="C269" s="3">
        <v>20.41</v>
      </c>
    </row>
    <row r="270" spans="1:3" x14ac:dyDescent="0.25">
      <c r="A270" s="3" t="str">
        <v>L</v>
      </c>
      <c r="B270" s="3">
        <v>50.23</v>
      </c>
      <c r="C270" s="3">
        <v>20.5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22351-7DC2-4D7F-859F-47ECF6B42BE5}">
  <dimension ref="A1:M252"/>
  <sheetViews>
    <sheetView workbookViewId="0">
      <selection activeCell="O1" sqref="O1"/>
    </sheetView>
  </sheetViews>
  <sheetFormatPr defaultRowHeight="15" x14ac:dyDescent="0.25"/>
  <cols>
    <col min="1" max="9" width="11.140625" bestFit="1" customWidth="1"/>
    <col min="10" max="13" width="12.140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s="1">
        <v>39449</v>
      </c>
      <c r="B2">
        <v>50.9</v>
      </c>
      <c r="C2">
        <v>51.62</v>
      </c>
      <c r="D2">
        <v>53.12</v>
      </c>
      <c r="E2">
        <v>58.66</v>
      </c>
      <c r="F2">
        <v>58.96</v>
      </c>
      <c r="G2">
        <v>59.26</v>
      </c>
      <c r="H2">
        <v>48.15</v>
      </c>
      <c r="I2">
        <v>48.17</v>
      </c>
      <c r="J2">
        <v>48.19</v>
      </c>
      <c r="K2">
        <v>50.23</v>
      </c>
      <c r="L2">
        <v>50.23</v>
      </c>
      <c r="M2">
        <v>50.23</v>
      </c>
    </row>
    <row r="3" spans="1:13" x14ac:dyDescent="0.25">
      <c r="A3" s="1">
        <v>39450</v>
      </c>
      <c r="B3">
        <v>50.42</v>
      </c>
      <c r="C3">
        <v>51.13</v>
      </c>
      <c r="D3">
        <v>52.62</v>
      </c>
      <c r="E3">
        <v>57.92</v>
      </c>
      <c r="F3">
        <v>58.22</v>
      </c>
      <c r="G3">
        <v>58.51</v>
      </c>
      <c r="H3">
        <v>48.04</v>
      </c>
      <c r="I3">
        <v>48.06</v>
      </c>
      <c r="J3">
        <v>48.08</v>
      </c>
      <c r="K3">
        <v>50.07</v>
      </c>
      <c r="L3">
        <v>50.07</v>
      </c>
      <c r="M3">
        <v>50.07</v>
      </c>
    </row>
    <row r="4" spans="1:13" x14ac:dyDescent="0.25">
      <c r="A4" s="1">
        <v>39451</v>
      </c>
      <c r="B4">
        <v>49.68</v>
      </c>
      <c r="C4">
        <v>50.39</v>
      </c>
      <c r="D4">
        <v>51.85</v>
      </c>
      <c r="E4">
        <v>56.86</v>
      </c>
      <c r="F4">
        <v>57.15</v>
      </c>
      <c r="G4">
        <v>57.44</v>
      </c>
      <c r="H4">
        <v>47.14</v>
      </c>
      <c r="I4">
        <v>47.16</v>
      </c>
      <c r="J4">
        <v>47.17</v>
      </c>
      <c r="K4">
        <v>49.27</v>
      </c>
      <c r="L4">
        <v>49.28</v>
      </c>
      <c r="M4">
        <v>49.28</v>
      </c>
    </row>
    <row r="5" spans="1:13" x14ac:dyDescent="0.25">
      <c r="A5" s="1">
        <v>39454</v>
      </c>
      <c r="B5">
        <v>48.97</v>
      </c>
      <c r="C5">
        <v>49.66</v>
      </c>
      <c r="D5">
        <v>51.11</v>
      </c>
      <c r="E5">
        <v>56.19</v>
      </c>
      <c r="F5">
        <v>56.48</v>
      </c>
      <c r="G5">
        <v>56.77</v>
      </c>
      <c r="H5">
        <v>46.52</v>
      </c>
      <c r="I5">
        <v>46.54</v>
      </c>
      <c r="J5">
        <v>46.56</v>
      </c>
      <c r="K5">
        <v>48.25</v>
      </c>
      <c r="L5">
        <v>48.26</v>
      </c>
      <c r="M5">
        <v>48.26</v>
      </c>
    </row>
    <row r="6" spans="1:13" x14ac:dyDescent="0.25">
      <c r="A6" s="1">
        <v>39455</v>
      </c>
      <c r="B6">
        <v>49.17</v>
      </c>
      <c r="C6">
        <v>49.87</v>
      </c>
      <c r="D6">
        <v>51.32</v>
      </c>
      <c r="E6">
        <v>56.65</v>
      </c>
      <c r="F6">
        <v>56.94</v>
      </c>
      <c r="G6">
        <v>57.24</v>
      </c>
      <c r="H6">
        <v>46.76</v>
      </c>
      <c r="I6">
        <v>46.78</v>
      </c>
      <c r="J6">
        <v>46.8</v>
      </c>
      <c r="K6">
        <v>48.69</v>
      </c>
      <c r="L6">
        <v>48.69</v>
      </c>
      <c r="M6">
        <v>48.69</v>
      </c>
    </row>
    <row r="7" spans="1:13" x14ac:dyDescent="0.25">
      <c r="A7" s="1">
        <v>39456</v>
      </c>
      <c r="B7">
        <v>48.08</v>
      </c>
      <c r="C7">
        <v>48.76</v>
      </c>
      <c r="D7">
        <v>50.19</v>
      </c>
      <c r="E7">
        <v>55.41</v>
      </c>
      <c r="F7">
        <v>55.7</v>
      </c>
      <c r="G7">
        <v>55.99</v>
      </c>
      <c r="H7">
        <v>45.34</v>
      </c>
      <c r="I7">
        <v>45.36</v>
      </c>
      <c r="J7">
        <v>45.38</v>
      </c>
      <c r="K7">
        <v>47.85</v>
      </c>
      <c r="L7">
        <v>47.85</v>
      </c>
      <c r="M7">
        <v>47.86</v>
      </c>
    </row>
    <row r="8" spans="1:13" x14ac:dyDescent="0.25">
      <c r="A8" s="1">
        <v>39457</v>
      </c>
      <c r="B8">
        <v>46.78</v>
      </c>
      <c r="C8">
        <v>47.44</v>
      </c>
      <c r="D8">
        <v>48.83</v>
      </c>
      <c r="E8">
        <v>54.31</v>
      </c>
      <c r="F8">
        <v>54.59</v>
      </c>
      <c r="G8">
        <v>54.88</v>
      </c>
      <c r="H8">
        <v>44.44</v>
      </c>
      <c r="I8">
        <v>44.46</v>
      </c>
      <c r="J8">
        <v>44.48</v>
      </c>
      <c r="K8">
        <v>46.23</v>
      </c>
      <c r="L8">
        <v>46.23</v>
      </c>
      <c r="M8">
        <v>46.24</v>
      </c>
    </row>
    <row r="9" spans="1:13" x14ac:dyDescent="0.25">
      <c r="A9" s="1">
        <v>39458</v>
      </c>
      <c r="B9">
        <v>46.19</v>
      </c>
      <c r="C9">
        <v>46.85</v>
      </c>
      <c r="D9">
        <v>48.22</v>
      </c>
      <c r="E9">
        <v>53.47</v>
      </c>
      <c r="F9">
        <v>53.75</v>
      </c>
      <c r="G9">
        <v>54.03</v>
      </c>
      <c r="H9">
        <v>43.93</v>
      </c>
      <c r="I9">
        <v>43.95</v>
      </c>
      <c r="J9">
        <v>43.97</v>
      </c>
      <c r="K9">
        <v>45.58</v>
      </c>
      <c r="L9">
        <v>45.58</v>
      </c>
      <c r="M9">
        <v>45.59</v>
      </c>
    </row>
    <row r="10" spans="1:13" x14ac:dyDescent="0.25">
      <c r="A10" s="1">
        <v>39461</v>
      </c>
      <c r="B10">
        <v>45.92</v>
      </c>
      <c r="C10">
        <v>46.58</v>
      </c>
      <c r="D10">
        <v>47.94</v>
      </c>
      <c r="E10">
        <v>53.25</v>
      </c>
      <c r="F10">
        <v>53.53</v>
      </c>
      <c r="G10">
        <v>53.81</v>
      </c>
      <c r="H10">
        <v>44.11</v>
      </c>
      <c r="I10">
        <v>44.14</v>
      </c>
      <c r="J10">
        <v>44.16</v>
      </c>
      <c r="K10">
        <v>45.87</v>
      </c>
      <c r="L10">
        <v>45.88</v>
      </c>
      <c r="M10">
        <v>45.89</v>
      </c>
    </row>
    <row r="11" spans="1:13" x14ac:dyDescent="0.25">
      <c r="A11" s="1">
        <v>39462</v>
      </c>
      <c r="B11">
        <v>44.59</v>
      </c>
      <c r="C11">
        <v>45.23</v>
      </c>
      <c r="D11">
        <v>46.55</v>
      </c>
      <c r="E11">
        <v>51.61</v>
      </c>
      <c r="F11">
        <v>51.88</v>
      </c>
      <c r="G11">
        <v>52.15</v>
      </c>
      <c r="H11">
        <v>42.81</v>
      </c>
      <c r="I11">
        <v>42.83</v>
      </c>
      <c r="J11">
        <v>42.85</v>
      </c>
      <c r="K11">
        <v>44.67</v>
      </c>
      <c r="L11">
        <v>44.68</v>
      </c>
      <c r="M11">
        <v>44.68</v>
      </c>
    </row>
    <row r="12" spans="1:13" x14ac:dyDescent="0.25">
      <c r="A12" s="1">
        <v>39463</v>
      </c>
      <c r="B12">
        <v>42.88</v>
      </c>
      <c r="C12">
        <v>43.5</v>
      </c>
      <c r="D12">
        <v>44.77</v>
      </c>
      <c r="E12">
        <v>49.94</v>
      </c>
      <c r="F12">
        <v>50.2</v>
      </c>
      <c r="G12">
        <v>50.47</v>
      </c>
      <c r="H12">
        <v>41.38</v>
      </c>
      <c r="I12">
        <v>41.4</v>
      </c>
      <c r="J12">
        <v>41.42</v>
      </c>
      <c r="K12">
        <v>43.37</v>
      </c>
      <c r="L12">
        <v>43.37</v>
      </c>
      <c r="M12">
        <v>43.38</v>
      </c>
    </row>
    <row r="13" spans="1:13" x14ac:dyDescent="0.25">
      <c r="A13" s="1">
        <v>39464</v>
      </c>
      <c r="B13">
        <v>43.16</v>
      </c>
      <c r="C13">
        <v>43.78</v>
      </c>
      <c r="D13">
        <v>45.06</v>
      </c>
      <c r="E13">
        <v>49.84</v>
      </c>
      <c r="F13">
        <v>50.1</v>
      </c>
      <c r="G13">
        <v>50.37</v>
      </c>
      <c r="H13">
        <v>41.66</v>
      </c>
      <c r="I13">
        <v>41.69</v>
      </c>
      <c r="J13">
        <v>41.71</v>
      </c>
      <c r="K13">
        <v>43.31</v>
      </c>
      <c r="L13">
        <v>43.32</v>
      </c>
      <c r="M13">
        <v>43.32</v>
      </c>
    </row>
    <row r="14" spans="1:13" x14ac:dyDescent="0.25">
      <c r="A14" s="1">
        <v>39465</v>
      </c>
      <c r="B14">
        <v>43.58</v>
      </c>
      <c r="C14">
        <v>44.2</v>
      </c>
      <c r="D14">
        <v>45.5</v>
      </c>
      <c r="E14">
        <v>49.99</v>
      </c>
      <c r="F14">
        <v>50.26</v>
      </c>
      <c r="G14">
        <v>50.52</v>
      </c>
      <c r="H14">
        <v>41.64</v>
      </c>
      <c r="I14">
        <v>41.66</v>
      </c>
      <c r="J14">
        <v>41.68</v>
      </c>
      <c r="K14">
        <v>43.2</v>
      </c>
      <c r="L14">
        <v>43.21</v>
      </c>
      <c r="M14">
        <v>43.21</v>
      </c>
    </row>
    <row r="15" spans="1:13" x14ac:dyDescent="0.25">
      <c r="A15" s="1">
        <v>39468</v>
      </c>
      <c r="B15">
        <v>41.1</v>
      </c>
      <c r="C15">
        <v>41.69</v>
      </c>
      <c r="D15">
        <v>42.91</v>
      </c>
      <c r="E15">
        <v>47.03</v>
      </c>
      <c r="F15">
        <v>47.29</v>
      </c>
      <c r="G15">
        <v>47.54</v>
      </c>
      <c r="H15">
        <v>39.94</v>
      </c>
      <c r="I15">
        <v>39.97</v>
      </c>
      <c r="J15">
        <v>39.99</v>
      </c>
      <c r="K15">
        <v>40.54</v>
      </c>
      <c r="L15">
        <v>40.54</v>
      </c>
      <c r="M15">
        <v>40.549999999999997</v>
      </c>
    </row>
    <row r="16" spans="1:13" x14ac:dyDescent="0.25">
      <c r="A16" s="1">
        <v>39469</v>
      </c>
      <c r="B16">
        <v>41.76</v>
      </c>
      <c r="C16">
        <v>42.36</v>
      </c>
      <c r="D16">
        <v>43.61</v>
      </c>
      <c r="E16">
        <v>47.17</v>
      </c>
      <c r="F16">
        <v>47.43</v>
      </c>
      <c r="G16">
        <v>47.68</v>
      </c>
      <c r="H16">
        <v>41.17</v>
      </c>
      <c r="I16">
        <v>41.19</v>
      </c>
      <c r="J16">
        <v>41.22</v>
      </c>
      <c r="K16">
        <v>41.3</v>
      </c>
      <c r="L16">
        <v>41.31</v>
      </c>
      <c r="M16">
        <v>41.31</v>
      </c>
    </row>
    <row r="17" spans="1:13" x14ac:dyDescent="0.25">
      <c r="A17" s="1">
        <v>39470</v>
      </c>
      <c r="B17">
        <v>41.25</v>
      </c>
      <c r="C17">
        <v>41.84</v>
      </c>
      <c r="D17">
        <v>43.07</v>
      </c>
      <c r="E17">
        <v>45.83</v>
      </c>
      <c r="F17">
        <v>46.08</v>
      </c>
      <c r="G17">
        <v>46.32</v>
      </c>
      <c r="H17">
        <v>40.200000000000003</v>
      </c>
      <c r="I17">
        <v>40.22</v>
      </c>
      <c r="J17">
        <v>40.24</v>
      </c>
      <c r="K17">
        <v>40.35</v>
      </c>
      <c r="L17">
        <v>40.36</v>
      </c>
      <c r="M17">
        <v>40.36</v>
      </c>
    </row>
    <row r="18" spans="1:13" x14ac:dyDescent="0.25">
      <c r="A18" s="1">
        <v>39471</v>
      </c>
      <c r="B18">
        <v>43.34</v>
      </c>
      <c r="C18">
        <v>43.96</v>
      </c>
      <c r="D18">
        <v>45.25</v>
      </c>
      <c r="E18">
        <v>48.3</v>
      </c>
      <c r="F18">
        <v>48.56</v>
      </c>
      <c r="G18">
        <v>48.82</v>
      </c>
      <c r="H18">
        <v>42.27</v>
      </c>
      <c r="I18">
        <v>42.3</v>
      </c>
      <c r="J18">
        <v>42.32</v>
      </c>
      <c r="K18">
        <v>42.16</v>
      </c>
      <c r="L18">
        <v>42.16</v>
      </c>
      <c r="M18">
        <v>42.17</v>
      </c>
    </row>
    <row r="19" spans="1:13" x14ac:dyDescent="0.25">
      <c r="A19" s="1">
        <v>39472</v>
      </c>
      <c r="B19">
        <v>43.55</v>
      </c>
      <c r="C19">
        <v>44.18</v>
      </c>
      <c r="D19">
        <v>45.48</v>
      </c>
      <c r="E19">
        <v>48.55</v>
      </c>
      <c r="F19">
        <v>48.81</v>
      </c>
      <c r="G19">
        <v>49.07</v>
      </c>
      <c r="H19">
        <v>42.38</v>
      </c>
      <c r="I19">
        <v>42.4</v>
      </c>
      <c r="J19">
        <v>42.42</v>
      </c>
      <c r="K19">
        <v>43.26</v>
      </c>
      <c r="L19">
        <v>43.26</v>
      </c>
      <c r="M19">
        <v>43.27</v>
      </c>
    </row>
    <row r="20" spans="1:13" x14ac:dyDescent="0.25">
      <c r="A20" s="1">
        <v>39475</v>
      </c>
      <c r="B20">
        <v>42.51</v>
      </c>
      <c r="C20">
        <v>43.12</v>
      </c>
      <c r="D20">
        <v>44.39</v>
      </c>
      <c r="E20">
        <v>47.03</v>
      </c>
      <c r="F20">
        <v>47.29</v>
      </c>
      <c r="G20">
        <v>47.54</v>
      </c>
      <c r="H20">
        <v>41.19</v>
      </c>
      <c r="I20">
        <v>41.21</v>
      </c>
      <c r="J20">
        <v>41.23</v>
      </c>
      <c r="K20">
        <v>42.75</v>
      </c>
      <c r="L20">
        <v>42.76</v>
      </c>
      <c r="M20">
        <v>42.77</v>
      </c>
    </row>
    <row r="21" spans="1:13" x14ac:dyDescent="0.25">
      <c r="A21" s="1">
        <v>39476</v>
      </c>
      <c r="B21">
        <v>43.83</v>
      </c>
      <c r="C21">
        <v>44.46</v>
      </c>
      <c r="D21">
        <v>45.77</v>
      </c>
      <c r="E21">
        <v>48.04</v>
      </c>
      <c r="F21">
        <v>48.3</v>
      </c>
      <c r="G21">
        <v>48.56</v>
      </c>
      <c r="H21">
        <v>42.22</v>
      </c>
      <c r="I21">
        <v>42.25</v>
      </c>
      <c r="J21">
        <v>42.27</v>
      </c>
      <c r="K21">
        <v>43.88</v>
      </c>
      <c r="L21">
        <v>43.89</v>
      </c>
      <c r="M21">
        <v>43.9</v>
      </c>
    </row>
    <row r="22" spans="1:13" x14ac:dyDescent="0.25">
      <c r="A22" s="1">
        <v>39477</v>
      </c>
      <c r="B22">
        <v>43.65</v>
      </c>
      <c r="C22">
        <v>44.28</v>
      </c>
      <c r="D22">
        <v>45.59</v>
      </c>
      <c r="E22">
        <v>47.85</v>
      </c>
      <c r="F22">
        <v>48.11</v>
      </c>
      <c r="G22">
        <v>48.37</v>
      </c>
      <c r="H22">
        <v>42.07</v>
      </c>
      <c r="I22">
        <v>42.1</v>
      </c>
      <c r="J22">
        <v>42.12</v>
      </c>
      <c r="K22">
        <v>43.39</v>
      </c>
      <c r="L22">
        <v>43.4</v>
      </c>
      <c r="M22">
        <v>43.41</v>
      </c>
    </row>
    <row r="23" spans="1:13" x14ac:dyDescent="0.25">
      <c r="A23" s="1">
        <v>39478</v>
      </c>
      <c r="B23">
        <v>43.03</v>
      </c>
      <c r="C23">
        <v>43.65</v>
      </c>
      <c r="D23">
        <v>44.94</v>
      </c>
      <c r="E23">
        <v>47.2</v>
      </c>
      <c r="F23">
        <v>47.46</v>
      </c>
      <c r="G23">
        <v>47.72</v>
      </c>
      <c r="H23">
        <v>41.88</v>
      </c>
      <c r="I23">
        <v>41.91</v>
      </c>
      <c r="J23">
        <v>41.93</v>
      </c>
      <c r="K23">
        <v>43.21</v>
      </c>
      <c r="L23">
        <v>43.22</v>
      </c>
      <c r="M23">
        <v>43.23</v>
      </c>
    </row>
    <row r="24" spans="1:13" x14ac:dyDescent="0.25">
      <c r="A24" s="1">
        <v>39479</v>
      </c>
      <c r="B24">
        <v>44.01</v>
      </c>
      <c r="C24">
        <v>44.65</v>
      </c>
      <c r="D24">
        <v>45.97</v>
      </c>
      <c r="E24">
        <v>48.27</v>
      </c>
      <c r="F24">
        <v>48.54</v>
      </c>
      <c r="G24">
        <v>48.81</v>
      </c>
      <c r="H24">
        <v>42.49</v>
      </c>
      <c r="I24">
        <v>42.52</v>
      </c>
      <c r="J24">
        <v>42.54</v>
      </c>
      <c r="K24">
        <v>43.85</v>
      </c>
      <c r="L24">
        <v>43.86</v>
      </c>
      <c r="M24">
        <v>43.87</v>
      </c>
    </row>
    <row r="25" spans="1:13" x14ac:dyDescent="0.25">
      <c r="A25" s="1">
        <v>39482</v>
      </c>
      <c r="B25">
        <v>44.4</v>
      </c>
      <c r="C25">
        <v>45.05</v>
      </c>
      <c r="D25">
        <v>46.38</v>
      </c>
      <c r="E25">
        <v>48.75</v>
      </c>
      <c r="F25">
        <v>49.02</v>
      </c>
      <c r="G25">
        <v>49.29</v>
      </c>
      <c r="H25">
        <v>42.52</v>
      </c>
      <c r="I25">
        <v>42.55</v>
      </c>
      <c r="J25">
        <v>42.58</v>
      </c>
      <c r="K25">
        <v>44.19</v>
      </c>
      <c r="L25">
        <v>44.21</v>
      </c>
      <c r="M25">
        <v>44.22</v>
      </c>
    </row>
    <row r="26" spans="1:13" x14ac:dyDescent="0.25">
      <c r="A26" s="1">
        <v>39483</v>
      </c>
      <c r="B26">
        <v>43.18</v>
      </c>
      <c r="C26">
        <v>43.81</v>
      </c>
      <c r="D26">
        <v>45.1</v>
      </c>
      <c r="E26">
        <v>47.53</v>
      </c>
      <c r="F26">
        <v>47.79</v>
      </c>
      <c r="G26">
        <v>48.06</v>
      </c>
      <c r="H26">
        <v>41.3</v>
      </c>
      <c r="I26">
        <v>41.33</v>
      </c>
      <c r="J26">
        <v>41.35</v>
      </c>
      <c r="K26">
        <v>43.02</v>
      </c>
      <c r="L26">
        <v>43.03</v>
      </c>
      <c r="M26">
        <v>43.05</v>
      </c>
    </row>
    <row r="27" spans="1:13" x14ac:dyDescent="0.25">
      <c r="A27" s="1">
        <v>39484</v>
      </c>
      <c r="B27">
        <v>43.2</v>
      </c>
      <c r="C27">
        <v>43.83</v>
      </c>
      <c r="D27">
        <v>45.12</v>
      </c>
      <c r="E27">
        <v>47.57</v>
      </c>
      <c r="F27">
        <v>47.84</v>
      </c>
      <c r="G27">
        <v>48.1</v>
      </c>
      <c r="H27">
        <v>41.47</v>
      </c>
      <c r="I27">
        <v>41.49</v>
      </c>
      <c r="J27">
        <v>41.52</v>
      </c>
      <c r="K27">
        <v>43.05</v>
      </c>
      <c r="L27">
        <v>43.07</v>
      </c>
      <c r="M27">
        <v>43.08</v>
      </c>
    </row>
    <row r="28" spans="1:13" x14ac:dyDescent="0.25">
      <c r="A28" s="1">
        <v>39485</v>
      </c>
      <c r="B28">
        <v>42.52</v>
      </c>
      <c r="C28">
        <v>43.14</v>
      </c>
      <c r="D28">
        <v>44.42</v>
      </c>
      <c r="E28">
        <v>46.34</v>
      </c>
      <c r="F28">
        <v>46.59</v>
      </c>
      <c r="G28">
        <v>46.85</v>
      </c>
      <c r="H28">
        <v>40.75</v>
      </c>
      <c r="I28">
        <v>40.78</v>
      </c>
      <c r="J28">
        <v>40.799999999999997</v>
      </c>
      <c r="K28">
        <v>42.15</v>
      </c>
      <c r="L28">
        <v>42.16</v>
      </c>
      <c r="M28">
        <v>42.18</v>
      </c>
    </row>
    <row r="29" spans="1:13" x14ac:dyDescent="0.25">
      <c r="A29" s="1">
        <v>39486</v>
      </c>
      <c r="B29">
        <v>42.68</v>
      </c>
      <c r="C29">
        <v>43.3</v>
      </c>
      <c r="D29">
        <v>44.59</v>
      </c>
      <c r="E29">
        <v>46.39</v>
      </c>
      <c r="F29">
        <v>46.65</v>
      </c>
      <c r="G29">
        <v>46.91</v>
      </c>
      <c r="H29">
        <v>41.23</v>
      </c>
      <c r="I29">
        <v>41.26</v>
      </c>
      <c r="J29">
        <v>41.29</v>
      </c>
      <c r="K29">
        <v>42.51</v>
      </c>
      <c r="L29">
        <v>42.52</v>
      </c>
      <c r="M29">
        <v>42.53</v>
      </c>
    </row>
    <row r="30" spans="1:13" x14ac:dyDescent="0.25">
      <c r="A30" s="1">
        <v>39489</v>
      </c>
      <c r="B30">
        <v>42.79</v>
      </c>
      <c r="C30">
        <v>43.42</v>
      </c>
      <c r="D30">
        <v>44.71</v>
      </c>
      <c r="E30">
        <v>46.06</v>
      </c>
      <c r="F30">
        <v>46.32</v>
      </c>
      <c r="G30">
        <v>46.58</v>
      </c>
      <c r="H30">
        <v>41.18</v>
      </c>
      <c r="I30">
        <v>41.2</v>
      </c>
      <c r="J30">
        <v>41.23</v>
      </c>
      <c r="K30">
        <v>42.75</v>
      </c>
      <c r="L30">
        <v>42.76</v>
      </c>
      <c r="M30">
        <v>42.78</v>
      </c>
    </row>
    <row r="31" spans="1:13" x14ac:dyDescent="0.25">
      <c r="A31" s="1">
        <v>39490</v>
      </c>
      <c r="B31">
        <v>44.11</v>
      </c>
      <c r="C31">
        <v>44.76</v>
      </c>
      <c r="D31">
        <v>46.09</v>
      </c>
      <c r="E31">
        <v>47.61</v>
      </c>
      <c r="F31">
        <v>47.87</v>
      </c>
      <c r="G31">
        <v>48.14</v>
      </c>
      <c r="H31">
        <v>42.26</v>
      </c>
      <c r="I31">
        <v>42.29</v>
      </c>
      <c r="J31">
        <v>42.32</v>
      </c>
      <c r="K31">
        <v>44.33</v>
      </c>
      <c r="L31">
        <v>44.34</v>
      </c>
      <c r="M31">
        <v>44.35</v>
      </c>
    </row>
    <row r="32" spans="1:13" x14ac:dyDescent="0.25">
      <c r="A32" s="1">
        <v>39491</v>
      </c>
      <c r="B32">
        <v>44.67</v>
      </c>
      <c r="C32">
        <v>45.33</v>
      </c>
      <c r="D32">
        <v>46.68</v>
      </c>
      <c r="E32">
        <v>48.56</v>
      </c>
      <c r="F32">
        <v>48.84</v>
      </c>
      <c r="G32">
        <v>49.11</v>
      </c>
      <c r="H32">
        <v>42.56</v>
      </c>
      <c r="I32">
        <v>42.59</v>
      </c>
      <c r="J32">
        <v>42.62</v>
      </c>
      <c r="K32">
        <v>44.82</v>
      </c>
      <c r="L32">
        <v>44.83</v>
      </c>
      <c r="M32">
        <v>44.85</v>
      </c>
    </row>
    <row r="33" spans="1:13" x14ac:dyDescent="0.25">
      <c r="A33" s="1">
        <v>39492</v>
      </c>
      <c r="B33">
        <v>45.01</v>
      </c>
      <c r="C33">
        <v>45.68</v>
      </c>
      <c r="D33">
        <v>47.03</v>
      </c>
      <c r="E33">
        <v>49.05</v>
      </c>
      <c r="F33">
        <v>49.33</v>
      </c>
      <c r="G33">
        <v>49.61</v>
      </c>
      <c r="H33">
        <v>42.84</v>
      </c>
      <c r="I33">
        <v>42.87</v>
      </c>
      <c r="J33">
        <v>42.9</v>
      </c>
      <c r="K33">
        <v>45.1</v>
      </c>
      <c r="L33">
        <v>45.11</v>
      </c>
      <c r="M33">
        <v>45.13</v>
      </c>
    </row>
    <row r="34" spans="1:13" x14ac:dyDescent="0.25">
      <c r="A34" s="1">
        <v>39493</v>
      </c>
      <c r="B34">
        <v>44.4</v>
      </c>
      <c r="C34">
        <v>45.05</v>
      </c>
      <c r="D34">
        <v>46.39</v>
      </c>
      <c r="E34">
        <v>48.22</v>
      </c>
      <c r="F34">
        <v>48.49</v>
      </c>
      <c r="G34">
        <v>48.77</v>
      </c>
      <c r="H34">
        <v>42.04</v>
      </c>
      <c r="I34">
        <v>42.07</v>
      </c>
      <c r="J34">
        <v>42.1</v>
      </c>
      <c r="K34">
        <v>44.49</v>
      </c>
      <c r="L34">
        <v>44.5</v>
      </c>
      <c r="M34">
        <v>44.52</v>
      </c>
    </row>
    <row r="35" spans="1:13" x14ac:dyDescent="0.25">
      <c r="A35" s="1">
        <v>39496</v>
      </c>
      <c r="B35">
        <v>45.37</v>
      </c>
      <c r="C35">
        <v>46.04</v>
      </c>
      <c r="D35">
        <v>47.41</v>
      </c>
      <c r="E35">
        <v>49.07</v>
      </c>
      <c r="F35">
        <v>49.35</v>
      </c>
      <c r="G35">
        <v>49.64</v>
      </c>
      <c r="H35">
        <v>42.95</v>
      </c>
      <c r="I35">
        <v>42.98</v>
      </c>
      <c r="J35">
        <v>43.01</v>
      </c>
      <c r="K35">
        <v>45.07</v>
      </c>
      <c r="L35">
        <v>45.09</v>
      </c>
      <c r="M35">
        <v>45.1</v>
      </c>
    </row>
    <row r="36" spans="1:13" x14ac:dyDescent="0.25">
      <c r="A36" s="1">
        <v>39497</v>
      </c>
      <c r="B36">
        <v>45.37</v>
      </c>
      <c r="C36">
        <v>46.04</v>
      </c>
      <c r="D36">
        <v>47.41</v>
      </c>
      <c r="E36">
        <v>49.28</v>
      </c>
      <c r="F36">
        <v>49.56</v>
      </c>
      <c r="G36">
        <v>49.85</v>
      </c>
      <c r="H36">
        <v>43.06</v>
      </c>
      <c r="I36">
        <v>43.09</v>
      </c>
      <c r="J36">
        <v>43.12</v>
      </c>
      <c r="K36">
        <v>45.18</v>
      </c>
      <c r="L36">
        <v>45.19</v>
      </c>
      <c r="M36">
        <v>45.21</v>
      </c>
    </row>
    <row r="37" spans="1:13" x14ac:dyDescent="0.25">
      <c r="A37" s="1">
        <v>39498</v>
      </c>
      <c r="B37">
        <v>45.07</v>
      </c>
      <c r="C37">
        <v>45.73</v>
      </c>
      <c r="D37">
        <v>47.09</v>
      </c>
      <c r="E37">
        <v>48.96</v>
      </c>
      <c r="F37">
        <v>49.24</v>
      </c>
      <c r="G37">
        <v>49.52</v>
      </c>
      <c r="H37">
        <v>42.83</v>
      </c>
      <c r="I37">
        <v>42.86</v>
      </c>
      <c r="J37">
        <v>42.89</v>
      </c>
      <c r="K37">
        <v>44.7</v>
      </c>
      <c r="L37">
        <v>44.72</v>
      </c>
      <c r="M37">
        <v>44.73</v>
      </c>
    </row>
    <row r="38" spans="1:13" x14ac:dyDescent="0.25">
      <c r="A38" s="1">
        <v>39499</v>
      </c>
      <c r="B38">
        <v>45.11</v>
      </c>
      <c r="C38">
        <v>45.78</v>
      </c>
      <c r="D38">
        <v>47.15</v>
      </c>
      <c r="E38">
        <v>49.28</v>
      </c>
      <c r="F38">
        <v>49.57</v>
      </c>
      <c r="G38">
        <v>49.85</v>
      </c>
      <c r="H38">
        <v>42.91</v>
      </c>
      <c r="I38">
        <v>42.95</v>
      </c>
      <c r="J38">
        <v>42.98</v>
      </c>
      <c r="K38">
        <v>44.91</v>
      </c>
      <c r="L38">
        <v>44.93</v>
      </c>
      <c r="M38">
        <v>44.95</v>
      </c>
    </row>
    <row r="39" spans="1:13" x14ac:dyDescent="0.25">
      <c r="A39" s="1">
        <v>39500</v>
      </c>
      <c r="B39">
        <v>44.58</v>
      </c>
      <c r="C39">
        <v>45.24</v>
      </c>
      <c r="D39">
        <v>46.59</v>
      </c>
      <c r="E39">
        <v>48.83</v>
      </c>
      <c r="F39">
        <v>49.12</v>
      </c>
      <c r="G39">
        <v>49.4</v>
      </c>
      <c r="H39">
        <v>42.52</v>
      </c>
      <c r="I39">
        <v>42.56</v>
      </c>
      <c r="J39">
        <v>42.59</v>
      </c>
      <c r="K39">
        <v>44.56</v>
      </c>
      <c r="L39">
        <v>44.58</v>
      </c>
      <c r="M39">
        <v>44.6</v>
      </c>
    </row>
    <row r="40" spans="1:13" x14ac:dyDescent="0.25">
      <c r="A40" s="1">
        <v>39503</v>
      </c>
      <c r="B40">
        <v>44.63</v>
      </c>
      <c r="C40">
        <v>45.3</v>
      </c>
      <c r="D40">
        <v>46.65</v>
      </c>
      <c r="E40">
        <v>48.95</v>
      </c>
      <c r="F40">
        <v>49.24</v>
      </c>
      <c r="G40">
        <v>49.52</v>
      </c>
      <c r="H40">
        <v>42.63</v>
      </c>
      <c r="I40">
        <v>42.66</v>
      </c>
      <c r="J40">
        <v>42.69</v>
      </c>
      <c r="K40">
        <v>45.2</v>
      </c>
      <c r="L40">
        <v>45.23</v>
      </c>
      <c r="M40">
        <v>45.25</v>
      </c>
    </row>
    <row r="41" spans="1:13" x14ac:dyDescent="0.25">
      <c r="A41" s="1">
        <v>39504</v>
      </c>
      <c r="B41">
        <v>44.36</v>
      </c>
      <c r="C41">
        <v>45.02</v>
      </c>
      <c r="D41">
        <v>46.36</v>
      </c>
      <c r="E41">
        <v>49.17</v>
      </c>
      <c r="F41">
        <v>49.46</v>
      </c>
      <c r="G41">
        <v>49.75</v>
      </c>
      <c r="H41">
        <v>42.7</v>
      </c>
      <c r="I41">
        <v>42.73</v>
      </c>
      <c r="J41">
        <v>42.77</v>
      </c>
      <c r="K41">
        <v>45.07</v>
      </c>
      <c r="L41">
        <v>45.09</v>
      </c>
      <c r="M41">
        <v>45.11</v>
      </c>
    </row>
    <row r="42" spans="1:13" x14ac:dyDescent="0.25">
      <c r="A42" s="1">
        <v>39505</v>
      </c>
      <c r="B42">
        <v>44.44</v>
      </c>
      <c r="C42">
        <v>45.1</v>
      </c>
      <c r="D42">
        <v>46.44</v>
      </c>
      <c r="E42">
        <v>49.26</v>
      </c>
      <c r="F42">
        <v>49.55</v>
      </c>
      <c r="G42">
        <v>49.84</v>
      </c>
      <c r="H42">
        <v>42.86</v>
      </c>
      <c r="I42">
        <v>42.9</v>
      </c>
      <c r="J42">
        <v>42.93</v>
      </c>
      <c r="K42">
        <v>45.13</v>
      </c>
      <c r="L42">
        <v>45.15</v>
      </c>
      <c r="M42">
        <v>45.18</v>
      </c>
    </row>
    <row r="43" spans="1:13" x14ac:dyDescent="0.25">
      <c r="A43" s="1">
        <v>39506</v>
      </c>
      <c r="B43">
        <v>44.03</v>
      </c>
      <c r="C43">
        <v>44.68</v>
      </c>
      <c r="D43">
        <v>46.02</v>
      </c>
      <c r="E43">
        <v>48.39</v>
      </c>
      <c r="F43">
        <v>48.67</v>
      </c>
      <c r="G43">
        <v>48.96</v>
      </c>
      <c r="H43">
        <v>42.08</v>
      </c>
      <c r="I43">
        <v>42.11</v>
      </c>
      <c r="J43">
        <v>42.15</v>
      </c>
      <c r="K43">
        <v>44.73</v>
      </c>
      <c r="L43">
        <v>44.75</v>
      </c>
      <c r="M43">
        <v>44.77</v>
      </c>
    </row>
    <row r="44" spans="1:13" x14ac:dyDescent="0.25">
      <c r="A44" s="1">
        <v>39507</v>
      </c>
      <c r="B44">
        <v>43.32</v>
      </c>
      <c r="C44">
        <v>43.97</v>
      </c>
      <c r="D44">
        <v>45.28</v>
      </c>
      <c r="E44">
        <v>47.45</v>
      </c>
      <c r="F44">
        <v>47.73</v>
      </c>
      <c r="G44">
        <v>48.01</v>
      </c>
      <c r="H44">
        <v>41.25</v>
      </c>
      <c r="I44">
        <v>41.28</v>
      </c>
      <c r="J44">
        <v>41.31</v>
      </c>
      <c r="K44">
        <v>43.75</v>
      </c>
      <c r="L44">
        <v>43.77</v>
      </c>
      <c r="M44">
        <v>43.79</v>
      </c>
    </row>
    <row r="45" spans="1:13" x14ac:dyDescent="0.25">
      <c r="A45" s="1">
        <v>39510</v>
      </c>
      <c r="B45">
        <v>42.22</v>
      </c>
      <c r="C45">
        <v>42.86</v>
      </c>
      <c r="D45">
        <v>44.14</v>
      </c>
      <c r="E45">
        <v>45.87</v>
      </c>
      <c r="F45">
        <v>46.14</v>
      </c>
      <c r="G45">
        <v>46.42</v>
      </c>
      <c r="H45">
        <v>40.28</v>
      </c>
      <c r="I45">
        <v>40.31</v>
      </c>
      <c r="J45">
        <v>40.340000000000003</v>
      </c>
      <c r="K45">
        <v>43.32</v>
      </c>
      <c r="L45">
        <v>43.34</v>
      </c>
      <c r="M45">
        <v>43.37</v>
      </c>
    </row>
    <row r="46" spans="1:13" x14ac:dyDescent="0.25">
      <c r="A46" s="1">
        <v>39511</v>
      </c>
      <c r="B46">
        <v>41.3</v>
      </c>
      <c r="C46">
        <v>41.92</v>
      </c>
      <c r="D46">
        <v>43.17</v>
      </c>
      <c r="E46">
        <v>44.9</v>
      </c>
      <c r="F46">
        <v>45.17</v>
      </c>
      <c r="G46">
        <v>45.43</v>
      </c>
      <c r="H46">
        <v>39.340000000000003</v>
      </c>
      <c r="I46">
        <v>39.369999999999997</v>
      </c>
      <c r="J46">
        <v>39.4</v>
      </c>
      <c r="K46">
        <v>42.92</v>
      </c>
      <c r="L46">
        <v>42.94</v>
      </c>
      <c r="M46">
        <v>42.97</v>
      </c>
    </row>
    <row r="47" spans="1:13" x14ac:dyDescent="0.25">
      <c r="A47" s="1">
        <v>39512</v>
      </c>
      <c r="B47">
        <v>42.07</v>
      </c>
      <c r="C47">
        <v>42.7</v>
      </c>
      <c r="D47">
        <v>43.98</v>
      </c>
      <c r="E47">
        <v>45.77</v>
      </c>
      <c r="F47">
        <v>46.04</v>
      </c>
      <c r="G47">
        <v>46.32</v>
      </c>
      <c r="H47">
        <v>40.340000000000003</v>
      </c>
      <c r="I47">
        <v>40.369999999999997</v>
      </c>
      <c r="J47">
        <v>40.409999999999997</v>
      </c>
      <c r="K47">
        <v>43.89</v>
      </c>
      <c r="L47">
        <v>43.92</v>
      </c>
      <c r="M47">
        <v>43.94</v>
      </c>
    </row>
    <row r="48" spans="1:13" x14ac:dyDescent="0.25">
      <c r="A48" s="1">
        <v>39513</v>
      </c>
      <c r="B48">
        <v>41.48</v>
      </c>
      <c r="C48">
        <v>42.1</v>
      </c>
      <c r="D48">
        <v>43.37</v>
      </c>
      <c r="E48">
        <v>45.06</v>
      </c>
      <c r="F48">
        <v>45.33</v>
      </c>
      <c r="G48">
        <v>45.6</v>
      </c>
      <c r="H48">
        <v>39.65</v>
      </c>
      <c r="I48">
        <v>39.68</v>
      </c>
      <c r="J48">
        <v>39.71</v>
      </c>
      <c r="K48">
        <v>43.62</v>
      </c>
      <c r="L48">
        <v>43.65</v>
      </c>
      <c r="M48">
        <v>43.67</v>
      </c>
    </row>
    <row r="49" spans="1:13" x14ac:dyDescent="0.25">
      <c r="A49" s="1">
        <v>39514</v>
      </c>
      <c r="B49">
        <v>40.880000000000003</v>
      </c>
      <c r="C49">
        <v>41.49</v>
      </c>
      <c r="D49">
        <v>42.73</v>
      </c>
      <c r="E49">
        <v>44.22</v>
      </c>
      <c r="F49">
        <v>44.48</v>
      </c>
      <c r="G49">
        <v>44.75</v>
      </c>
      <c r="H49">
        <v>39.19</v>
      </c>
      <c r="I49">
        <v>39.22</v>
      </c>
      <c r="J49">
        <v>39.25</v>
      </c>
      <c r="K49">
        <v>42.79</v>
      </c>
      <c r="L49">
        <v>42.82</v>
      </c>
      <c r="M49">
        <v>42.84</v>
      </c>
    </row>
    <row r="50" spans="1:13" x14ac:dyDescent="0.25">
      <c r="A50" s="1">
        <v>39517</v>
      </c>
      <c r="B50">
        <v>41.14</v>
      </c>
      <c r="C50">
        <v>41.76</v>
      </c>
      <c r="D50">
        <v>43.01</v>
      </c>
      <c r="E50">
        <v>43.98</v>
      </c>
      <c r="F50">
        <v>44.25</v>
      </c>
      <c r="G50">
        <v>44.51</v>
      </c>
      <c r="H50">
        <v>39.299999999999997</v>
      </c>
      <c r="I50">
        <v>39.33</v>
      </c>
      <c r="J50">
        <v>39.369999999999997</v>
      </c>
      <c r="K50">
        <v>41.98</v>
      </c>
      <c r="L50">
        <v>42.01</v>
      </c>
      <c r="M50">
        <v>42.03</v>
      </c>
    </row>
    <row r="51" spans="1:13" x14ac:dyDescent="0.25">
      <c r="A51" s="1">
        <v>39518</v>
      </c>
      <c r="B51">
        <v>41.97</v>
      </c>
      <c r="C51">
        <v>42.6</v>
      </c>
      <c r="D51">
        <v>43.88</v>
      </c>
      <c r="E51">
        <v>45.05</v>
      </c>
      <c r="F51">
        <v>45.32</v>
      </c>
      <c r="G51">
        <v>45.59</v>
      </c>
      <c r="H51">
        <v>40.04</v>
      </c>
      <c r="I51">
        <v>40.07</v>
      </c>
      <c r="J51">
        <v>40.1</v>
      </c>
      <c r="K51">
        <v>42.72</v>
      </c>
      <c r="L51">
        <v>42.75</v>
      </c>
      <c r="M51">
        <v>42.78</v>
      </c>
    </row>
    <row r="52" spans="1:13" x14ac:dyDescent="0.25">
      <c r="A52" s="1">
        <v>39519</v>
      </c>
      <c r="B52">
        <v>42.52</v>
      </c>
      <c r="C52">
        <v>43.16</v>
      </c>
      <c r="D52">
        <v>44.46</v>
      </c>
      <c r="E52">
        <v>45.73</v>
      </c>
      <c r="F52">
        <v>46</v>
      </c>
      <c r="G52">
        <v>46.28</v>
      </c>
      <c r="H52">
        <v>40.22</v>
      </c>
      <c r="I52">
        <v>40.26</v>
      </c>
      <c r="J52">
        <v>40.29</v>
      </c>
      <c r="K52">
        <v>42.93</v>
      </c>
      <c r="L52">
        <v>42.95</v>
      </c>
      <c r="M52">
        <v>42.98</v>
      </c>
    </row>
    <row r="53" spans="1:13" x14ac:dyDescent="0.25">
      <c r="A53" s="1">
        <v>39520</v>
      </c>
      <c r="B53">
        <v>41.29</v>
      </c>
      <c r="C53">
        <v>41.91</v>
      </c>
      <c r="D53">
        <v>43.17</v>
      </c>
      <c r="E53">
        <v>44.34</v>
      </c>
      <c r="F53">
        <v>44.61</v>
      </c>
      <c r="G53">
        <v>44.88</v>
      </c>
      <c r="H53">
        <v>39.270000000000003</v>
      </c>
      <c r="I53">
        <v>39.299999999999997</v>
      </c>
      <c r="J53">
        <v>39.340000000000003</v>
      </c>
      <c r="K53">
        <v>42.58</v>
      </c>
      <c r="L53">
        <v>42.61</v>
      </c>
      <c r="M53">
        <v>42.63</v>
      </c>
    </row>
    <row r="54" spans="1:13" x14ac:dyDescent="0.25">
      <c r="A54" s="1">
        <v>39521</v>
      </c>
      <c r="B54">
        <v>40.97</v>
      </c>
      <c r="C54">
        <v>41.59</v>
      </c>
      <c r="D54">
        <v>42.84</v>
      </c>
      <c r="E54">
        <v>44.12</v>
      </c>
      <c r="F54">
        <v>44.38</v>
      </c>
      <c r="G54">
        <v>44.65</v>
      </c>
      <c r="H54">
        <v>39.15</v>
      </c>
      <c r="I54">
        <v>39.19</v>
      </c>
      <c r="J54">
        <v>39.22</v>
      </c>
      <c r="K54">
        <v>42.15</v>
      </c>
      <c r="L54">
        <v>42.18</v>
      </c>
      <c r="M54">
        <v>42.21</v>
      </c>
    </row>
    <row r="55" spans="1:13" x14ac:dyDescent="0.25">
      <c r="A55" s="1">
        <v>39524</v>
      </c>
      <c r="B55">
        <v>39.299999999999997</v>
      </c>
      <c r="C55">
        <v>39.89</v>
      </c>
      <c r="D55">
        <v>41.1</v>
      </c>
      <c r="E55">
        <v>41.65</v>
      </c>
      <c r="F55">
        <v>41.91</v>
      </c>
      <c r="G55">
        <v>42.16</v>
      </c>
      <c r="H55">
        <v>37.58</v>
      </c>
      <c r="I55">
        <v>37.619999999999997</v>
      </c>
      <c r="J55">
        <v>37.65</v>
      </c>
      <c r="K55">
        <v>40.35</v>
      </c>
      <c r="L55">
        <v>40.380000000000003</v>
      </c>
      <c r="M55">
        <v>40.409999999999997</v>
      </c>
    </row>
    <row r="56" spans="1:13" x14ac:dyDescent="0.25">
      <c r="A56" s="1">
        <v>39525</v>
      </c>
      <c r="B56">
        <v>40.57</v>
      </c>
      <c r="C56">
        <v>41.18</v>
      </c>
      <c r="D56">
        <v>42.43</v>
      </c>
      <c r="E56">
        <v>42.77</v>
      </c>
      <c r="F56">
        <v>43.03</v>
      </c>
      <c r="G56">
        <v>43.29</v>
      </c>
      <c r="H56">
        <v>38.6</v>
      </c>
      <c r="I56">
        <v>38.630000000000003</v>
      </c>
      <c r="J56">
        <v>38.67</v>
      </c>
      <c r="K56">
        <v>41.03</v>
      </c>
      <c r="L56">
        <v>41.06</v>
      </c>
      <c r="M56">
        <v>41.09</v>
      </c>
    </row>
    <row r="57" spans="1:13" x14ac:dyDescent="0.25">
      <c r="A57" s="1">
        <v>39526</v>
      </c>
      <c r="B57">
        <v>40.700000000000003</v>
      </c>
      <c r="C57">
        <v>41.32</v>
      </c>
      <c r="D57">
        <v>42.57</v>
      </c>
      <c r="E57">
        <v>42.88</v>
      </c>
      <c r="F57">
        <v>43.14</v>
      </c>
      <c r="G57">
        <v>43.41</v>
      </c>
      <c r="H57">
        <v>38.71</v>
      </c>
      <c r="I57">
        <v>38.75</v>
      </c>
      <c r="J57">
        <v>38.79</v>
      </c>
      <c r="K57">
        <v>40.29</v>
      </c>
      <c r="L57">
        <v>40.32</v>
      </c>
      <c r="M57">
        <v>40.35</v>
      </c>
    </row>
    <row r="58" spans="1:13" x14ac:dyDescent="0.25">
      <c r="A58" s="1">
        <v>39527</v>
      </c>
      <c r="B58">
        <v>40.07</v>
      </c>
      <c r="C58">
        <v>40.68</v>
      </c>
      <c r="D58">
        <v>41.91</v>
      </c>
      <c r="E58">
        <v>42.67</v>
      </c>
      <c r="F58">
        <v>42.93</v>
      </c>
      <c r="G58">
        <v>43.19</v>
      </c>
      <c r="H58">
        <v>38.520000000000003</v>
      </c>
      <c r="I58">
        <v>38.56</v>
      </c>
      <c r="J58">
        <v>38.590000000000003</v>
      </c>
      <c r="K58">
        <v>39.46</v>
      </c>
      <c r="L58">
        <v>39.49</v>
      </c>
      <c r="M58">
        <v>39.520000000000003</v>
      </c>
    </row>
    <row r="59" spans="1:13" x14ac:dyDescent="0.25">
      <c r="A59" s="1">
        <v>39532</v>
      </c>
      <c r="B59">
        <v>41.31</v>
      </c>
      <c r="C59">
        <v>41.94</v>
      </c>
      <c r="D59">
        <v>43.21</v>
      </c>
      <c r="E59">
        <v>43.98</v>
      </c>
      <c r="F59">
        <v>44.25</v>
      </c>
      <c r="G59">
        <v>44.53</v>
      </c>
      <c r="H59">
        <v>39.869999999999997</v>
      </c>
      <c r="I59">
        <v>39.909999999999997</v>
      </c>
      <c r="J59">
        <v>39.950000000000003</v>
      </c>
      <c r="K59">
        <v>40.659999999999997</v>
      </c>
      <c r="L59">
        <v>40.700000000000003</v>
      </c>
      <c r="M59">
        <v>40.729999999999997</v>
      </c>
    </row>
    <row r="60" spans="1:13" x14ac:dyDescent="0.25">
      <c r="A60" s="1">
        <v>39533</v>
      </c>
      <c r="B60">
        <v>41.42</v>
      </c>
      <c r="C60">
        <v>42.05</v>
      </c>
      <c r="D60">
        <v>43.33</v>
      </c>
      <c r="E60">
        <v>43.4</v>
      </c>
      <c r="F60">
        <v>43.67</v>
      </c>
      <c r="G60">
        <v>43.95</v>
      </c>
      <c r="H60">
        <v>39.68</v>
      </c>
      <c r="I60">
        <v>39.72</v>
      </c>
      <c r="J60">
        <v>39.75</v>
      </c>
      <c r="K60">
        <v>41.17</v>
      </c>
      <c r="L60">
        <v>41.21</v>
      </c>
      <c r="M60">
        <v>41.24</v>
      </c>
    </row>
    <row r="61" spans="1:13" x14ac:dyDescent="0.25">
      <c r="A61" s="1">
        <v>39534</v>
      </c>
      <c r="B61">
        <v>42.07</v>
      </c>
      <c r="C61">
        <v>42.71</v>
      </c>
      <c r="D61">
        <v>44</v>
      </c>
      <c r="E61">
        <v>44.15</v>
      </c>
      <c r="F61">
        <v>44.43</v>
      </c>
      <c r="G61">
        <v>44.71</v>
      </c>
      <c r="H61">
        <v>40.17</v>
      </c>
      <c r="I61">
        <v>40.21</v>
      </c>
      <c r="J61">
        <v>40.25</v>
      </c>
      <c r="K61">
        <v>42.29</v>
      </c>
      <c r="L61">
        <v>42.33</v>
      </c>
      <c r="M61">
        <v>42.36</v>
      </c>
    </row>
    <row r="62" spans="1:13" x14ac:dyDescent="0.25">
      <c r="A62" s="1">
        <v>39535</v>
      </c>
      <c r="B62">
        <v>42.03</v>
      </c>
      <c r="C62">
        <v>42.68</v>
      </c>
      <c r="D62">
        <v>43.97</v>
      </c>
      <c r="E62">
        <v>43.97</v>
      </c>
      <c r="F62">
        <v>44.25</v>
      </c>
      <c r="G62">
        <v>44.53</v>
      </c>
      <c r="H62">
        <v>40.18</v>
      </c>
      <c r="I62">
        <v>40.22</v>
      </c>
      <c r="J62">
        <v>40.26</v>
      </c>
      <c r="K62">
        <v>42.49</v>
      </c>
      <c r="L62">
        <v>42.53</v>
      </c>
      <c r="M62">
        <v>42.57</v>
      </c>
    </row>
    <row r="63" spans="1:13" x14ac:dyDescent="0.25">
      <c r="A63" s="1">
        <v>39538</v>
      </c>
      <c r="B63">
        <v>41.69</v>
      </c>
      <c r="C63">
        <v>42.33</v>
      </c>
      <c r="D63">
        <v>43.62</v>
      </c>
      <c r="E63">
        <v>42.98</v>
      </c>
      <c r="F63">
        <v>43.26</v>
      </c>
      <c r="G63">
        <v>43.53</v>
      </c>
      <c r="H63">
        <v>39.6</v>
      </c>
      <c r="I63">
        <v>39.64</v>
      </c>
      <c r="J63">
        <v>39.68</v>
      </c>
      <c r="K63">
        <v>42.35</v>
      </c>
      <c r="L63">
        <v>42.39</v>
      </c>
      <c r="M63">
        <v>42.43</v>
      </c>
    </row>
    <row r="64" spans="1:13" x14ac:dyDescent="0.25">
      <c r="A64" s="1">
        <v>39539</v>
      </c>
      <c r="B64">
        <v>42.45</v>
      </c>
      <c r="C64">
        <v>43.1</v>
      </c>
      <c r="D64">
        <v>44.41</v>
      </c>
      <c r="E64">
        <v>44.04</v>
      </c>
      <c r="F64">
        <v>44.32</v>
      </c>
      <c r="G64">
        <v>44.6</v>
      </c>
      <c r="H64">
        <v>40.58</v>
      </c>
      <c r="I64">
        <v>40.619999999999997</v>
      </c>
      <c r="J64">
        <v>40.659999999999997</v>
      </c>
      <c r="K64">
        <v>43.2</v>
      </c>
      <c r="L64">
        <v>43.24</v>
      </c>
      <c r="M64">
        <v>43.28</v>
      </c>
    </row>
    <row r="65" spans="1:13" x14ac:dyDescent="0.25">
      <c r="A65" s="1">
        <v>39540</v>
      </c>
      <c r="B65">
        <v>42.7</v>
      </c>
      <c r="C65">
        <v>43.36</v>
      </c>
      <c r="D65">
        <v>44.68</v>
      </c>
      <c r="E65">
        <v>44.9</v>
      </c>
      <c r="F65">
        <v>45.19</v>
      </c>
      <c r="G65">
        <v>45.48</v>
      </c>
      <c r="H65">
        <v>41.2</v>
      </c>
      <c r="I65">
        <v>41.24</v>
      </c>
      <c r="J65">
        <v>41.28</v>
      </c>
      <c r="K65">
        <v>42.94</v>
      </c>
      <c r="L65">
        <v>42.98</v>
      </c>
      <c r="M65">
        <v>43.02</v>
      </c>
    </row>
    <row r="66" spans="1:13" x14ac:dyDescent="0.25">
      <c r="A66" s="1">
        <v>39541</v>
      </c>
      <c r="B66">
        <v>42.28</v>
      </c>
      <c r="C66">
        <v>42.93</v>
      </c>
      <c r="D66">
        <v>44.24</v>
      </c>
      <c r="E66">
        <v>44.14</v>
      </c>
      <c r="F66">
        <v>44.42</v>
      </c>
      <c r="G66">
        <v>44.7</v>
      </c>
      <c r="H66">
        <v>40.56</v>
      </c>
      <c r="I66">
        <v>40.6</v>
      </c>
      <c r="J66">
        <v>40.64</v>
      </c>
      <c r="K66">
        <v>43.04</v>
      </c>
      <c r="L66">
        <v>43.08</v>
      </c>
      <c r="M66">
        <v>43.12</v>
      </c>
    </row>
    <row r="67" spans="1:13" x14ac:dyDescent="0.25">
      <c r="A67" s="1">
        <v>39542</v>
      </c>
      <c r="B67">
        <v>42.72</v>
      </c>
      <c r="C67">
        <v>43.38</v>
      </c>
      <c r="D67">
        <v>44.7</v>
      </c>
      <c r="E67">
        <v>44.33</v>
      </c>
      <c r="F67">
        <v>44.61</v>
      </c>
      <c r="G67">
        <v>44.9</v>
      </c>
      <c r="H67">
        <v>40.64</v>
      </c>
      <c r="I67">
        <v>40.68</v>
      </c>
      <c r="J67">
        <v>40.729999999999997</v>
      </c>
      <c r="K67">
        <v>43.57</v>
      </c>
      <c r="L67">
        <v>43.62</v>
      </c>
      <c r="M67">
        <v>43.66</v>
      </c>
    </row>
    <row r="68" spans="1:13" x14ac:dyDescent="0.25">
      <c r="A68" s="1">
        <v>39545</v>
      </c>
      <c r="B68">
        <v>43.05</v>
      </c>
      <c r="C68">
        <v>43.71</v>
      </c>
      <c r="D68">
        <v>45.04</v>
      </c>
      <c r="E68">
        <v>45.11</v>
      </c>
      <c r="F68">
        <v>45.4</v>
      </c>
      <c r="G68">
        <v>45.69</v>
      </c>
      <c r="H68">
        <v>40.9</v>
      </c>
      <c r="I68">
        <v>40.94</v>
      </c>
      <c r="J68">
        <v>40.98</v>
      </c>
      <c r="K68">
        <v>43.99</v>
      </c>
      <c r="L68">
        <v>44.03</v>
      </c>
      <c r="M68">
        <v>44.08</v>
      </c>
    </row>
    <row r="69" spans="1:13" x14ac:dyDescent="0.25">
      <c r="A69" s="1">
        <v>39546</v>
      </c>
      <c r="B69">
        <v>42.74</v>
      </c>
      <c r="C69">
        <v>43.4</v>
      </c>
      <c r="D69">
        <v>44.73</v>
      </c>
      <c r="E69">
        <v>44.73</v>
      </c>
      <c r="F69">
        <v>45.02</v>
      </c>
      <c r="G69">
        <v>45.31</v>
      </c>
      <c r="H69">
        <v>40.53</v>
      </c>
      <c r="I69">
        <v>40.58</v>
      </c>
      <c r="J69">
        <v>40.619999999999997</v>
      </c>
      <c r="K69">
        <v>43.59</v>
      </c>
      <c r="L69">
        <v>43.64</v>
      </c>
      <c r="M69">
        <v>43.68</v>
      </c>
    </row>
    <row r="70" spans="1:13" x14ac:dyDescent="0.25">
      <c r="A70" s="1">
        <v>39547</v>
      </c>
      <c r="B70">
        <v>42.91</v>
      </c>
      <c r="C70">
        <v>43.57</v>
      </c>
      <c r="D70">
        <v>44.9</v>
      </c>
      <c r="E70">
        <v>44.76</v>
      </c>
      <c r="F70">
        <v>45.05</v>
      </c>
      <c r="G70">
        <v>45.34</v>
      </c>
      <c r="H70">
        <v>40.53</v>
      </c>
      <c r="I70">
        <v>40.57</v>
      </c>
      <c r="J70">
        <v>40.61</v>
      </c>
      <c r="K70">
        <v>43.3</v>
      </c>
      <c r="L70">
        <v>43.34</v>
      </c>
      <c r="M70">
        <v>43.39</v>
      </c>
    </row>
    <row r="71" spans="1:13" x14ac:dyDescent="0.25">
      <c r="A71" s="1">
        <v>39548</v>
      </c>
      <c r="B71">
        <v>42.27</v>
      </c>
      <c r="C71">
        <v>42.92</v>
      </c>
      <c r="D71">
        <v>44.23</v>
      </c>
      <c r="E71">
        <v>43.61</v>
      </c>
      <c r="F71">
        <v>43.89</v>
      </c>
      <c r="G71">
        <v>44.17</v>
      </c>
      <c r="H71">
        <v>39.729999999999997</v>
      </c>
      <c r="I71">
        <v>39.770000000000003</v>
      </c>
      <c r="J71">
        <v>39.82</v>
      </c>
      <c r="K71">
        <v>42.99</v>
      </c>
      <c r="L71">
        <v>43.04</v>
      </c>
      <c r="M71">
        <v>43.08</v>
      </c>
    </row>
    <row r="72" spans="1:13" x14ac:dyDescent="0.25">
      <c r="A72" s="1">
        <v>39549</v>
      </c>
      <c r="B72">
        <v>41.55</v>
      </c>
      <c r="C72">
        <v>42.2</v>
      </c>
      <c r="D72">
        <v>43.49</v>
      </c>
      <c r="E72">
        <v>42.91</v>
      </c>
      <c r="F72">
        <v>43.19</v>
      </c>
      <c r="G72">
        <v>43.47</v>
      </c>
      <c r="H72">
        <v>38.979999999999997</v>
      </c>
      <c r="I72">
        <v>39.03</v>
      </c>
      <c r="J72">
        <v>39.07</v>
      </c>
      <c r="K72">
        <v>42.51</v>
      </c>
      <c r="L72">
        <v>42.56</v>
      </c>
      <c r="M72">
        <v>42.6</v>
      </c>
    </row>
    <row r="73" spans="1:13" x14ac:dyDescent="0.25">
      <c r="A73" s="1">
        <v>39552</v>
      </c>
      <c r="B73">
        <v>41.12</v>
      </c>
      <c r="C73">
        <v>41.76</v>
      </c>
      <c r="D73">
        <v>43.03</v>
      </c>
      <c r="E73">
        <v>42.57</v>
      </c>
      <c r="F73">
        <v>42.84</v>
      </c>
      <c r="G73">
        <v>43.12</v>
      </c>
      <c r="H73">
        <v>38.85</v>
      </c>
      <c r="I73">
        <v>38.89</v>
      </c>
      <c r="J73">
        <v>38.94</v>
      </c>
      <c r="K73">
        <v>42.36</v>
      </c>
      <c r="L73">
        <v>42.41</v>
      </c>
      <c r="M73">
        <v>42.46</v>
      </c>
    </row>
    <row r="74" spans="1:13" x14ac:dyDescent="0.25">
      <c r="A74" s="1">
        <v>39553</v>
      </c>
      <c r="B74">
        <v>41.25</v>
      </c>
      <c r="C74">
        <v>41.89</v>
      </c>
      <c r="D74">
        <v>43.17</v>
      </c>
      <c r="E74">
        <v>42.63</v>
      </c>
      <c r="F74">
        <v>42.91</v>
      </c>
      <c r="G74">
        <v>43.19</v>
      </c>
      <c r="H74">
        <v>38.770000000000003</v>
      </c>
      <c r="I74">
        <v>38.81</v>
      </c>
      <c r="J74">
        <v>38.85</v>
      </c>
      <c r="K74">
        <v>42.53</v>
      </c>
      <c r="L74">
        <v>42.58</v>
      </c>
      <c r="M74">
        <v>42.63</v>
      </c>
    </row>
    <row r="75" spans="1:13" x14ac:dyDescent="0.25">
      <c r="A75" s="1">
        <v>39554</v>
      </c>
      <c r="B75">
        <v>41.43</v>
      </c>
      <c r="C75">
        <v>42.07</v>
      </c>
      <c r="D75">
        <v>43.36</v>
      </c>
      <c r="E75">
        <v>42.94</v>
      </c>
      <c r="F75">
        <v>43.22</v>
      </c>
      <c r="G75">
        <v>43.51</v>
      </c>
      <c r="H75">
        <v>39.26</v>
      </c>
      <c r="I75">
        <v>39.31</v>
      </c>
      <c r="J75">
        <v>39.35</v>
      </c>
      <c r="K75">
        <v>43.37</v>
      </c>
      <c r="L75">
        <v>43.42</v>
      </c>
      <c r="M75">
        <v>43.47</v>
      </c>
    </row>
    <row r="76" spans="1:13" x14ac:dyDescent="0.25">
      <c r="A76" s="1">
        <v>39555</v>
      </c>
      <c r="B76">
        <v>41.35</v>
      </c>
      <c r="C76">
        <v>42</v>
      </c>
      <c r="D76">
        <v>43.28</v>
      </c>
      <c r="E76">
        <v>42.94</v>
      </c>
      <c r="F76">
        <v>43.22</v>
      </c>
      <c r="G76">
        <v>43.51</v>
      </c>
      <c r="H76">
        <v>39.39</v>
      </c>
      <c r="I76">
        <v>39.43</v>
      </c>
      <c r="J76">
        <v>39.479999999999997</v>
      </c>
      <c r="K76">
        <v>43.31</v>
      </c>
      <c r="L76">
        <v>43.36</v>
      </c>
      <c r="M76">
        <v>43.41</v>
      </c>
    </row>
    <row r="77" spans="1:13" x14ac:dyDescent="0.25">
      <c r="A77" s="1">
        <v>39556</v>
      </c>
      <c r="B77">
        <v>41.88</v>
      </c>
      <c r="C77">
        <v>42.53</v>
      </c>
      <c r="D77">
        <v>43.83</v>
      </c>
      <c r="E77">
        <v>43.65</v>
      </c>
      <c r="F77">
        <v>43.93</v>
      </c>
      <c r="G77">
        <v>44.22</v>
      </c>
      <c r="H77">
        <v>39.869999999999997</v>
      </c>
      <c r="I77">
        <v>39.92</v>
      </c>
      <c r="J77">
        <v>39.96</v>
      </c>
      <c r="K77">
        <v>43.99</v>
      </c>
      <c r="L77">
        <v>44.04</v>
      </c>
      <c r="M77">
        <v>44.09</v>
      </c>
    </row>
    <row r="78" spans="1:13" x14ac:dyDescent="0.25">
      <c r="A78" s="1">
        <v>39559</v>
      </c>
      <c r="B78">
        <v>41.61</v>
      </c>
      <c r="C78">
        <v>42.25</v>
      </c>
      <c r="D78">
        <v>43.55</v>
      </c>
      <c r="E78">
        <v>43.29</v>
      </c>
      <c r="F78">
        <v>43.57</v>
      </c>
      <c r="G78">
        <v>43.86</v>
      </c>
      <c r="H78">
        <v>39.36</v>
      </c>
      <c r="I78">
        <v>39.409999999999997</v>
      </c>
      <c r="J78">
        <v>39.450000000000003</v>
      </c>
      <c r="K78">
        <v>43.82</v>
      </c>
      <c r="L78">
        <v>43.87</v>
      </c>
      <c r="M78">
        <v>43.92</v>
      </c>
    </row>
    <row r="79" spans="1:13" x14ac:dyDescent="0.25">
      <c r="A79" s="1">
        <v>39560</v>
      </c>
      <c r="B79">
        <v>41.11</v>
      </c>
      <c r="C79">
        <v>41.75</v>
      </c>
      <c r="D79">
        <v>43.04</v>
      </c>
      <c r="E79">
        <v>42.97</v>
      </c>
      <c r="F79">
        <v>43.25</v>
      </c>
      <c r="G79">
        <v>43.54</v>
      </c>
      <c r="H79">
        <v>39</v>
      </c>
      <c r="I79">
        <v>39.04</v>
      </c>
      <c r="J79">
        <v>39.090000000000003</v>
      </c>
      <c r="K79">
        <v>43.84</v>
      </c>
      <c r="L79">
        <v>43.9</v>
      </c>
      <c r="M79">
        <v>43.95</v>
      </c>
    </row>
    <row r="80" spans="1:13" x14ac:dyDescent="0.25">
      <c r="A80" s="1">
        <v>39561</v>
      </c>
      <c r="B80">
        <v>40.97</v>
      </c>
      <c r="C80">
        <v>41.61</v>
      </c>
      <c r="D80">
        <v>42.89</v>
      </c>
      <c r="E80">
        <v>43</v>
      </c>
      <c r="F80">
        <v>43.28</v>
      </c>
      <c r="G80">
        <v>43.57</v>
      </c>
      <c r="H80">
        <v>38.97</v>
      </c>
      <c r="I80">
        <v>39.01</v>
      </c>
      <c r="J80">
        <v>39.06</v>
      </c>
      <c r="K80">
        <v>44.35</v>
      </c>
      <c r="L80">
        <v>44.41</v>
      </c>
      <c r="M80">
        <v>44.46</v>
      </c>
    </row>
    <row r="81" spans="1:13" x14ac:dyDescent="0.25">
      <c r="A81" s="1">
        <v>39562</v>
      </c>
      <c r="B81">
        <v>41.43</v>
      </c>
      <c r="C81">
        <v>42.08</v>
      </c>
      <c r="D81">
        <v>43.37</v>
      </c>
      <c r="E81">
        <v>43.34</v>
      </c>
      <c r="F81">
        <v>43.63</v>
      </c>
      <c r="G81">
        <v>43.92</v>
      </c>
      <c r="H81">
        <v>39.14</v>
      </c>
      <c r="I81">
        <v>39.19</v>
      </c>
      <c r="J81">
        <v>39.229999999999997</v>
      </c>
      <c r="K81">
        <v>44.7</v>
      </c>
      <c r="L81">
        <v>44.76</v>
      </c>
      <c r="M81">
        <v>44.82</v>
      </c>
    </row>
    <row r="82" spans="1:13" x14ac:dyDescent="0.25">
      <c r="A82" s="1">
        <v>39563</v>
      </c>
      <c r="B82">
        <v>41.87</v>
      </c>
      <c r="C82">
        <v>42.52</v>
      </c>
      <c r="D82">
        <v>43.83</v>
      </c>
      <c r="E82">
        <v>44.07</v>
      </c>
      <c r="F82">
        <v>44.36</v>
      </c>
      <c r="G82">
        <v>44.65</v>
      </c>
      <c r="H82">
        <v>39.869999999999997</v>
      </c>
      <c r="I82">
        <v>39.909999999999997</v>
      </c>
      <c r="J82">
        <v>39.96</v>
      </c>
      <c r="K82">
        <v>45.26</v>
      </c>
      <c r="L82">
        <v>45.32</v>
      </c>
      <c r="M82">
        <v>45.38</v>
      </c>
    </row>
    <row r="83" spans="1:13" x14ac:dyDescent="0.25">
      <c r="A83" s="1">
        <v>39566</v>
      </c>
      <c r="B83">
        <v>42.27</v>
      </c>
      <c r="C83">
        <v>42.94</v>
      </c>
      <c r="D83">
        <v>44.26</v>
      </c>
      <c r="E83">
        <v>44.71</v>
      </c>
      <c r="F83">
        <v>45.01</v>
      </c>
      <c r="G83">
        <v>45.31</v>
      </c>
      <c r="H83">
        <v>40.57</v>
      </c>
      <c r="I83">
        <v>40.619999999999997</v>
      </c>
      <c r="J83">
        <v>40.659999999999997</v>
      </c>
      <c r="K83">
        <v>45.57</v>
      </c>
      <c r="L83">
        <v>45.63</v>
      </c>
      <c r="M83">
        <v>45.69</v>
      </c>
    </row>
    <row r="84" spans="1:13" x14ac:dyDescent="0.25">
      <c r="A84" s="1">
        <v>39567</v>
      </c>
      <c r="B84">
        <v>41.91</v>
      </c>
      <c r="C84">
        <v>42.57</v>
      </c>
      <c r="D84">
        <v>43.88</v>
      </c>
      <c r="E84">
        <v>44.67</v>
      </c>
      <c r="F84">
        <v>44.97</v>
      </c>
      <c r="G84">
        <v>45.27</v>
      </c>
      <c r="H84">
        <v>40.33</v>
      </c>
      <c r="I84">
        <v>40.380000000000003</v>
      </c>
      <c r="J84">
        <v>40.43</v>
      </c>
      <c r="K84">
        <v>45.05</v>
      </c>
      <c r="L84">
        <v>45.12</v>
      </c>
      <c r="M84">
        <v>45.17</v>
      </c>
    </row>
    <row r="85" spans="1:13" x14ac:dyDescent="0.25">
      <c r="A85" s="1">
        <v>39568</v>
      </c>
      <c r="B85">
        <v>42.33</v>
      </c>
      <c r="C85">
        <v>43</v>
      </c>
      <c r="D85">
        <v>44.32</v>
      </c>
      <c r="E85">
        <v>45.39</v>
      </c>
      <c r="F85">
        <v>45.69</v>
      </c>
      <c r="G85">
        <v>46</v>
      </c>
      <c r="H85">
        <v>40.94</v>
      </c>
      <c r="I85">
        <v>40.99</v>
      </c>
      <c r="J85">
        <v>41.03</v>
      </c>
      <c r="K85">
        <v>45.5</v>
      </c>
      <c r="L85">
        <v>45.56</v>
      </c>
      <c r="M85">
        <v>45.62</v>
      </c>
    </row>
    <row r="86" spans="1:13" x14ac:dyDescent="0.25">
      <c r="A86" s="1">
        <v>39573</v>
      </c>
      <c r="B86">
        <v>43.02</v>
      </c>
      <c r="C86">
        <v>43.7</v>
      </c>
      <c r="D86">
        <v>45.05</v>
      </c>
      <c r="E86">
        <v>46.23</v>
      </c>
      <c r="F86">
        <v>46.55</v>
      </c>
      <c r="G86">
        <v>46.86</v>
      </c>
      <c r="H86">
        <v>41.78</v>
      </c>
      <c r="I86">
        <v>41.83</v>
      </c>
      <c r="J86">
        <v>41.88</v>
      </c>
      <c r="K86">
        <v>45.74</v>
      </c>
      <c r="L86">
        <v>45.81</v>
      </c>
      <c r="M86">
        <v>45.87</v>
      </c>
    </row>
    <row r="87" spans="1:13" x14ac:dyDescent="0.25">
      <c r="A87" s="1">
        <v>39574</v>
      </c>
      <c r="B87">
        <v>42.98</v>
      </c>
      <c r="C87">
        <v>43.66</v>
      </c>
      <c r="D87">
        <v>45.01</v>
      </c>
      <c r="E87">
        <v>46.03</v>
      </c>
      <c r="F87">
        <v>46.34</v>
      </c>
      <c r="G87">
        <v>46.65</v>
      </c>
      <c r="H87">
        <v>41.35</v>
      </c>
      <c r="I87">
        <v>41.4</v>
      </c>
      <c r="J87">
        <v>41.45</v>
      </c>
      <c r="K87">
        <v>45.59</v>
      </c>
      <c r="L87">
        <v>45.66</v>
      </c>
      <c r="M87">
        <v>45.72</v>
      </c>
    </row>
    <row r="88" spans="1:13" x14ac:dyDescent="0.25">
      <c r="A88" s="1">
        <v>39575</v>
      </c>
      <c r="B88">
        <v>43.51</v>
      </c>
      <c r="C88">
        <v>44.2</v>
      </c>
      <c r="D88">
        <v>45.57</v>
      </c>
      <c r="E88">
        <v>46.66</v>
      </c>
      <c r="F88">
        <v>46.98</v>
      </c>
      <c r="G88">
        <v>47.3</v>
      </c>
      <c r="H88">
        <v>42.19</v>
      </c>
      <c r="I88">
        <v>42.24</v>
      </c>
      <c r="J88">
        <v>42.29</v>
      </c>
      <c r="K88">
        <v>45.99</v>
      </c>
      <c r="L88">
        <v>46.05</v>
      </c>
      <c r="M88">
        <v>46.12</v>
      </c>
    </row>
    <row r="89" spans="1:13" x14ac:dyDescent="0.25">
      <c r="A89" s="1">
        <v>39576</v>
      </c>
      <c r="B89">
        <v>42.98</v>
      </c>
      <c r="C89">
        <v>43.66</v>
      </c>
      <c r="D89">
        <v>45.01</v>
      </c>
      <c r="E89">
        <v>45.75</v>
      </c>
      <c r="F89">
        <v>46.06</v>
      </c>
      <c r="G89">
        <v>46.38</v>
      </c>
      <c r="H89">
        <v>41.31</v>
      </c>
      <c r="I89">
        <v>41.37</v>
      </c>
      <c r="J89">
        <v>41.42</v>
      </c>
      <c r="K89">
        <v>46.52</v>
      </c>
      <c r="L89">
        <v>46.59</v>
      </c>
      <c r="M89">
        <v>46.65</v>
      </c>
    </row>
    <row r="90" spans="1:13" x14ac:dyDescent="0.25">
      <c r="A90" s="1">
        <v>39577</v>
      </c>
      <c r="B90">
        <v>42.66</v>
      </c>
      <c r="C90">
        <v>43.33</v>
      </c>
      <c r="D90">
        <v>44.67</v>
      </c>
      <c r="E90">
        <v>45.23</v>
      </c>
      <c r="F90">
        <v>45.54</v>
      </c>
      <c r="G90">
        <v>45.85</v>
      </c>
      <c r="H90">
        <v>40.97</v>
      </c>
      <c r="I90">
        <v>41.02</v>
      </c>
      <c r="J90">
        <v>41.07</v>
      </c>
      <c r="K90">
        <v>46.27</v>
      </c>
      <c r="L90">
        <v>46.34</v>
      </c>
      <c r="M90">
        <v>46.41</v>
      </c>
    </row>
    <row r="91" spans="1:13" x14ac:dyDescent="0.25">
      <c r="A91" s="1">
        <v>39580</v>
      </c>
      <c r="B91">
        <v>42.78</v>
      </c>
      <c r="C91">
        <v>43.46</v>
      </c>
      <c r="D91">
        <v>44.81</v>
      </c>
      <c r="E91">
        <v>45.13</v>
      </c>
      <c r="F91">
        <v>45.45</v>
      </c>
      <c r="G91">
        <v>45.76</v>
      </c>
      <c r="H91">
        <v>40.85</v>
      </c>
      <c r="I91">
        <v>40.9</v>
      </c>
      <c r="J91">
        <v>40.950000000000003</v>
      </c>
      <c r="K91">
        <v>46.2</v>
      </c>
      <c r="L91">
        <v>46.27</v>
      </c>
      <c r="M91">
        <v>46.34</v>
      </c>
    </row>
    <row r="92" spans="1:13" x14ac:dyDescent="0.25">
      <c r="A92" s="1">
        <v>39581</v>
      </c>
      <c r="B92">
        <v>42.88</v>
      </c>
      <c r="C92">
        <v>43.56</v>
      </c>
      <c r="D92">
        <v>44.91</v>
      </c>
      <c r="E92">
        <v>45.37</v>
      </c>
      <c r="F92">
        <v>45.69</v>
      </c>
      <c r="G92">
        <v>46</v>
      </c>
      <c r="H92">
        <v>41.08</v>
      </c>
      <c r="I92">
        <v>41.13</v>
      </c>
      <c r="J92">
        <v>41.19</v>
      </c>
      <c r="K92">
        <v>46.6</v>
      </c>
      <c r="L92">
        <v>46.67</v>
      </c>
      <c r="M92">
        <v>46.74</v>
      </c>
    </row>
    <row r="93" spans="1:13" x14ac:dyDescent="0.25">
      <c r="A93" s="1">
        <v>39582</v>
      </c>
      <c r="B93">
        <v>43.41</v>
      </c>
      <c r="C93">
        <v>44.1</v>
      </c>
      <c r="D93">
        <v>45.46</v>
      </c>
      <c r="E93">
        <v>45.93</v>
      </c>
      <c r="F93">
        <v>46.25</v>
      </c>
      <c r="G93">
        <v>46.57</v>
      </c>
      <c r="H93">
        <v>41.55</v>
      </c>
      <c r="I93">
        <v>41.61</v>
      </c>
      <c r="J93">
        <v>41.66</v>
      </c>
      <c r="K93">
        <v>47.13</v>
      </c>
      <c r="L93">
        <v>47.2</v>
      </c>
      <c r="M93">
        <v>47.27</v>
      </c>
    </row>
    <row r="94" spans="1:13" x14ac:dyDescent="0.25">
      <c r="A94" s="1">
        <v>39583</v>
      </c>
      <c r="B94">
        <v>43.07</v>
      </c>
      <c r="C94">
        <v>43.75</v>
      </c>
      <c r="D94">
        <v>45.11</v>
      </c>
      <c r="E94">
        <v>45.98</v>
      </c>
      <c r="F94">
        <v>46.29</v>
      </c>
      <c r="G94">
        <v>46.62</v>
      </c>
      <c r="H94">
        <v>41.35</v>
      </c>
      <c r="I94">
        <v>41.4</v>
      </c>
      <c r="J94">
        <v>41.46</v>
      </c>
      <c r="K94">
        <v>47.65</v>
      </c>
      <c r="L94">
        <v>47.72</v>
      </c>
      <c r="M94">
        <v>47.79</v>
      </c>
    </row>
    <row r="95" spans="1:13" x14ac:dyDescent="0.25">
      <c r="A95" s="1">
        <v>39584</v>
      </c>
      <c r="B95">
        <v>43.41</v>
      </c>
      <c r="C95">
        <v>44.11</v>
      </c>
      <c r="D95">
        <v>45.48</v>
      </c>
      <c r="E95">
        <v>46.76</v>
      </c>
      <c r="F95">
        <v>47.09</v>
      </c>
      <c r="G95">
        <v>47.41</v>
      </c>
      <c r="H95">
        <v>41.66</v>
      </c>
      <c r="I95">
        <v>41.71</v>
      </c>
      <c r="J95">
        <v>41.76</v>
      </c>
      <c r="K95">
        <v>48.35</v>
      </c>
      <c r="L95">
        <v>48.42</v>
      </c>
      <c r="M95">
        <v>48.5</v>
      </c>
    </row>
    <row r="96" spans="1:13" x14ac:dyDescent="0.25">
      <c r="A96" s="1">
        <v>39587</v>
      </c>
      <c r="B96">
        <v>43.25</v>
      </c>
      <c r="C96">
        <v>43.95</v>
      </c>
      <c r="D96">
        <v>45.31</v>
      </c>
      <c r="E96">
        <v>46.91</v>
      </c>
      <c r="F96">
        <v>47.24</v>
      </c>
      <c r="G96">
        <v>47.57</v>
      </c>
      <c r="H96">
        <v>41.69</v>
      </c>
      <c r="I96">
        <v>41.75</v>
      </c>
      <c r="J96">
        <v>41.81</v>
      </c>
      <c r="K96">
        <v>48.87</v>
      </c>
      <c r="L96">
        <v>48.95</v>
      </c>
      <c r="M96">
        <v>49.02</v>
      </c>
    </row>
    <row r="97" spans="1:13" x14ac:dyDescent="0.25">
      <c r="A97" s="1">
        <v>39588</v>
      </c>
      <c r="B97">
        <v>42.64</v>
      </c>
      <c r="C97">
        <v>43.33</v>
      </c>
      <c r="D97">
        <v>44.68</v>
      </c>
      <c r="E97">
        <v>46.09</v>
      </c>
      <c r="F97">
        <v>46.41</v>
      </c>
      <c r="G97">
        <v>46.74</v>
      </c>
      <c r="H97">
        <v>41.02</v>
      </c>
      <c r="I97">
        <v>41.08</v>
      </c>
      <c r="J97">
        <v>41.13</v>
      </c>
      <c r="K97">
        <v>48.37</v>
      </c>
      <c r="L97">
        <v>48.45</v>
      </c>
      <c r="M97">
        <v>48.53</v>
      </c>
    </row>
    <row r="98" spans="1:13" x14ac:dyDescent="0.25">
      <c r="A98" s="1">
        <v>39589</v>
      </c>
      <c r="B98">
        <v>42.7</v>
      </c>
      <c r="C98">
        <v>43.39</v>
      </c>
      <c r="D98">
        <v>44.74</v>
      </c>
      <c r="E98">
        <v>45.8</v>
      </c>
      <c r="F98">
        <v>46.12</v>
      </c>
      <c r="G98">
        <v>46.45</v>
      </c>
      <c r="H98">
        <v>40.49</v>
      </c>
      <c r="I98">
        <v>40.549999999999997</v>
      </c>
      <c r="J98">
        <v>40.6</v>
      </c>
      <c r="K98">
        <v>48.87</v>
      </c>
      <c r="L98">
        <v>48.95</v>
      </c>
      <c r="M98">
        <v>49.03</v>
      </c>
    </row>
    <row r="99" spans="1:13" x14ac:dyDescent="0.25">
      <c r="A99" s="1">
        <v>39591</v>
      </c>
      <c r="B99">
        <v>42.32</v>
      </c>
      <c r="C99">
        <v>43</v>
      </c>
      <c r="D99">
        <v>44.34</v>
      </c>
      <c r="E99">
        <v>45.4</v>
      </c>
      <c r="F99">
        <v>45.72</v>
      </c>
      <c r="G99">
        <v>46.04</v>
      </c>
      <c r="H99">
        <v>40.06</v>
      </c>
      <c r="I99">
        <v>40.11</v>
      </c>
      <c r="J99">
        <v>40.159999999999997</v>
      </c>
      <c r="K99">
        <v>48.44</v>
      </c>
      <c r="L99">
        <v>48.52</v>
      </c>
      <c r="M99">
        <v>48.6</v>
      </c>
    </row>
    <row r="100" spans="1:13" x14ac:dyDescent="0.25">
      <c r="A100" s="1">
        <v>39594</v>
      </c>
      <c r="B100">
        <v>42.09</v>
      </c>
      <c r="C100">
        <v>42.77</v>
      </c>
      <c r="D100">
        <v>44.1</v>
      </c>
      <c r="E100">
        <v>45.22</v>
      </c>
      <c r="F100">
        <v>45.54</v>
      </c>
      <c r="G100">
        <v>45.86</v>
      </c>
      <c r="H100">
        <v>40.07</v>
      </c>
      <c r="I100">
        <v>40.130000000000003</v>
      </c>
      <c r="J100">
        <v>40.18</v>
      </c>
      <c r="K100">
        <v>48.22</v>
      </c>
      <c r="L100">
        <v>48.31</v>
      </c>
      <c r="M100">
        <v>48.39</v>
      </c>
    </row>
    <row r="101" spans="1:13" x14ac:dyDescent="0.25">
      <c r="A101" s="1">
        <v>39595</v>
      </c>
      <c r="B101">
        <v>42.19</v>
      </c>
      <c r="C101">
        <v>42.87</v>
      </c>
      <c r="D101">
        <v>44.21</v>
      </c>
      <c r="E101">
        <v>45.37</v>
      </c>
      <c r="F101">
        <v>45.7</v>
      </c>
      <c r="G101">
        <v>46.02</v>
      </c>
      <c r="H101">
        <v>40.270000000000003</v>
      </c>
      <c r="I101">
        <v>40.33</v>
      </c>
      <c r="J101">
        <v>40.39</v>
      </c>
      <c r="K101">
        <v>47.78</v>
      </c>
      <c r="L101">
        <v>47.86</v>
      </c>
      <c r="M101">
        <v>47.94</v>
      </c>
    </row>
    <row r="102" spans="1:13" x14ac:dyDescent="0.25">
      <c r="A102" s="1">
        <v>39596</v>
      </c>
      <c r="B102">
        <v>42.54</v>
      </c>
      <c r="C102">
        <v>43.23</v>
      </c>
      <c r="D102">
        <v>44.57</v>
      </c>
      <c r="E102">
        <v>45.88</v>
      </c>
      <c r="F102">
        <v>46.2</v>
      </c>
      <c r="G102">
        <v>46.53</v>
      </c>
      <c r="H102">
        <v>40.950000000000003</v>
      </c>
      <c r="I102">
        <v>41</v>
      </c>
      <c r="J102">
        <v>41.06</v>
      </c>
      <c r="K102">
        <v>48.07</v>
      </c>
      <c r="L102">
        <v>48.15</v>
      </c>
      <c r="M102">
        <v>48.23</v>
      </c>
    </row>
    <row r="103" spans="1:13" x14ac:dyDescent="0.25">
      <c r="A103" s="1">
        <v>39597</v>
      </c>
      <c r="B103">
        <v>42.22</v>
      </c>
      <c r="C103">
        <v>42.9</v>
      </c>
      <c r="D103">
        <v>44.24</v>
      </c>
      <c r="E103">
        <v>45.88</v>
      </c>
      <c r="F103">
        <v>46.2</v>
      </c>
      <c r="G103">
        <v>46.53</v>
      </c>
      <c r="H103">
        <v>40.69</v>
      </c>
      <c r="I103">
        <v>40.74</v>
      </c>
      <c r="J103">
        <v>40.799999999999997</v>
      </c>
      <c r="K103">
        <v>47.62</v>
      </c>
      <c r="L103">
        <v>47.7</v>
      </c>
      <c r="M103">
        <v>47.78</v>
      </c>
    </row>
    <row r="104" spans="1:13" x14ac:dyDescent="0.25">
      <c r="A104" s="1">
        <v>39598</v>
      </c>
      <c r="B104">
        <v>42.51</v>
      </c>
      <c r="C104">
        <v>43.19</v>
      </c>
      <c r="D104">
        <v>44.54</v>
      </c>
      <c r="E104">
        <v>46.08</v>
      </c>
      <c r="F104">
        <v>46.41</v>
      </c>
      <c r="G104">
        <v>46.74</v>
      </c>
      <c r="H104">
        <v>40.770000000000003</v>
      </c>
      <c r="I104">
        <v>40.83</v>
      </c>
      <c r="J104">
        <v>40.89</v>
      </c>
      <c r="K104">
        <v>48.21</v>
      </c>
      <c r="L104">
        <v>48.3</v>
      </c>
      <c r="M104">
        <v>48.38</v>
      </c>
    </row>
    <row r="105" spans="1:13" x14ac:dyDescent="0.25">
      <c r="A105" s="1">
        <v>39601</v>
      </c>
      <c r="B105">
        <v>42.32</v>
      </c>
      <c r="C105">
        <v>43</v>
      </c>
      <c r="D105">
        <v>44.35</v>
      </c>
      <c r="E105">
        <v>45.79</v>
      </c>
      <c r="F105">
        <v>46.12</v>
      </c>
      <c r="G105">
        <v>46.45</v>
      </c>
      <c r="H105">
        <v>40.65</v>
      </c>
      <c r="I105">
        <v>40.71</v>
      </c>
      <c r="J105">
        <v>40.770000000000003</v>
      </c>
      <c r="K105">
        <v>48.04</v>
      </c>
      <c r="L105">
        <v>48.12</v>
      </c>
      <c r="M105">
        <v>48.21</v>
      </c>
    </row>
    <row r="106" spans="1:13" x14ac:dyDescent="0.25">
      <c r="A106" s="1">
        <v>39602</v>
      </c>
      <c r="B106">
        <v>42.29</v>
      </c>
      <c r="C106">
        <v>42.98</v>
      </c>
      <c r="D106">
        <v>44.32</v>
      </c>
      <c r="E106">
        <v>45.64</v>
      </c>
      <c r="F106">
        <v>45.97</v>
      </c>
      <c r="G106">
        <v>46.3</v>
      </c>
      <c r="H106">
        <v>40.58</v>
      </c>
      <c r="I106">
        <v>40.64</v>
      </c>
      <c r="J106">
        <v>40.700000000000003</v>
      </c>
      <c r="K106">
        <v>47.97</v>
      </c>
      <c r="L106">
        <v>48.05</v>
      </c>
      <c r="M106">
        <v>48.14</v>
      </c>
    </row>
    <row r="107" spans="1:13" x14ac:dyDescent="0.25">
      <c r="A107" s="1">
        <v>39603</v>
      </c>
      <c r="B107">
        <v>41.73</v>
      </c>
      <c r="C107">
        <v>42.4</v>
      </c>
      <c r="D107">
        <v>43.73</v>
      </c>
      <c r="E107">
        <v>44.99</v>
      </c>
      <c r="F107">
        <v>45.31</v>
      </c>
      <c r="G107">
        <v>45.64</v>
      </c>
      <c r="H107">
        <v>40.1</v>
      </c>
      <c r="I107">
        <v>40.159999999999997</v>
      </c>
      <c r="J107">
        <v>40.21</v>
      </c>
      <c r="K107">
        <v>47.26</v>
      </c>
      <c r="L107">
        <v>47.35</v>
      </c>
      <c r="M107">
        <v>47.43</v>
      </c>
    </row>
    <row r="108" spans="1:13" x14ac:dyDescent="0.25">
      <c r="A108" s="1">
        <v>39604</v>
      </c>
      <c r="B108">
        <v>41.73</v>
      </c>
      <c r="C108">
        <v>42.41</v>
      </c>
      <c r="D108">
        <v>43.74</v>
      </c>
      <c r="E108">
        <v>45.17</v>
      </c>
      <c r="F108">
        <v>45.5</v>
      </c>
      <c r="G108">
        <v>45.83</v>
      </c>
      <c r="H108">
        <v>40.130000000000003</v>
      </c>
      <c r="I108">
        <v>40.19</v>
      </c>
      <c r="J108">
        <v>40.25</v>
      </c>
      <c r="K108">
        <v>47.56</v>
      </c>
      <c r="L108">
        <v>47.65</v>
      </c>
      <c r="M108">
        <v>47.73</v>
      </c>
    </row>
    <row r="109" spans="1:13" x14ac:dyDescent="0.25">
      <c r="A109" s="1">
        <v>39605</v>
      </c>
      <c r="B109">
        <v>41.38</v>
      </c>
      <c r="C109">
        <v>42.05</v>
      </c>
      <c r="D109">
        <v>43.37</v>
      </c>
      <c r="E109">
        <v>44.76</v>
      </c>
      <c r="F109">
        <v>45.09</v>
      </c>
      <c r="G109">
        <v>45.41</v>
      </c>
      <c r="H109">
        <v>39.630000000000003</v>
      </c>
      <c r="I109">
        <v>39.68</v>
      </c>
      <c r="J109">
        <v>39.74</v>
      </c>
      <c r="K109">
        <v>47.35</v>
      </c>
      <c r="L109">
        <v>47.44</v>
      </c>
      <c r="M109">
        <v>47.52</v>
      </c>
    </row>
    <row r="110" spans="1:13" x14ac:dyDescent="0.25">
      <c r="A110" s="1">
        <v>39608</v>
      </c>
      <c r="B110">
        <v>40.9</v>
      </c>
      <c r="C110">
        <v>41.57</v>
      </c>
      <c r="D110">
        <v>42.87</v>
      </c>
      <c r="E110">
        <v>44.21</v>
      </c>
      <c r="F110">
        <v>44.53</v>
      </c>
      <c r="G110">
        <v>44.86</v>
      </c>
      <c r="H110">
        <v>38.86</v>
      </c>
      <c r="I110">
        <v>38.92</v>
      </c>
      <c r="J110">
        <v>38.97</v>
      </c>
      <c r="K110">
        <v>47.45</v>
      </c>
      <c r="L110">
        <v>47.54</v>
      </c>
      <c r="M110">
        <v>47.63</v>
      </c>
    </row>
    <row r="111" spans="1:13" x14ac:dyDescent="0.25">
      <c r="A111" s="1">
        <v>39609</v>
      </c>
      <c r="B111">
        <v>39.950000000000003</v>
      </c>
      <c r="C111">
        <v>40.6</v>
      </c>
      <c r="D111">
        <v>41.87</v>
      </c>
      <c r="E111">
        <v>43.44</v>
      </c>
      <c r="F111">
        <v>43.76</v>
      </c>
      <c r="G111">
        <v>44.08</v>
      </c>
      <c r="H111">
        <v>38.06</v>
      </c>
      <c r="I111">
        <v>38.11</v>
      </c>
      <c r="J111">
        <v>38.17</v>
      </c>
      <c r="K111">
        <v>46.26</v>
      </c>
      <c r="L111">
        <v>46.35</v>
      </c>
      <c r="M111">
        <v>46.43</v>
      </c>
    </row>
    <row r="112" spans="1:13" x14ac:dyDescent="0.25">
      <c r="A112" s="1">
        <v>39610</v>
      </c>
      <c r="B112">
        <v>39.31</v>
      </c>
      <c r="C112">
        <v>39.950000000000003</v>
      </c>
      <c r="D112">
        <v>41.21</v>
      </c>
      <c r="E112">
        <v>42.87</v>
      </c>
      <c r="F112">
        <v>43.18</v>
      </c>
      <c r="G112">
        <v>43.49</v>
      </c>
      <c r="H112">
        <v>37.479999999999997</v>
      </c>
      <c r="I112">
        <v>37.53</v>
      </c>
      <c r="J112">
        <v>37.590000000000003</v>
      </c>
      <c r="K112">
        <v>45.51</v>
      </c>
      <c r="L112">
        <v>45.59</v>
      </c>
      <c r="M112">
        <v>45.68</v>
      </c>
    </row>
    <row r="113" spans="1:13" x14ac:dyDescent="0.25">
      <c r="A113" s="1">
        <v>39611</v>
      </c>
      <c r="B113">
        <v>39.81</v>
      </c>
      <c r="C113">
        <v>40.46</v>
      </c>
      <c r="D113">
        <v>41.73</v>
      </c>
      <c r="E113">
        <v>43.92</v>
      </c>
      <c r="F113">
        <v>44.24</v>
      </c>
      <c r="G113">
        <v>44.57</v>
      </c>
      <c r="H113">
        <v>38.35</v>
      </c>
      <c r="I113">
        <v>38.409999999999997</v>
      </c>
      <c r="J113">
        <v>38.46</v>
      </c>
      <c r="K113">
        <v>45.46</v>
      </c>
      <c r="L113">
        <v>45.54</v>
      </c>
      <c r="M113">
        <v>45.63</v>
      </c>
    </row>
    <row r="114" spans="1:13" x14ac:dyDescent="0.25">
      <c r="A114" s="1">
        <v>39612</v>
      </c>
      <c r="B114">
        <v>39.86</v>
      </c>
      <c r="C114">
        <v>40.520000000000003</v>
      </c>
      <c r="D114">
        <v>41.79</v>
      </c>
      <c r="E114">
        <v>44.25</v>
      </c>
      <c r="F114">
        <v>44.58</v>
      </c>
      <c r="G114">
        <v>44.9</v>
      </c>
      <c r="H114">
        <v>38.49</v>
      </c>
      <c r="I114">
        <v>38.549999999999997</v>
      </c>
      <c r="J114">
        <v>38.61</v>
      </c>
      <c r="K114">
        <v>45.95</v>
      </c>
      <c r="L114">
        <v>46.04</v>
      </c>
      <c r="M114">
        <v>46.13</v>
      </c>
    </row>
    <row r="115" spans="1:13" x14ac:dyDescent="0.25">
      <c r="A115" s="1">
        <v>39615</v>
      </c>
      <c r="B115">
        <v>39.79</v>
      </c>
      <c r="C115">
        <v>40.450000000000003</v>
      </c>
      <c r="D115">
        <v>41.72</v>
      </c>
      <c r="E115">
        <v>44.36</v>
      </c>
      <c r="F115">
        <v>44.69</v>
      </c>
      <c r="G115">
        <v>45.02</v>
      </c>
      <c r="H115">
        <v>38.39</v>
      </c>
      <c r="I115">
        <v>38.450000000000003</v>
      </c>
      <c r="J115">
        <v>38.51</v>
      </c>
      <c r="K115">
        <v>46.18</v>
      </c>
      <c r="L115">
        <v>46.27</v>
      </c>
      <c r="M115">
        <v>46.36</v>
      </c>
    </row>
    <row r="116" spans="1:13" x14ac:dyDescent="0.25">
      <c r="A116" s="1">
        <v>39616</v>
      </c>
      <c r="B116">
        <v>40.08</v>
      </c>
      <c r="C116">
        <v>40.74</v>
      </c>
      <c r="D116">
        <v>42.02</v>
      </c>
      <c r="E116">
        <v>44.78</v>
      </c>
      <c r="F116">
        <v>45.11</v>
      </c>
      <c r="G116">
        <v>45.45</v>
      </c>
      <c r="H116">
        <v>38.69</v>
      </c>
      <c r="I116">
        <v>38.75</v>
      </c>
      <c r="J116">
        <v>38.81</v>
      </c>
      <c r="K116">
        <v>46.47</v>
      </c>
      <c r="L116">
        <v>46.56</v>
      </c>
      <c r="M116">
        <v>46.66</v>
      </c>
    </row>
    <row r="117" spans="1:13" x14ac:dyDescent="0.25">
      <c r="A117" s="1">
        <v>39617</v>
      </c>
      <c r="B117">
        <v>39.58</v>
      </c>
      <c r="C117">
        <v>40.229999999999997</v>
      </c>
      <c r="D117">
        <v>41.5</v>
      </c>
      <c r="E117">
        <v>44.21</v>
      </c>
      <c r="F117">
        <v>44.54</v>
      </c>
      <c r="G117">
        <v>44.86</v>
      </c>
      <c r="H117">
        <v>38.1</v>
      </c>
      <c r="I117">
        <v>38.159999999999997</v>
      </c>
      <c r="J117">
        <v>38.22</v>
      </c>
      <c r="K117">
        <v>45.82</v>
      </c>
      <c r="L117">
        <v>45.91</v>
      </c>
      <c r="M117">
        <v>46</v>
      </c>
    </row>
    <row r="118" spans="1:13" x14ac:dyDescent="0.25">
      <c r="A118" s="1">
        <v>39618</v>
      </c>
      <c r="B118">
        <v>39.590000000000003</v>
      </c>
      <c r="C118">
        <v>40.25</v>
      </c>
      <c r="D118">
        <v>41.51</v>
      </c>
      <c r="E118">
        <v>43.78</v>
      </c>
      <c r="F118">
        <v>44.1</v>
      </c>
      <c r="G118">
        <v>44.43</v>
      </c>
      <c r="H118">
        <v>37.81</v>
      </c>
      <c r="I118">
        <v>37.869999999999997</v>
      </c>
      <c r="J118">
        <v>37.93</v>
      </c>
      <c r="K118">
        <v>45.8</v>
      </c>
      <c r="L118">
        <v>45.89</v>
      </c>
      <c r="M118">
        <v>45.98</v>
      </c>
    </row>
    <row r="119" spans="1:13" x14ac:dyDescent="0.25">
      <c r="A119" s="1">
        <v>39619</v>
      </c>
      <c r="B119">
        <v>39.28</v>
      </c>
      <c r="C119">
        <v>39.93</v>
      </c>
      <c r="D119">
        <v>41.19</v>
      </c>
      <c r="E119">
        <v>43.34</v>
      </c>
      <c r="F119">
        <v>43.66</v>
      </c>
      <c r="G119">
        <v>43.99</v>
      </c>
      <c r="H119">
        <v>37.64</v>
      </c>
      <c r="I119">
        <v>37.700000000000003</v>
      </c>
      <c r="J119">
        <v>37.75</v>
      </c>
      <c r="K119">
        <v>44.96</v>
      </c>
      <c r="L119">
        <v>45.05</v>
      </c>
      <c r="M119">
        <v>45.14</v>
      </c>
    </row>
    <row r="120" spans="1:13" x14ac:dyDescent="0.25">
      <c r="A120" s="1">
        <v>39622</v>
      </c>
      <c r="B120">
        <v>38.880000000000003</v>
      </c>
      <c r="C120">
        <v>39.520000000000003</v>
      </c>
      <c r="D120">
        <v>40.770000000000003</v>
      </c>
      <c r="E120">
        <v>43.09</v>
      </c>
      <c r="F120">
        <v>43.41</v>
      </c>
      <c r="G120">
        <v>43.74</v>
      </c>
      <c r="H120">
        <v>37.03</v>
      </c>
      <c r="I120">
        <v>37.090000000000003</v>
      </c>
      <c r="J120">
        <v>37.15</v>
      </c>
      <c r="K120">
        <v>45.06</v>
      </c>
      <c r="L120">
        <v>45.15</v>
      </c>
      <c r="M120">
        <v>45.25</v>
      </c>
    </row>
    <row r="121" spans="1:13" x14ac:dyDescent="0.25">
      <c r="A121" s="1">
        <v>39623</v>
      </c>
      <c r="B121">
        <v>38.51</v>
      </c>
      <c r="C121">
        <v>39.15</v>
      </c>
      <c r="D121">
        <v>40.380000000000003</v>
      </c>
      <c r="E121">
        <v>42.59</v>
      </c>
      <c r="F121">
        <v>42.91</v>
      </c>
      <c r="G121">
        <v>43.23</v>
      </c>
      <c r="H121">
        <v>36.54</v>
      </c>
      <c r="I121">
        <v>36.6</v>
      </c>
      <c r="J121">
        <v>36.65</v>
      </c>
      <c r="K121">
        <v>44.32</v>
      </c>
      <c r="L121">
        <v>44.41</v>
      </c>
      <c r="M121">
        <v>44.5</v>
      </c>
    </row>
    <row r="122" spans="1:13" x14ac:dyDescent="0.25">
      <c r="A122" s="1">
        <v>39624</v>
      </c>
      <c r="B122">
        <v>38.71</v>
      </c>
      <c r="C122">
        <v>39.35</v>
      </c>
      <c r="D122">
        <v>40.590000000000003</v>
      </c>
      <c r="E122">
        <v>42.99</v>
      </c>
      <c r="F122">
        <v>43.31</v>
      </c>
      <c r="G122">
        <v>43.64</v>
      </c>
      <c r="H122">
        <v>36.950000000000003</v>
      </c>
      <c r="I122">
        <v>37.01</v>
      </c>
      <c r="J122">
        <v>37.07</v>
      </c>
      <c r="K122">
        <v>44.59</v>
      </c>
      <c r="L122">
        <v>44.68</v>
      </c>
      <c r="M122">
        <v>44.77</v>
      </c>
    </row>
    <row r="123" spans="1:13" x14ac:dyDescent="0.25">
      <c r="A123" s="1">
        <v>39625</v>
      </c>
      <c r="B123">
        <v>38.24</v>
      </c>
      <c r="C123">
        <v>38.869999999999997</v>
      </c>
      <c r="D123">
        <v>40.1</v>
      </c>
      <c r="E123">
        <v>41.98</v>
      </c>
      <c r="F123">
        <v>42.29</v>
      </c>
      <c r="G123">
        <v>42.61</v>
      </c>
      <c r="H123">
        <v>36.07</v>
      </c>
      <c r="I123">
        <v>36.130000000000003</v>
      </c>
      <c r="J123">
        <v>36.19</v>
      </c>
      <c r="K123">
        <v>43.66</v>
      </c>
      <c r="L123">
        <v>43.75</v>
      </c>
      <c r="M123">
        <v>43.84</v>
      </c>
    </row>
    <row r="124" spans="1:13" x14ac:dyDescent="0.25">
      <c r="A124" s="1">
        <v>39626</v>
      </c>
      <c r="B124">
        <v>37.79</v>
      </c>
      <c r="C124">
        <v>38.409999999999997</v>
      </c>
      <c r="D124">
        <v>39.630000000000003</v>
      </c>
      <c r="E124">
        <v>41.51</v>
      </c>
      <c r="F124">
        <v>41.82</v>
      </c>
      <c r="G124">
        <v>42.14</v>
      </c>
      <c r="H124">
        <v>35.65</v>
      </c>
      <c r="I124">
        <v>35.71</v>
      </c>
      <c r="J124">
        <v>35.770000000000003</v>
      </c>
      <c r="K124">
        <v>43.65</v>
      </c>
      <c r="L124">
        <v>43.75</v>
      </c>
      <c r="M124">
        <v>43.84</v>
      </c>
    </row>
    <row r="125" spans="1:13" x14ac:dyDescent="0.25">
      <c r="A125" s="1">
        <v>39629</v>
      </c>
      <c r="B125">
        <v>37.4</v>
      </c>
      <c r="C125">
        <v>38.020000000000003</v>
      </c>
      <c r="D125">
        <v>39.22</v>
      </c>
      <c r="E125">
        <v>41.22</v>
      </c>
      <c r="F125">
        <v>41.53</v>
      </c>
      <c r="G125">
        <v>41.84</v>
      </c>
      <c r="H125">
        <v>35.18</v>
      </c>
      <c r="I125">
        <v>35.24</v>
      </c>
      <c r="J125">
        <v>35.29</v>
      </c>
      <c r="K125">
        <v>43.8</v>
      </c>
      <c r="L125">
        <v>43.89</v>
      </c>
      <c r="M125">
        <v>43.99</v>
      </c>
    </row>
    <row r="126" spans="1:13" x14ac:dyDescent="0.25">
      <c r="A126" s="1">
        <v>39630</v>
      </c>
      <c r="B126">
        <v>36.51</v>
      </c>
      <c r="C126">
        <v>37.11</v>
      </c>
      <c r="D126">
        <v>38.29</v>
      </c>
      <c r="E126">
        <v>39.950000000000003</v>
      </c>
      <c r="F126">
        <v>40.26</v>
      </c>
      <c r="G126">
        <v>40.56</v>
      </c>
      <c r="H126">
        <v>34.04</v>
      </c>
      <c r="I126">
        <v>34.090000000000003</v>
      </c>
      <c r="J126">
        <v>34.15</v>
      </c>
      <c r="K126">
        <v>43.17</v>
      </c>
      <c r="L126">
        <v>43.26</v>
      </c>
      <c r="M126">
        <v>43.36</v>
      </c>
    </row>
    <row r="127" spans="1:13" x14ac:dyDescent="0.25">
      <c r="A127" s="1">
        <v>39631</v>
      </c>
      <c r="B127">
        <v>36.17</v>
      </c>
      <c r="C127">
        <v>36.770000000000003</v>
      </c>
      <c r="D127">
        <v>37.94</v>
      </c>
      <c r="E127">
        <v>39.799999999999997</v>
      </c>
      <c r="F127">
        <v>40.1</v>
      </c>
      <c r="G127">
        <v>40.409999999999997</v>
      </c>
      <c r="H127">
        <v>33.57</v>
      </c>
      <c r="I127">
        <v>33.630000000000003</v>
      </c>
      <c r="J127">
        <v>33.68</v>
      </c>
      <c r="K127">
        <v>42.35</v>
      </c>
      <c r="L127">
        <v>42.44</v>
      </c>
      <c r="M127">
        <v>42.54</v>
      </c>
    </row>
    <row r="128" spans="1:13" x14ac:dyDescent="0.25">
      <c r="A128" s="1">
        <v>39632</v>
      </c>
      <c r="B128">
        <v>35.97</v>
      </c>
      <c r="C128">
        <v>36.56</v>
      </c>
      <c r="D128">
        <v>37.72</v>
      </c>
      <c r="E128">
        <v>39.86</v>
      </c>
      <c r="F128">
        <v>40.159999999999997</v>
      </c>
      <c r="G128">
        <v>40.47</v>
      </c>
      <c r="H128">
        <v>33.64</v>
      </c>
      <c r="I128">
        <v>33.69</v>
      </c>
      <c r="J128">
        <v>33.75</v>
      </c>
      <c r="K128">
        <v>42.35</v>
      </c>
      <c r="L128">
        <v>42.44</v>
      </c>
      <c r="M128">
        <v>42.54</v>
      </c>
    </row>
    <row r="129" spans="1:13" x14ac:dyDescent="0.25">
      <c r="A129" s="1">
        <v>39633</v>
      </c>
      <c r="B129">
        <v>35.31</v>
      </c>
      <c r="C129">
        <v>35.9</v>
      </c>
      <c r="D129">
        <v>37.03</v>
      </c>
      <c r="E129">
        <v>39.03</v>
      </c>
      <c r="F129">
        <v>39.33</v>
      </c>
      <c r="G129">
        <v>39.630000000000003</v>
      </c>
      <c r="H129">
        <v>32.56</v>
      </c>
      <c r="I129">
        <v>32.61</v>
      </c>
      <c r="J129">
        <v>32.659999999999997</v>
      </c>
      <c r="K129">
        <v>41.52</v>
      </c>
      <c r="L129">
        <v>41.61</v>
      </c>
      <c r="M129">
        <v>41.71</v>
      </c>
    </row>
    <row r="130" spans="1:13" x14ac:dyDescent="0.25">
      <c r="A130" s="1">
        <v>39636</v>
      </c>
      <c r="B130">
        <v>35.46</v>
      </c>
      <c r="C130">
        <v>36.06</v>
      </c>
      <c r="D130">
        <v>37.200000000000003</v>
      </c>
      <c r="E130">
        <v>39.71</v>
      </c>
      <c r="F130">
        <v>40.020000000000003</v>
      </c>
      <c r="G130">
        <v>40.32</v>
      </c>
      <c r="H130">
        <v>33.130000000000003</v>
      </c>
      <c r="I130">
        <v>33.19</v>
      </c>
      <c r="J130">
        <v>33.24</v>
      </c>
      <c r="K130">
        <v>41.87</v>
      </c>
      <c r="L130">
        <v>41.97</v>
      </c>
      <c r="M130">
        <v>42.06</v>
      </c>
    </row>
    <row r="131" spans="1:13" x14ac:dyDescent="0.25">
      <c r="A131" s="1">
        <v>39637</v>
      </c>
      <c r="B131">
        <v>35.159999999999997</v>
      </c>
      <c r="C131">
        <v>35.75</v>
      </c>
      <c r="D131">
        <v>36.880000000000003</v>
      </c>
      <c r="E131">
        <v>39.130000000000003</v>
      </c>
      <c r="F131">
        <v>39.43</v>
      </c>
      <c r="G131">
        <v>39.729999999999997</v>
      </c>
      <c r="H131">
        <v>32.729999999999997</v>
      </c>
      <c r="I131">
        <v>32.79</v>
      </c>
      <c r="J131">
        <v>32.840000000000003</v>
      </c>
      <c r="K131">
        <v>40.74</v>
      </c>
      <c r="L131">
        <v>40.840000000000003</v>
      </c>
      <c r="M131">
        <v>40.93</v>
      </c>
    </row>
    <row r="132" spans="1:13" x14ac:dyDescent="0.25">
      <c r="A132" s="1">
        <v>39638</v>
      </c>
      <c r="B132">
        <v>35.81</v>
      </c>
      <c r="C132">
        <v>36.409999999999997</v>
      </c>
      <c r="D132">
        <v>37.57</v>
      </c>
      <c r="E132">
        <v>39.979999999999997</v>
      </c>
      <c r="F132">
        <v>40.29</v>
      </c>
      <c r="G132">
        <v>40.6</v>
      </c>
      <c r="H132">
        <v>33.479999999999997</v>
      </c>
      <c r="I132">
        <v>33.54</v>
      </c>
      <c r="J132">
        <v>33.6</v>
      </c>
      <c r="K132">
        <v>40.72</v>
      </c>
      <c r="L132">
        <v>40.81</v>
      </c>
      <c r="M132">
        <v>40.909999999999997</v>
      </c>
    </row>
    <row r="133" spans="1:13" x14ac:dyDescent="0.25">
      <c r="A133" s="1">
        <v>39639</v>
      </c>
      <c r="B133">
        <v>35.1</v>
      </c>
      <c r="C133">
        <v>35.68</v>
      </c>
      <c r="D133">
        <v>36.82</v>
      </c>
      <c r="E133">
        <v>39.07</v>
      </c>
      <c r="F133">
        <v>39.369999999999997</v>
      </c>
      <c r="G133">
        <v>39.67</v>
      </c>
      <c r="H133">
        <v>32.24</v>
      </c>
      <c r="I133">
        <v>32.299999999999997</v>
      </c>
      <c r="J133">
        <v>32.35</v>
      </c>
      <c r="K133">
        <v>39.9</v>
      </c>
      <c r="L133">
        <v>39.99</v>
      </c>
      <c r="M133">
        <v>40.08</v>
      </c>
    </row>
    <row r="134" spans="1:13" x14ac:dyDescent="0.25">
      <c r="A134" s="1">
        <v>39640</v>
      </c>
      <c r="B134">
        <v>34.46</v>
      </c>
      <c r="C134">
        <v>35.03</v>
      </c>
      <c r="D134">
        <v>36.15</v>
      </c>
      <c r="E134">
        <v>38.06</v>
      </c>
      <c r="F134">
        <v>38.35</v>
      </c>
      <c r="G134">
        <v>38.65</v>
      </c>
      <c r="H134">
        <v>31.13</v>
      </c>
      <c r="I134">
        <v>31.18</v>
      </c>
      <c r="J134">
        <v>31.23</v>
      </c>
      <c r="K134">
        <v>39.51</v>
      </c>
      <c r="L134">
        <v>39.6</v>
      </c>
      <c r="M134">
        <v>39.69</v>
      </c>
    </row>
    <row r="135" spans="1:13" x14ac:dyDescent="0.25">
      <c r="A135" s="1">
        <v>39643</v>
      </c>
      <c r="B135">
        <v>34.520000000000003</v>
      </c>
      <c r="C135">
        <v>35.1</v>
      </c>
      <c r="D135">
        <v>36.22</v>
      </c>
      <c r="E135">
        <v>38.159999999999997</v>
      </c>
      <c r="F135">
        <v>38.450000000000003</v>
      </c>
      <c r="G135">
        <v>38.75</v>
      </c>
      <c r="H135">
        <v>31.31</v>
      </c>
      <c r="I135">
        <v>31.37</v>
      </c>
      <c r="J135">
        <v>31.42</v>
      </c>
      <c r="K135">
        <v>39.549999999999997</v>
      </c>
      <c r="L135">
        <v>39.64</v>
      </c>
      <c r="M135">
        <v>39.729999999999997</v>
      </c>
    </row>
    <row r="136" spans="1:13" x14ac:dyDescent="0.25">
      <c r="A136" s="1">
        <v>39644</v>
      </c>
      <c r="B136">
        <v>33.729999999999997</v>
      </c>
      <c r="C136">
        <v>34.299999999999997</v>
      </c>
      <c r="D136">
        <v>35.39</v>
      </c>
      <c r="E136">
        <v>37.18</v>
      </c>
      <c r="F136">
        <v>37.47</v>
      </c>
      <c r="G136">
        <v>37.770000000000003</v>
      </c>
      <c r="H136">
        <v>30.58</v>
      </c>
      <c r="I136">
        <v>30.63</v>
      </c>
      <c r="J136">
        <v>30.69</v>
      </c>
      <c r="K136">
        <v>38.5</v>
      </c>
      <c r="L136">
        <v>38.590000000000003</v>
      </c>
      <c r="M136">
        <v>38.68</v>
      </c>
    </row>
    <row r="137" spans="1:13" x14ac:dyDescent="0.25">
      <c r="A137" s="1">
        <v>39645</v>
      </c>
      <c r="B137">
        <v>33.770000000000003</v>
      </c>
      <c r="C137">
        <v>34.33</v>
      </c>
      <c r="D137">
        <v>35.43</v>
      </c>
      <c r="E137">
        <v>37.32</v>
      </c>
      <c r="F137">
        <v>37.61</v>
      </c>
      <c r="G137">
        <v>37.9</v>
      </c>
      <c r="H137">
        <v>30.66</v>
      </c>
      <c r="I137">
        <v>30.71</v>
      </c>
      <c r="J137">
        <v>30.77</v>
      </c>
      <c r="K137">
        <v>38.57</v>
      </c>
      <c r="L137">
        <v>38.659999999999997</v>
      </c>
      <c r="M137">
        <v>38.75</v>
      </c>
    </row>
    <row r="138" spans="1:13" x14ac:dyDescent="0.25">
      <c r="A138" s="1">
        <v>39646</v>
      </c>
      <c r="B138">
        <v>34.82</v>
      </c>
      <c r="C138">
        <v>35.409999999999997</v>
      </c>
      <c r="D138">
        <v>36.54</v>
      </c>
      <c r="E138">
        <v>38.5</v>
      </c>
      <c r="F138">
        <v>38.799999999999997</v>
      </c>
      <c r="G138">
        <v>39.11</v>
      </c>
      <c r="H138">
        <v>31.57</v>
      </c>
      <c r="I138">
        <v>31.62</v>
      </c>
      <c r="J138">
        <v>31.68</v>
      </c>
      <c r="K138">
        <v>39.090000000000003</v>
      </c>
      <c r="L138">
        <v>39.19</v>
      </c>
      <c r="M138">
        <v>39.28</v>
      </c>
    </row>
    <row r="139" spans="1:13" x14ac:dyDescent="0.25">
      <c r="A139" s="1">
        <v>39647</v>
      </c>
      <c r="B139">
        <v>35.19</v>
      </c>
      <c r="C139">
        <v>35.78</v>
      </c>
      <c r="D139">
        <v>36.93</v>
      </c>
      <c r="E139">
        <v>39.03</v>
      </c>
      <c r="F139">
        <v>39.33</v>
      </c>
      <c r="G139">
        <v>39.64</v>
      </c>
      <c r="H139">
        <v>31.95</v>
      </c>
      <c r="I139">
        <v>32.01</v>
      </c>
      <c r="J139">
        <v>32.06</v>
      </c>
      <c r="K139">
        <v>38.630000000000003</v>
      </c>
      <c r="L139">
        <v>38.72</v>
      </c>
      <c r="M139">
        <v>38.82</v>
      </c>
    </row>
    <row r="140" spans="1:13" x14ac:dyDescent="0.25">
      <c r="A140" s="1">
        <v>39650</v>
      </c>
      <c r="B140">
        <v>35.65</v>
      </c>
      <c r="C140">
        <v>36.25</v>
      </c>
      <c r="D140">
        <v>37.409999999999997</v>
      </c>
      <c r="E140">
        <v>39.49</v>
      </c>
      <c r="F140">
        <v>39.799999999999997</v>
      </c>
      <c r="G140">
        <v>40.11</v>
      </c>
      <c r="H140">
        <v>32.340000000000003</v>
      </c>
      <c r="I140">
        <v>32.39</v>
      </c>
      <c r="J140">
        <v>32.450000000000003</v>
      </c>
      <c r="K140">
        <v>39.1</v>
      </c>
      <c r="L140">
        <v>39.200000000000003</v>
      </c>
      <c r="M140">
        <v>39.29</v>
      </c>
    </row>
    <row r="141" spans="1:13" x14ac:dyDescent="0.25">
      <c r="A141" s="1">
        <v>39651</v>
      </c>
      <c r="B141">
        <v>35.590000000000003</v>
      </c>
      <c r="C141">
        <v>36.19</v>
      </c>
      <c r="D141">
        <v>37.35</v>
      </c>
      <c r="E141">
        <v>39.08</v>
      </c>
      <c r="F141">
        <v>39.39</v>
      </c>
      <c r="G141">
        <v>39.700000000000003</v>
      </c>
      <c r="H141">
        <v>32.11</v>
      </c>
      <c r="I141">
        <v>32.159999999999997</v>
      </c>
      <c r="J141">
        <v>32.22</v>
      </c>
      <c r="K141">
        <v>39.159999999999997</v>
      </c>
      <c r="L141">
        <v>39.25</v>
      </c>
      <c r="M141">
        <v>39.35</v>
      </c>
    </row>
    <row r="142" spans="1:13" x14ac:dyDescent="0.25">
      <c r="A142" s="1">
        <v>39652</v>
      </c>
      <c r="B142">
        <v>36.94</v>
      </c>
      <c r="C142">
        <v>37.57</v>
      </c>
      <c r="D142">
        <v>38.770000000000003</v>
      </c>
      <c r="E142">
        <v>40.42</v>
      </c>
      <c r="F142">
        <v>40.74</v>
      </c>
      <c r="G142">
        <v>41.06</v>
      </c>
      <c r="H142">
        <v>33.44</v>
      </c>
      <c r="I142">
        <v>33.5</v>
      </c>
      <c r="J142">
        <v>33.56</v>
      </c>
      <c r="K142">
        <v>39.43</v>
      </c>
      <c r="L142">
        <v>39.53</v>
      </c>
      <c r="M142">
        <v>39.619999999999997</v>
      </c>
    </row>
    <row r="143" spans="1:13" x14ac:dyDescent="0.25">
      <c r="A143" s="1">
        <v>39653</v>
      </c>
      <c r="B143">
        <v>36.590000000000003</v>
      </c>
      <c r="C143">
        <v>37.21</v>
      </c>
      <c r="D143">
        <v>38.4</v>
      </c>
      <c r="E143">
        <v>39.68</v>
      </c>
      <c r="F143">
        <v>39.99</v>
      </c>
      <c r="G143">
        <v>40.31</v>
      </c>
      <c r="H143">
        <v>32.950000000000003</v>
      </c>
      <c r="I143">
        <v>33.01</v>
      </c>
      <c r="J143">
        <v>33.07</v>
      </c>
      <c r="K143">
        <v>37.880000000000003</v>
      </c>
      <c r="L143">
        <v>37.979999999999997</v>
      </c>
      <c r="M143">
        <v>38.07</v>
      </c>
    </row>
    <row r="144" spans="1:13" x14ac:dyDescent="0.25">
      <c r="A144" s="1">
        <v>39654</v>
      </c>
      <c r="B144">
        <v>36.57</v>
      </c>
      <c r="C144">
        <v>37.19</v>
      </c>
      <c r="D144">
        <v>38.380000000000003</v>
      </c>
      <c r="E144">
        <v>38.93</v>
      </c>
      <c r="F144">
        <v>39.24</v>
      </c>
      <c r="G144">
        <v>39.549999999999997</v>
      </c>
      <c r="H144">
        <v>32.29</v>
      </c>
      <c r="I144">
        <v>32.35</v>
      </c>
      <c r="J144">
        <v>32.409999999999997</v>
      </c>
      <c r="K144">
        <v>37.840000000000003</v>
      </c>
      <c r="L144">
        <v>37.94</v>
      </c>
      <c r="M144">
        <v>38.03</v>
      </c>
    </row>
    <row r="145" spans="1:13" x14ac:dyDescent="0.25">
      <c r="A145" s="1">
        <v>39657</v>
      </c>
      <c r="B145">
        <v>36.61</v>
      </c>
      <c r="C145">
        <v>37.229999999999997</v>
      </c>
      <c r="D145">
        <v>38.43</v>
      </c>
      <c r="E145">
        <v>39.01</v>
      </c>
      <c r="F145">
        <v>39.33</v>
      </c>
      <c r="G145">
        <v>39.64</v>
      </c>
      <c r="H145">
        <v>32.26</v>
      </c>
      <c r="I145">
        <v>32.32</v>
      </c>
      <c r="J145">
        <v>32.369999999999997</v>
      </c>
      <c r="K145">
        <v>37.83</v>
      </c>
      <c r="L145">
        <v>37.92</v>
      </c>
      <c r="M145">
        <v>38.020000000000003</v>
      </c>
    </row>
    <row r="146" spans="1:13" x14ac:dyDescent="0.25">
      <c r="A146" s="1">
        <v>39658</v>
      </c>
      <c r="B146">
        <v>36.94</v>
      </c>
      <c r="C146">
        <v>37.57</v>
      </c>
      <c r="D146">
        <v>38.78</v>
      </c>
      <c r="E146">
        <v>39.909999999999997</v>
      </c>
      <c r="F146">
        <v>40.229999999999997</v>
      </c>
      <c r="G146">
        <v>40.549999999999997</v>
      </c>
      <c r="H146">
        <v>32.65</v>
      </c>
      <c r="I146">
        <v>32.71</v>
      </c>
      <c r="J146">
        <v>32.770000000000003</v>
      </c>
      <c r="K146">
        <v>38.11</v>
      </c>
      <c r="L146">
        <v>38.21</v>
      </c>
      <c r="M146">
        <v>38.299999999999997</v>
      </c>
    </row>
    <row r="147" spans="1:13" x14ac:dyDescent="0.25">
      <c r="A147" s="1">
        <v>39659</v>
      </c>
      <c r="B147">
        <v>37.909999999999997</v>
      </c>
      <c r="C147">
        <v>38.549999999999997</v>
      </c>
      <c r="D147">
        <v>39.79</v>
      </c>
      <c r="E147">
        <v>40.659999999999997</v>
      </c>
      <c r="F147">
        <v>40.99</v>
      </c>
      <c r="G147">
        <v>41.31</v>
      </c>
      <c r="H147">
        <v>33.270000000000003</v>
      </c>
      <c r="I147">
        <v>33.33</v>
      </c>
      <c r="J147">
        <v>33.39</v>
      </c>
      <c r="K147">
        <v>38.950000000000003</v>
      </c>
      <c r="L147">
        <v>39.049999999999997</v>
      </c>
      <c r="M147">
        <v>39.15</v>
      </c>
    </row>
    <row r="148" spans="1:13" x14ac:dyDescent="0.25">
      <c r="A148" s="1">
        <v>39660</v>
      </c>
      <c r="B148">
        <v>38.130000000000003</v>
      </c>
      <c r="C148">
        <v>38.78</v>
      </c>
      <c r="D148">
        <v>40.03</v>
      </c>
      <c r="E148">
        <v>41.08</v>
      </c>
      <c r="F148">
        <v>41.41</v>
      </c>
      <c r="G148">
        <v>41.74</v>
      </c>
      <c r="H148">
        <v>33.340000000000003</v>
      </c>
      <c r="I148">
        <v>33.4</v>
      </c>
      <c r="J148">
        <v>33.46</v>
      </c>
      <c r="K148">
        <v>39.1</v>
      </c>
      <c r="L148">
        <v>39.21</v>
      </c>
      <c r="M148">
        <v>39.31</v>
      </c>
    </row>
    <row r="149" spans="1:13" x14ac:dyDescent="0.25">
      <c r="A149" s="1">
        <v>39661</v>
      </c>
      <c r="B149">
        <v>38.01</v>
      </c>
      <c r="C149">
        <v>38.65</v>
      </c>
      <c r="D149">
        <v>39.9</v>
      </c>
      <c r="E149">
        <v>41.08</v>
      </c>
      <c r="F149">
        <v>41.41</v>
      </c>
      <c r="G149">
        <v>41.74</v>
      </c>
      <c r="H149">
        <v>33.29</v>
      </c>
      <c r="I149">
        <v>33.35</v>
      </c>
      <c r="J149">
        <v>33.409999999999997</v>
      </c>
      <c r="K149">
        <v>38.71</v>
      </c>
      <c r="L149">
        <v>38.81</v>
      </c>
      <c r="M149">
        <v>38.909999999999997</v>
      </c>
    </row>
    <row r="150" spans="1:13" x14ac:dyDescent="0.25">
      <c r="A150" s="1">
        <v>39664</v>
      </c>
      <c r="B150">
        <v>37.85</v>
      </c>
      <c r="C150">
        <v>38.49</v>
      </c>
      <c r="D150">
        <v>39.729999999999997</v>
      </c>
      <c r="E150">
        <v>41.28</v>
      </c>
      <c r="F150">
        <v>41.61</v>
      </c>
      <c r="G150">
        <v>41.95</v>
      </c>
      <c r="H150">
        <v>33.57</v>
      </c>
      <c r="I150">
        <v>33.630000000000003</v>
      </c>
      <c r="J150">
        <v>33.69</v>
      </c>
      <c r="K150">
        <v>37.99</v>
      </c>
      <c r="L150">
        <v>38.090000000000003</v>
      </c>
      <c r="M150">
        <v>38.19</v>
      </c>
    </row>
    <row r="151" spans="1:13" x14ac:dyDescent="0.25">
      <c r="A151" s="1">
        <v>39665</v>
      </c>
      <c r="B151">
        <v>38.21</v>
      </c>
      <c r="C151">
        <v>38.869999999999997</v>
      </c>
      <c r="D151">
        <v>40.119999999999997</v>
      </c>
      <c r="E151">
        <v>41.69</v>
      </c>
      <c r="F151">
        <v>42.03</v>
      </c>
      <c r="G151">
        <v>42.37</v>
      </c>
      <c r="H151">
        <v>34.14</v>
      </c>
      <c r="I151">
        <v>34.21</v>
      </c>
      <c r="J151">
        <v>34.270000000000003</v>
      </c>
      <c r="K151">
        <v>37.619999999999997</v>
      </c>
      <c r="L151">
        <v>37.72</v>
      </c>
      <c r="M151">
        <v>37.82</v>
      </c>
    </row>
    <row r="152" spans="1:13" x14ac:dyDescent="0.25">
      <c r="A152" s="1">
        <v>39666</v>
      </c>
      <c r="B152">
        <v>38.01</v>
      </c>
      <c r="C152">
        <v>38.659999999999997</v>
      </c>
      <c r="D152">
        <v>39.909999999999997</v>
      </c>
      <c r="E152">
        <v>42.09</v>
      </c>
      <c r="F152">
        <v>42.43</v>
      </c>
      <c r="G152">
        <v>42.77</v>
      </c>
      <c r="H152">
        <v>34.22</v>
      </c>
      <c r="I152">
        <v>34.29</v>
      </c>
      <c r="J152">
        <v>34.35</v>
      </c>
      <c r="K152">
        <v>38.33</v>
      </c>
      <c r="L152">
        <v>38.44</v>
      </c>
      <c r="M152">
        <v>38.54</v>
      </c>
    </row>
    <row r="153" spans="1:13" x14ac:dyDescent="0.25">
      <c r="A153" s="1">
        <v>39667</v>
      </c>
      <c r="B153">
        <v>37.71</v>
      </c>
      <c r="C153">
        <v>38.35</v>
      </c>
      <c r="D153">
        <v>39.590000000000003</v>
      </c>
      <c r="E153">
        <v>41.87</v>
      </c>
      <c r="F153">
        <v>42.21</v>
      </c>
      <c r="G153">
        <v>42.55</v>
      </c>
      <c r="H153">
        <v>33.99</v>
      </c>
      <c r="I153">
        <v>34.06</v>
      </c>
      <c r="J153">
        <v>34.119999999999997</v>
      </c>
      <c r="K153">
        <v>38.9</v>
      </c>
      <c r="L153">
        <v>39</v>
      </c>
      <c r="M153">
        <v>39.11</v>
      </c>
    </row>
    <row r="154" spans="1:13" x14ac:dyDescent="0.25">
      <c r="A154" s="1">
        <v>39668</v>
      </c>
      <c r="B154">
        <v>37.700000000000003</v>
      </c>
      <c r="C154">
        <v>38.35</v>
      </c>
      <c r="D154">
        <v>39.58</v>
      </c>
      <c r="E154">
        <v>41.66</v>
      </c>
      <c r="F154">
        <v>42</v>
      </c>
      <c r="G154">
        <v>42.34</v>
      </c>
      <c r="H154">
        <v>33.89</v>
      </c>
      <c r="I154">
        <v>33.950000000000003</v>
      </c>
      <c r="J154">
        <v>34.020000000000003</v>
      </c>
      <c r="K154">
        <v>38.92</v>
      </c>
      <c r="L154">
        <v>39.020000000000003</v>
      </c>
      <c r="M154">
        <v>39.130000000000003</v>
      </c>
    </row>
    <row r="155" spans="1:13" x14ac:dyDescent="0.25">
      <c r="A155" s="1">
        <v>39671</v>
      </c>
      <c r="B155">
        <v>37.979999999999997</v>
      </c>
      <c r="C155">
        <v>38.630000000000003</v>
      </c>
      <c r="D155">
        <v>39.880000000000003</v>
      </c>
      <c r="E155">
        <v>42.15</v>
      </c>
      <c r="F155">
        <v>42.5</v>
      </c>
      <c r="G155">
        <v>42.84</v>
      </c>
      <c r="H155">
        <v>34.33</v>
      </c>
      <c r="I155">
        <v>34.4</v>
      </c>
      <c r="J155">
        <v>34.46</v>
      </c>
      <c r="K155">
        <v>38.729999999999997</v>
      </c>
      <c r="L155">
        <v>38.83</v>
      </c>
      <c r="M155">
        <v>38.94</v>
      </c>
    </row>
    <row r="156" spans="1:13" x14ac:dyDescent="0.25">
      <c r="A156" s="1">
        <v>39672</v>
      </c>
      <c r="B156">
        <v>38.1</v>
      </c>
      <c r="C156">
        <v>38.75</v>
      </c>
      <c r="D156">
        <v>40</v>
      </c>
      <c r="E156">
        <v>42.43</v>
      </c>
      <c r="F156">
        <v>42.78</v>
      </c>
      <c r="G156">
        <v>43.13</v>
      </c>
      <c r="H156">
        <v>34.67</v>
      </c>
      <c r="I156">
        <v>34.729999999999997</v>
      </c>
      <c r="J156">
        <v>34.799999999999997</v>
      </c>
      <c r="K156">
        <v>38.85</v>
      </c>
      <c r="L156">
        <v>38.96</v>
      </c>
      <c r="M156">
        <v>39.07</v>
      </c>
    </row>
    <row r="157" spans="1:13" x14ac:dyDescent="0.25">
      <c r="A157" s="1">
        <v>39673</v>
      </c>
      <c r="B157">
        <v>37.64</v>
      </c>
      <c r="C157">
        <v>38.29</v>
      </c>
      <c r="D157">
        <v>39.520000000000003</v>
      </c>
      <c r="E157">
        <v>41.67</v>
      </c>
      <c r="F157">
        <v>42.01</v>
      </c>
      <c r="G157">
        <v>42.36</v>
      </c>
      <c r="H157">
        <v>34.14</v>
      </c>
      <c r="I157">
        <v>34.200000000000003</v>
      </c>
      <c r="J157">
        <v>34.270000000000003</v>
      </c>
      <c r="K157">
        <v>39.04</v>
      </c>
      <c r="L157">
        <v>39.15</v>
      </c>
      <c r="M157">
        <v>39.26</v>
      </c>
    </row>
    <row r="158" spans="1:13" x14ac:dyDescent="0.25">
      <c r="A158" s="1">
        <v>39674</v>
      </c>
      <c r="B158">
        <v>37.89</v>
      </c>
      <c r="C158">
        <v>38.54</v>
      </c>
      <c r="D158">
        <v>39.78</v>
      </c>
      <c r="E158">
        <v>42.08</v>
      </c>
      <c r="F158">
        <v>42.42</v>
      </c>
      <c r="G158">
        <v>42.77</v>
      </c>
      <c r="H158">
        <v>34.43</v>
      </c>
      <c r="I158">
        <v>34.5</v>
      </c>
      <c r="J158">
        <v>34.56</v>
      </c>
      <c r="K158">
        <v>39.5</v>
      </c>
      <c r="L158">
        <v>39.61</v>
      </c>
      <c r="M158">
        <v>39.72</v>
      </c>
    </row>
    <row r="159" spans="1:13" x14ac:dyDescent="0.25">
      <c r="A159" s="1">
        <v>39678</v>
      </c>
      <c r="B159">
        <v>38.06</v>
      </c>
      <c r="C159">
        <v>38.72</v>
      </c>
      <c r="D159">
        <v>39.97</v>
      </c>
      <c r="E159">
        <v>42.67</v>
      </c>
      <c r="F159">
        <v>43.02</v>
      </c>
      <c r="G159">
        <v>43.38</v>
      </c>
      <c r="H159">
        <v>34.76</v>
      </c>
      <c r="I159">
        <v>34.83</v>
      </c>
      <c r="J159">
        <v>34.9</v>
      </c>
      <c r="K159">
        <v>40.159999999999997</v>
      </c>
      <c r="L159">
        <v>40.28</v>
      </c>
      <c r="M159">
        <v>40.39</v>
      </c>
    </row>
    <row r="160" spans="1:13" x14ac:dyDescent="0.25">
      <c r="A160" s="1">
        <v>39679</v>
      </c>
      <c r="B160">
        <v>37.049999999999997</v>
      </c>
      <c r="C160">
        <v>37.69</v>
      </c>
      <c r="D160">
        <v>38.909999999999997</v>
      </c>
      <c r="E160">
        <v>41.16</v>
      </c>
      <c r="F160">
        <v>41.5</v>
      </c>
      <c r="G160">
        <v>41.84</v>
      </c>
      <c r="H160">
        <v>33.479999999999997</v>
      </c>
      <c r="I160">
        <v>33.54</v>
      </c>
      <c r="J160">
        <v>33.61</v>
      </c>
      <c r="K160">
        <v>40.26</v>
      </c>
      <c r="L160">
        <v>40.369999999999997</v>
      </c>
      <c r="M160">
        <v>40.49</v>
      </c>
    </row>
    <row r="161" spans="1:13" x14ac:dyDescent="0.25">
      <c r="A161" s="1">
        <v>39680</v>
      </c>
      <c r="B161">
        <v>37.19</v>
      </c>
      <c r="C161">
        <v>37.83</v>
      </c>
      <c r="D161">
        <v>39.049999999999997</v>
      </c>
      <c r="E161">
        <v>40.79</v>
      </c>
      <c r="F161">
        <v>41.13</v>
      </c>
      <c r="G161">
        <v>41.47</v>
      </c>
      <c r="H161">
        <v>33.01</v>
      </c>
      <c r="I161">
        <v>33.07</v>
      </c>
      <c r="J161">
        <v>33.14</v>
      </c>
      <c r="K161">
        <v>40.76</v>
      </c>
      <c r="L161">
        <v>40.880000000000003</v>
      </c>
      <c r="M161">
        <v>41</v>
      </c>
    </row>
    <row r="162" spans="1:13" x14ac:dyDescent="0.25">
      <c r="A162" s="1">
        <v>39681</v>
      </c>
      <c r="B162">
        <v>37.06</v>
      </c>
      <c r="C162">
        <v>37.71</v>
      </c>
      <c r="D162">
        <v>38.93</v>
      </c>
      <c r="E162">
        <v>40.33</v>
      </c>
      <c r="F162">
        <v>40.659999999999997</v>
      </c>
      <c r="G162">
        <v>41</v>
      </c>
      <c r="H162">
        <v>32.57</v>
      </c>
      <c r="I162">
        <v>32.64</v>
      </c>
      <c r="J162">
        <v>32.700000000000003</v>
      </c>
      <c r="K162">
        <v>41.42</v>
      </c>
      <c r="L162">
        <v>41.55</v>
      </c>
      <c r="M162">
        <v>41.66</v>
      </c>
    </row>
    <row r="163" spans="1:13" x14ac:dyDescent="0.25">
      <c r="A163" s="1">
        <v>39682</v>
      </c>
      <c r="B163">
        <v>37.65</v>
      </c>
      <c r="C163">
        <v>38.31</v>
      </c>
      <c r="D163">
        <v>39.549999999999997</v>
      </c>
      <c r="E163">
        <v>41.32</v>
      </c>
      <c r="F163">
        <v>41.67</v>
      </c>
      <c r="G163">
        <v>42.01</v>
      </c>
      <c r="H163">
        <v>33.49</v>
      </c>
      <c r="I163">
        <v>33.56</v>
      </c>
      <c r="J163">
        <v>33.619999999999997</v>
      </c>
      <c r="K163">
        <v>41.47</v>
      </c>
      <c r="L163">
        <v>41.59</v>
      </c>
      <c r="M163">
        <v>41.71</v>
      </c>
    </row>
    <row r="164" spans="1:13" x14ac:dyDescent="0.25">
      <c r="A164" s="1">
        <v>39685</v>
      </c>
      <c r="B164">
        <v>37.69</v>
      </c>
      <c r="C164">
        <v>38.340000000000003</v>
      </c>
      <c r="D164">
        <v>39.58</v>
      </c>
      <c r="E164">
        <v>41.23</v>
      </c>
      <c r="F164">
        <v>41.58</v>
      </c>
      <c r="G164">
        <v>41.92</v>
      </c>
      <c r="H164">
        <v>33.380000000000003</v>
      </c>
      <c r="I164">
        <v>33.450000000000003</v>
      </c>
      <c r="J164">
        <v>33.520000000000003</v>
      </c>
      <c r="K164">
        <v>41.28</v>
      </c>
      <c r="L164">
        <v>41.4</v>
      </c>
      <c r="M164">
        <v>41.52</v>
      </c>
    </row>
    <row r="165" spans="1:13" x14ac:dyDescent="0.25">
      <c r="A165" s="1">
        <v>39686</v>
      </c>
      <c r="B165">
        <v>37.380000000000003</v>
      </c>
      <c r="C165">
        <v>38.03</v>
      </c>
      <c r="D165">
        <v>39.26</v>
      </c>
      <c r="E165">
        <v>41.05</v>
      </c>
      <c r="F165">
        <v>41.39</v>
      </c>
      <c r="G165">
        <v>41.74</v>
      </c>
      <c r="H165">
        <v>33.29</v>
      </c>
      <c r="I165">
        <v>33.36</v>
      </c>
      <c r="J165">
        <v>33.43</v>
      </c>
      <c r="K165">
        <v>41.25</v>
      </c>
      <c r="L165">
        <v>41.37</v>
      </c>
      <c r="M165">
        <v>41.49</v>
      </c>
    </row>
    <row r="166" spans="1:13" x14ac:dyDescent="0.25">
      <c r="A166" s="1">
        <v>39687</v>
      </c>
      <c r="B166">
        <v>37.229999999999997</v>
      </c>
      <c r="C166">
        <v>37.880000000000003</v>
      </c>
      <c r="D166">
        <v>39.11</v>
      </c>
      <c r="E166">
        <v>40.799999999999997</v>
      </c>
      <c r="F166">
        <v>41.14</v>
      </c>
      <c r="G166">
        <v>41.49</v>
      </c>
      <c r="H166">
        <v>33</v>
      </c>
      <c r="I166">
        <v>33.07</v>
      </c>
      <c r="J166">
        <v>33.130000000000003</v>
      </c>
      <c r="K166">
        <v>42.02</v>
      </c>
      <c r="L166">
        <v>42.15</v>
      </c>
      <c r="M166">
        <v>42.27</v>
      </c>
    </row>
    <row r="167" spans="1:13" x14ac:dyDescent="0.25">
      <c r="A167" s="1">
        <v>39688</v>
      </c>
      <c r="B167">
        <v>37.729999999999997</v>
      </c>
      <c r="C167">
        <v>38.39</v>
      </c>
      <c r="D167">
        <v>39.64</v>
      </c>
      <c r="E167">
        <v>41.61</v>
      </c>
      <c r="F167">
        <v>41.96</v>
      </c>
      <c r="G167">
        <v>42.31</v>
      </c>
      <c r="H167">
        <v>33.590000000000003</v>
      </c>
      <c r="I167">
        <v>33.659999999999997</v>
      </c>
      <c r="J167">
        <v>33.72</v>
      </c>
      <c r="K167">
        <v>42.43</v>
      </c>
      <c r="L167">
        <v>42.56</v>
      </c>
      <c r="M167">
        <v>42.68</v>
      </c>
    </row>
    <row r="168" spans="1:13" x14ac:dyDescent="0.25">
      <c r="A168" s="1">
        <v>39689</v>
      </c>
      <c r="B168">
        <v>37.86</v>
      </c>
      <c r="C168">
        <v>38.520000000000003</v>
      </c>
      <c r="D168">
        <v>39.78</v>
      </c>
      <c r="E168">
        <v>41.88</v>
      </c>
      <c r="F168">
        <v>42.23</v>
      </c>
      <c r="G168">
        <v>42.59</v>
      </c>
      <c r="H168">
        <v>33.869999999999997</v>
      </c>
      <c r="I168">
        <v>33.94</v>
      </c>
      <c r="J168">
        <v>34.01</v>
      </c>
      <c r="K168">
        <v>42.57</v>
      </c>
      <c r="L168">
        <v>42.69</v>
      </c>
      <c r="M168">
        <v>42.82</v>
      </c>
    </row>
    <row r="169" spans="1:13" x14ac:dyDescent="0.25">
      <c r="A169" s="1">
        <v>39692</v>
      </c>
      <c r="B169">
        <v>37.86</v>
      </c>
      <c r="C169">
        <v>38.520000000000003</v>
      </c>
      <c r="D169">
        <v>39.770000000000003</v>
      </c>
      <c r="E169">
        <v>41.38</v>
      </c>
      <c r="F169">
        <v>41.73</v>
      </c>
      <c r="G169">
        <v>42.08</v>
      </c>
      <c r="H169">
        <v>33.51</v>
      </c>
      <c r="I169">
        <v>33.58</v>
      </c>
      <c r="J169">
        <v>33.65</v>
      </c>
      <c r="K169">
        <v>42.35</v>
      </c>
      <c r="L169">
        <v>42.48</v>
      </c>
      <c r="M169">
        <v>42.61</v>
      </c>
    </row>
    <row r="170" spans="1:13" x14ac:dyDescent="0.25">
      <c r="A170" s="1">
        <v>39693</v>
      </c>
      <c r="B170">
        <v>38.700000000000003</v>
      </c>
      <c r="C170">
        <v>39.369999999999997</v>
      </c>
      <c r="D170">
        <v>40.65</v>
      </c>
      <c r="E170">
        <v>42.47</v>
      </c>
      <c r="F170">
        <v>42.83</v>
      </c>
      <c r="G170">
        <v>43.19</v>
      </c>
      <c r="H170">
        <v>34.64</v>
      </c>
      <c r="I170">
        <v>34.72</v>
      </c>
      <c r="J170">
        <v>34.79</v>
      </c>
      <c r="K170">
        <v>41.6</v>
      </c>
      <c r="L170">
        <v>41.73</v>
      </c>
      <c r="M170">
        <v>41.85</v>
      </c>
    </row>
    <row r="171" spans="1:13" x14ac:dyDescent="0.25">
      <c r="A171" s="1">
        <v>39694</v>
      </c>
      <c r="B171">
        <v>38.64</v>
      </c>
      <c r="C171">
        <v>39.32</v>
      </c>
      <c r="D171">
        <v>40.6</v>
      </c>
      <c r="E171">
        <v>42.4</v>
      </c>
      <c r="F171">
        <v>42.76</v>
      </c>
      <c r="G171">
        <v>43.12</v>
      </c>
      <c r="H171">
        <v>34.69</v>
      </c>
      <c r="I171">
        <v>34.76</v>
      </c>
      <c r="J171">
        <v>34.840000000000003</v>
      </c>
      <c r="K171">
        <v>40.840000000000003</v>
      </c>
      <c r="L171">
        <v>40.97</v>
      </c>
      <c r="M171">
        <v>41.09</v>
      </c>
    </row>
    <row r="172" spans="1:13" x14ac:dyDescent="0.25">
      <c r="A172" s="1">
        <v>39695</v>
      </c>
      <c r="B172">
        <v>38.479999999999997</v>
      </c>
      <c r="C172">
        <v>39.15</v>
      </c>
      <c r="D172">
        <v>40.43</v>
      </c>
      <c r="E172">
        <v>41.47</v>
      </c>
      <c r="F172">
        <v>41.82</v>
      </c>
      <c r="G172">
        <v>42.18</v>
      </c>
      <c r="H172">
        <v>33.93</v>
      </c>
      <c r="I172">
        <v>34</v>
      </c>
      <c r="J172">
        <v>34.07</v>
      </c>
      <c r="K172">
        <v>39.909999999999997</v>
      </c>
      <c r="L172">
        <v>40.03</v>
      </c>
      <c r="M172">
        <v>40.15</v>
      </c>
    </row>
    <row r="173" spans="1:13" x14ac:dyDescent="0.25">
      <c r="A173" s="1">
        <v>39696</v>
      </c>
      <c r="B173">
        <v>37.86</v>
      </c>
      <c r="C173">
        <v>38.53</v>
      </c>
      <c r="D173">
        <v>39.78</v>
      </c>
      <c r="E173">
        <v>40.99</v>
      </c>
      <c r="F173">
        <v>41.33</v>
      </c>
      <c r="G173">
        <v>41.69</v>
      </c>
      <c r="H173">
        <v>33.369999999999997</v>
      </c>
      <c r="I173">
        <v>33.44</v>
      </c>
      <c r="J173">
        <v>33.51</v>
      </c>
      <c r="K173">
        <v>39.659999999999997</v>
      </c>
      <c r="L173">
        <v>39.78</v>
      </c>
      <c r="M173">
        <v>39.909999999999997</v>
      </c>
    </row>
    <row r="174" spans="1:13" x14ac:dyDescent="0.25">
      <c r="A174" s="1">
        <v>39699</v>
      </c>
      <c r="B174">
        <v>38.69</v>
      </c>
      <c r="C174">
        <v>39.369999999999997</v>
      </c>
      <c r="D174">
        <v>40.659999999999997</v>
      </c>
      <c r="E174">
        <v>42.95</v>
      </c>
      <c r="F174">
        <v>43.32</v>
      </c>
      <c r="G174">
        <v>43.69</v>
      </c>
      <c r="H174">
        <v>34.92</v>
      </c>
      <c r="I174">
        <v>34.99</v>
      </c>
      <c r="J174">
        <v>35.06</v>
      </c>
      <c r="K174">
        <v>40.17</v>
      </c>
      <c r="L174">
        <v>40.29</v>
      </c>
      <c r="M174">
        <v>40.42</v>
      </c>
    </row>
    <row r="175" spans="1:13" x14ac:dyDescent="0.25">
      <c r="A175" s="1">
        <v>39700</v>
      </c>
      <c r="B175">
        <v>38.28</v>
      </c>
      <c r="C175">
        <v>38.96</v>
      </c>
      <c r="D175">
        <v>40.229999999999997</v>
      </c>
      <c r="E175">
        <v>42.81</v>
      </c>
      <c r="F175">
        <v>43.18</v>
      </c>
      <c r="G175">
        <v>43.55</v>
      </c>
      <c r="H175">
        <v>34.78</v>
      </c>
      <c r="I175">
        <v>34.86</v>
      </c>
      <c r="J175">
        <v>34.93</v>
      </c>
      <c r="K175">
        <v>37.979999999999997</v>
      </c>
      <c r="L175">
        <v>38.1</v>
      </c>
      <c r="M175">
        <v>38.22</v>
      </c>
    </row>
    <row r="176" spans="1:13" x14ac:dyDescent="0.25">
      <c r="A176" s="1">
        <v>39701</v>
      </c>
      <c r="B176">
        <v>37.51</v>
      </c>
      <c r="C176">
        <v>38.17</v>
      </c>
      <c r="D176">
        <v>39.42</v>
      </c>
      <c r="E176">
        <v>41.72</v>
      </c>
      <c r="F176">
        <v>42.08</v>
      </c>
      <c r="G176">
        <v>42.44</v>
      </c>
      <c r="H176">
        <v>33.950000000000003</v>
      </c>
      <c r="I176">
        <v>34.03</v>
      </c>
      <c r="J176">
        <v>34.1</v>
      </c>
      <c r="K176">
        <v>37.47</v>
      </c>
      <c r="L176">
        <v>37.590000000000003</v>
      </c>
      <c r="M176">
        <v>37.71</v>
      </c>
    </row>
    <row r="177" spans="1:13" x14ac:dyDescent="0.25">
      <c r="A177" s="1">
        <v>39702</v>
      </c>
      <c r="B177">
        <v>36.64</v>
      </c>
      <c r="C177">
        <v>37.29</v>
      </c>
      <c r="D177">
        <v>38.51</v>
      </c>
      <c r="E177">
        <v>39.79</v>
      </c>
      <c r="F177">
        <v>40.130000000000003</v>
      </c>
      <c r="G177">
        <v>40.479999999999997</v>
      </c>
      <c r="H177">
        <v>32.450000000000003</v>
      </c>
      <c r="I177">
        <v>32.520000000000003</v>
      </c>
      <c r="J177">
        <v>32.590000000000003</v>
      </c>
      <c r="K177">
        <v>37.32</v>
      </c>
      <c r="L177">
        <v>37.44</v>
      </c>
      <c r="M177">
        <v>37.56</v>
      </c>
    </row>
    <row r="178" spans="1:13" x14ac:dyDescent="0.25">
      <c r="A178" s="1">
        <v>39703</v>
      </c>
      <c r="B178">
        <v>36.47</v>
      </c>
      <c r="C178">
        <v>37.11</v>
      </c>
      <c r="D178">
        <v>38.33</v>
      </c>
      <c r="E178">
        <v>39.35</v>
      </c>
      <c r="F178">
        <v>39.68</v>
      </c>
      <c r="G178">
        <v>40.020000000000003</v>
      </c>
      <c r="H178">
        <v>32.119999999999997</v>
      </c>
      <c r="I178">
        <v>32.18</v>
      </c>
      <c r="J178">
        <v>32.25</v>
      </c>
      <c r="K178">
        <v>38.159999999999997</v>
      </c>
      <c r="L178">
        <v>38.28</v>
      </c>
      <c r="M178">
        <v>38.4</v>
      </c>
    </row>
    <row r="179" spans="1:13" x14ac:dyDescent="0.25">
      <c r="A179" s="1">
        <v>39706</v>
      </c>
      <c r="B179">
        <v>35.04</v>
      </c>
      <c r="C179">
        <v>35.65</v>
      </c>
      <c r="D179">
        <v>36.82</v>
      </c>
      <c r="E179">
        <v>37.409999999999997</v>
      </c>
      <c r="F179">
        <v>37.729999999999997</v>
      </c>
      <c r="G179">
        <v>38.049999999999997</v>
      </c>
      <c r="H179">
        <v>30.78</v>
      </c>
      <c r="I179">
        <v>30.85</v>
      </c>
      <c r="J179">
        <v>30.91</v>
      </c>
      <c r="K179">
        <v>36.340000000000003</v>
      </c>
      <c r="L179">
        <v>36.450000000000003</v>
      </c>
      <c r="M179">
        <v>36.57</v>
      </c>
    </row>
    <row r="180" spans="1:13" x14ac:dyDescent="0.25">
      <c r="A180" s="1">
        <v>39707</v>
      </c>
      <c r="B180">
        <v>34.020000000000003</v>
      </c>
      <c r="C180">
        <v>34.630000000000003</v>
      </c>
      <c r="D180">
        <v>35.76</v>
      </c>
      <c r="E180">
        <v>36.1</v>
      </c>
      <c r="F180">
        <v>36.409999999999997</v>
      </c>
      <c r="G180">
        <v>36.72</v>
      </c>
      <c r="H180">
        <v>29.65</v>
      </c>
      <c r="I180">
        <v>29.71</v>
      </c>
      <c r="J180">
        <v>29.77</v>
      </c>
      <c r="K180">
        <v>35.89</v>
      </c>
      <c r="L180">
        <v>36.01</v>
      </c>
      <c r="M180">
        <v>36.119999999999997</v>
      </c>
    </row>
    <row r="181" spans="1:13" x14ac:dyDescent="0.25">
      <c r="A181" s="1">
        <v>39708</v>
      </c>
      <c r="B181">
        <v>33.61</v>
      </c>
      <c r="C181">
        <v>34.200000000000003</v>
      </c>
      <c r="D181">
        <v>35.32</v>
      </c>
      <c r="E181">
        <v>34.799999999999997</v>
      </c>
      <c r="F181">
        <v>35.1</v>
      </c>
      <c r="G181">
        <v>35.4</v>
      </c>
      <c r="H181">
        <v>28.65</v>
      </c>
      <c r="I181">
        <v>28.71</v>
      </c>
      <c r="J181">
        <v>28.77</v>
      </c>
      <c r="K181">
        <v>34.81</v>
      </c>
      <c r="L181">
        <v>34.93</v>
      </c>
      <c r="M181">
        <v>35.04</v>
      </c>
    </row>
    <row r="182" spans="1:13" x14ac:dyDescent="0.25">
      <c r="A182" s="1">
        <v>39709</v>
      </c>
      <c r="B182">
        <v>33.22</v>
      </c>
      <c r="C182">
        <v>33.81</v>
      </c>
      <c r="D182">
        <v>34.92</v>
      </c>
      <c r="E182">
        <v>34.22</v>
      </c>
      <c r="F182">
        <v>34.520000000000003</v>
      </c>
      <c r="G182">
        <v>34.82</v>
      </c>
      <c r="H182">
        <v>28.02</v>
      </c>
      <c r="I182">
        <v>28.09</v>
      </c>
      <c r="J182">
        <v>28.15</v>
      </c>
      <c r="K182">
        <v>34.47</v>
      </c>
      <c r="L182">
        <v>34.58</v>
      </c>
      <c r="M182">
        <v>34.69</v>
      </c>
    </row>
    <row r="183" spans="1:13" x14ac:dyDescent="0.25">
      <c r="A183" s="1">
        <v>39710</v>
      </c>
      <c r="B183">
        <v>35.54</v>
      </c>
      <c r="C183">
        <v>36.17</v>
      </c>
      <c r="D183">
        <v>37.35</v>
      </c>
      <c r="E183">
        <v>38.119999999999997</v>
      </c>
      <c r="F183">
        <v>38.450000000000003</v>
      </c>
      <c r="G183">
        <v>38.78</v>
      </c>
      <c r="H183">
        <v>30.75</v>
      </c>
      <c r="I183">
        <v>30.82</v>
      </c>
      <c r="J183">
        <v>30.89</v>
      </c>
      <c r="K183">
        <v>37.56</v>
      </c>
      <c r="L183">
        <v>37.68</v>
      </c>
      <c r="M183">
        <v>37.799999999999997</v>
      </c>
    </row>
    <row r="184" spans="1:13" x14ac:dyDescent="0.25">
      <c r="A184" s="1">
        <v>39713</v>
      </c>
      <c r="B184">
        <v>35.01</v>
      </c>
      <c r="C184">
        <v>35.64</v>
      </c>
      <c r="D184">
        <v>36.81</v>
      </c>
      <c r="E184">
        <v>37.130000000000003</v>
      </c>
      <c r="F184">
        <v>37.46</v>
      </c>
      <c r="G184">
        <v>37.78</v>
      </c>
      <c r="H184">
        <v>29.96</v>
      </c>
      <c r="I184">
        <v>30.02</v>
      </c>
      <c r="J184">
        <v>30.09</v>
      </c>
      <c r="K184">
        <v>36.51</v>
      </c>
      <c r="L184">
        <v>36.630000000000003</v>
      </c>
      <c r="M184">
        <v>36.75</v>
      </c>
    </row>
    <row r="185" spans="1:13" x14ac:dyDescent="0.25">
      <c r="A185" s="1">
        <v>39714</v>
      </c>
      <c r="B185">
        <v>34.26</v>
      </c>
      <c r="C185">
        <v>34.869999999999997</v>
      </c>
      <c r="D185">
        <v>36.020000000000003</v>
      </c>
      <c r="E185">
        <v>36.229999999999997</v>
      </c>
      <c r="F185">
        <v>36.549999999999997</v>
      </c>
      <c r="G185">
        <v>36.869999999999997</v>
      </c>
      <c r="H185">
        <v>29.18</v>
      </c>
      <c r="I185">
        <v>29.24</v>
      </c>
      <c r="J185">
        <v>29.31</v>
      </c>
      <c r="K185">
        <v>35.86</v>
      </c>
      <c r="L185">
        <v>35.979999999999997</v>
      </c>
      <c r="M185">
        <v>36.1</v>
      </c>
    </row>
    <row r="186" spans="1:13" x14ac:dyDescent="0.25">
      <c r="A186" s="1">
        <v>39715</v>
      </c>
      <c r="B186">
        <v>34.36</v>
      </c>
      <c r="C186">
        <v>34.97</v>
      </c>
      <c r="D186">
        <v>36.119999999999997</v>
      </c>
      <c r="E186">
        <v>36.229999999999997</v>
      </c>
      <c r="F186">
        <v>36.549999999999997</v>
      </c>
      <c r="G186">
        <v>36.869999999999997</v>
      </c>
      <c r="H186">
        <v>29.16</v>
      </c>
      <c r="I186">
        <v>29.22</v>
      </c>
      <c r="J186">
        <v>29.29</v>
      </c>
      <c r="K186">
        <v>36.31</v>
      </c>
      <c r="L186">
        <v>36.43</v>
      </c>
      <c r="M186">
        <v>36.549999999999997</v>
      </c>
    </row>
    <row r="187" spans="1:13" x14ac:dyDescent="0.25">
      <c r="A187" s="1">
        <v>39716</v>
      </c>
      <c r="B187">
        <v>35.19</v>
      </c>
      <c r="C187">
        <v>35.82</v>
      </c>
      <c r="D187">
        <v>37</v>
      </c>
      <c r="E187">
        <v>37.19</v>
      </c>
      <c r="F187">
        <v>37.51</v>
      </c>
      <c r="G187">
        <v>37.840000000000003</v>
      </c>
      <c r="H187">
        <v>30.12</v>
      </c>
      <c r="I187">
        <v>30.19</v>
      </c>
      <c r="J187">
        <v>30.25</v>
      </c>
      <c r="K187">
        <v>36.96</v>
      </c>
      <c r="L187">
        <v>37.090000000000003</v>
      </c>
      <c r="M187">
        <v>37.21</v>
      </c>
    </row>
    <row r="188" spans="1:13" x14ac:dyDescent="0.25">
      <c r="A188" s="1">
        <v>39717</v>
      </c>
      <c r="B188">
        <v>35.01</v>
      </c>
      <c r="C188">
        <v>35.630000000000003</v>
      </c>
      <c r="D188">
        <v>36.81</v>
      </c>
      <c r="E188">
        <v>37</v>
      </c>
      <c r="F188">
        <v>37.33</v>
      </c>
      <c r="G188">
        <v>37.659999999999997</v>
      </c>
      <c r="H188">
        <v>29.96</v>
      </c>
      <c r="I188">
        <v>30.02</v>
      </c>
      <c r="J188">
        <v>30.09</v>
      </c>
      <c r="K188">
        <v>35.729999999999997</v>
      </c>
      <c r="L188">
        <v>35.86</v>
      </c>
      <c r="M188">
        <v>35.979999999999997</v>
      </c>
    </row>
    <row r="189" spans="1:13" x14ac:dyDescent="0.25">
      <c r="A189" s="1">
        <v>39720</v>
      </c>
      <c r="B189">
        <v>33.42</v>
      </c>
      <c r="C189">
        <v>34.01</v>
      </c>
      <c r="D189">
        <v>35.14</v>
      </c>
      <c r="E189">
        <v>35.43</v>
      </c>
      <c r="F189">
        <v>35.74</v>
      </c>
      <c r="G189">
        <v>36.06</v>
      </c>
      <c r="H189">
        <v>28.6</v>
      </c>
      <c r="I189">
        <v>28.67</v>
      </c>
      <c r="J189">
        <v>28.73</v>
      </c>
      <c r="K189">
        <v>32.94</v>
      </c>
      <c r="L189">
        <v>33.049999999999997</v>
      </c>
      <c r="M189">
        <v>33.159999999999997</v>
      </c>
    </row>
    <row r="190" spans="1:13" x14ac:dyDescent="0.25">
      <c r="A190" s="1">
        <v>39721</v>
      </c>
      <c r="B190">
        <v>33.700000000000003</v>
      </c>
      <c r="C190">
        <v>34.31</v>
      </c>
      <c r="D190">
        <v>35.44</v>
      </c>
      <c r="E190">
        <v>35.340000000000003</v>
      </c>
      <c r="F190">
        <v>35.65</v>
      </c>
      <c r="G190">
        <v>35.96</v>
      </c>
      <c r="H190">
        <v>28.51</v>
      </c>
      <c r="I190">
        <v>28.57</v>
      </c>
      <c r="J190">
        <v>28.64</v>
      </c>
      <c r="K190">
        <v>33.89</v>
      </c>
      <c r="L190">
        <v>34.01</v>
      </c>
      <c r="M190">
        <v>34.119999999999997</v>
      </c>
    </row>
    <row r="191" spans="1:13" x14ac:dyDescent="0.25">
      <c r="A191" s="1">
        <v>39722</v>
      </c>
      <c r="B191">
        <v>33.799999999999997</v>
      </c>
      <c r="C191">
        <v>34.409999999999997</v>
      </c>
      <c r="D191">
        <v>35.54</v>
      </c>
      <c r="E191">
        <v>35.42</v>
      </c>
      <c r="F191">
        <v>35.729999999999997</v>
      </c>
      <c r="G191">
        <v>36.049999999999997</v>
      </c>
      <c r="H191">
        <v>28.61</v>
      </c>
      <c r="I191">
        <v>28.67</v>
      </c>
      <c r="J191">
        <v>28.74</v>
      </c>
      <c r="K191">
        <v>33.130000000000003</v>
      </c>
      <c r="L191">
        <v>33.24</v>
      </c>
      <c r="M191">
        <v>33.35</v>
      </c>
    </row>
    <row r="192" spans="1:13" x14ac:dyDescent="0.25">
      <c r="A192" s="1">
        <v>39723</v>
      </c>
      <c r="B192">
        <v>33.28</v>
      </c>
      <c r="C192">
        <v>33.869999999999997</v>
      </c>
      <c r="D192">
        <v>34.99</v>
      </c>
      <c r="E192">
        <v>35.04</v>
      </c>
      <c r="F192">
        <v>35.35</v>
      </c>
      <c r="G192">
        <v>35.67</v>
      </c>
      <c r="H192">
        <v>28.29</v>
      </c>
      <c r="I192">
        <v>28.35</v>
      </c>
      <c r="J192">
        <v>28.41</v>
      </c>
      <c r="K192">
        <v>31.45</v>
      </c>
      <c r="L192">
        <v>31.56</v>
      </c>
      <c r="M192">
        <v>31.66</v>
      </c>
    </row>
    <row r="193" spans="1:13" x14ac:dyDescent="0.25">
      <c r="A193" s="1">
        <v>39724</v>
      </c>
      <c r="B193">
        <v>33.51</v>
      </c>
      <c r="C193">
        <v>34.11</v>
      </c>
      <c r="D193">
        <v>35.24</v>
      </c>
      <c r="E193">
        <v>35.17</v>
      </c>
      <c r="F193">
        <v>35.479999999999997</v>
      </c>
      <c r="G193">
        <v>35.799999999999997</v>
      </c>
      <c r="H193">
        <v>28.52</v>
      </c>
      <c r="I193">
        <v>28.58</v>
      </c>
      <c r="J193">
        <v>28.65</v>
      </c>
      <c r="K193">
        <v>32.380000000000003</v>
      </c>
      <c r="L193">
        <v>32.5</v>
      </c>
      <c r="M193">
        <v>32.61</v>
      </c>
    </row>
    <row r="194" spans="1:13" x14ac:dyDescent="0.25">
      <c r="A194" s="1">
        <v>39727</v>
      </c>
      <c r="B194">
        <v>31.36</v>
      </c>
      <c r="C194">
        <v>31.92</v>
      </c>
      <c r="D194">
        <v>32.979999999999997</v>
      </c>
      <c r="E194">
        <v>31.8</v>
      </c>
      <c r="F194">
        <v>32.090000000000003</v>
      </c>
      <c r="G194">
        <v>32.369999999999997</v>
      </c>
      <c r="H194">
        <v>25.9</v>
      </c>
      <c r="I194">
        <v>25.96</v>
      </c>
      <c r="J194">
        <v>26.02</v>
      </c>
      <c r="K194">
        <v>29.51</v>
      </c>
      <c r="L194">
        <v>29.61</v>
      </c>
      <c r="M194">
        <v>29.71</v>
      </c>
    </row>
    <row r="195" spans="1:13" x14ac:dyDescent="0.25">
      <c r="A195" s="1">
        <v>39728</v>
      </c>
      <c r="B195">
        <v>30.58</v>
      </c>
      <c r="C195">
        <v>31.13</v>
      </c>
      <c r="D195">
        <v>32.159999999999997</v>
      </c>
      <c r="E195">
        <v>31.13</v>
      </c>
      <c r="F195">
        <v>31.41</v>
      </c>
      <c r="G195">
        <v>31.69</v>
      </c>
      <c r="H195">
        <v>25.47</v>
      </c>
      <c r="I195">
        <v>25.53</v>
      </c>
      <c r="J195">
        <v>25.59</v>
      </c>
      <c r="K195">
        <v>27.71</v>
      </c>
      <c r="L195">
        <v>27.81</v>
      </c>
      <c r="M195">
        <v>27.9</v>
      </c>
    </row>
    <row r="196" spans="1:13" x14ac:dyDescent="0.25">
      <c r="A196" s="1">
        <v>39729</v>
      </c>
      <c r="B196">
        <v>29.42</v>
      </c>
      <c r="C196">
        <v>29.94</v>
      </c>
      <c r="D196">
        <v>30.94</v>
      </c>
      <c r="E196">
        <v>29.09</v>
      </c>
      <c r="F196">
        <v>29.35</v>
      </c>
      <c r="G196">
        <v>29.61</v>
      </c>
      <c r="H196">
        <v>23.86</v>
      </c>
      <c r="I196">
        <v>23.91</v>
      </c>
      <c r="J196">
        <v>23.97</v>
      </c>
      <c r="K196">
        <v>26.72</v>
      </c>
      <c r="L196">
        <v>26.82</v>
      </c>
      <c r="M196">
        <v>26.91</v>
      </c>
    </row>
    <row r="197" spans="1:13" x14ac:dyDescent="0.25">
      <c r="A197" s="1">
        <v>39730</v>
      </c>
      <c r="B197">
        <v>29.01</v>
      </c>
      <c r="C197">
        <v>29.53</v>
      </c>
      <c r="D197">
        <v>30.51</v>
      </c>
      <c r="E197">
        <v>28.03</v>
      </c>
      <c r="F197">
        <v>28.29</v>
      </c>
      <c r="G197">
        <v>28.54</v>
      </c>
      <c r="H197">
        <v>23.49</v>
      </c>
      <c r="I197">
        <v>23.54</v>
      </c>
      <c r="J197">
        <v>23.6</v>
      </c>
      <c r="K197">
        <v>25.67</v>
      </c>
      <c r="L197">
        <v>25.76</v>
      </c>
      <c r="M197">
        <v>25.86</v>
      </c>
    </row>
    <row r="198" spans="1:13" x14ac:dyDescent="0.25">
      <c r="A198" s="1">
        <v>39731</v>
      </c>
      <c r="B198">
        <v>26.56</v>
      </c>
      <c r="C198">
        <v>27.04</v>
      </c>
      <c r="D198">
        <v>27.94</v>
      </c>
      <c r="E198">
        <v>25.77</v>
      </c>
      <c r="F198">
        <v>26</v>
      </c>
      <c r="G198">
        <v>26.23</v>
      </c>
      <c r="H198">
        <v>21.38</v>
      </c>
      <c r="I198">
        <v>21.43</v>
      </c>
      <c r="J198">
        <v>21.48</v>
      </c>
      <c r="K198">
        <v>25.01</v>
      </c>
      <c r="L198">
        <v>25.1</v>
      </c>
      <c r="M198">
        <v>25.19</v>
      </c>
    </row>
    <row r="199" spans="1:13" x14ac:dyDescent="0.25">
      <c r="A199" s="1">
        <v>39734</v>
      </c>
      <c r="B199">
        <v>27.75</v>
      </c>
      <c r="C199">
        <v>28.25</v>
      </c>
      <c r="D199">
        <v>29.19</v>
      </c>
      <c r="E199">
        <v>27.25</v>
      </c>
      <c r="F199">
        <v>27.5</v>
      </c>
      <c r="G199">
        <v>27.75</v>
      </c>
      <c r="H199">
        <v>22.31</v>
      </c>
      <c r="I199">
        <v>22.36</v>
      </c>
      <c r="J199">
        <v>22.41</v>
      </c>
      <c r="K199">
        <v>28.34</v>
      </c>
      <c r="L199">
        <v>28.44</v>
      </c>
      <c r="M199">
        <v>28.54</v>
      </c>
    </row>
    <row r="200" spans="1:13" x14ac:dyDescent="0.25">
      <c r="A200" s="1">
        <v>39735</v>
      </c>
      <c r="B200">
        <v>28.94</v>
      </c>
      <c r="C200">
        <v>29.46</v>
      </c>
      <c r="D200">
        <v>30.44</v>
      </c>
      <c r="E200">
        <v>28.96</v>
      </c>
      <c r="F200">
        <v>29.22</v>
      </c>
      <c r="G200">
        <v>29.48</v>
      </c>
      <c r="H200">
        <v>23.44</v>
      </c>
      <c r="I200">
        <v>23.49</v>
      </c>
      <c r="J200">
        <v>23.55</v>
      </c>
      <c r="K200">
        <v>28.9</v>
      </c>
      <c r="L200">
        <v>29</v>
      </c>
      <c r="M200">
        <v>29.11</v>
      </c>
    </row>
    <row r="201" spans="1:13" x14ac:dyDescent="0.25">
      <c r="A201" s="1">
        <v>39736</v>
      </c>
      <c r="B201">
        <v>27.09</v>
      </c>
      <c r="C201">
        <v>27.58</v>
      </c>
      <c r="D201">
        <v>28.5</v>
      </c>
      <c r="E201">
        <v>26.8</v>
      </c>
      <c r="F201">
        <v>27.05</v>
      </c>
      <c r="G201">
        <v>27.29</v>
      </c>
      <c r="H201">
        <v>21.96</v>
      </c>
      <c r="I201">
        <v>22.01</v>
      </c>
      <c r="J201">
        <v>22.06</v>
      </c>
      <c r="K201">
        <v>26</v>
      </c>
      <c r="L201">
        <v>26.1</v>
      </c>
      <c r="M201">
        <v>26.19</v>
      </c>
    </row>
    <row r="202" spans="1:13" x14ac:dyDescent="0.25">
      <c r="A202" s="1">
        <v>39737</v>
      </c>
      <c r="B202">
        <v>25.71</v>
      </c>
      <c r="C202">
        <v>26.17</v>
      </c>
      <c r="D202">
        <v>27.04</v>
      </c>
      <c r="E202">
        <v>24.73</v>
      </c>
      <c r="F202">
        <v>24.95</v>
      </c>
      <c r="G202">
        <v>25.18</v>
      </c>
      <c r="H202">
        <v>20.079999999999998</v>
      </c>
      <c r="I202">
        <v>20.13</v>
      </c>
      <c r="J202">
        <v>20.18</v>
      </c>
      <c r="K202">
        <v>24.95</v>
      </c>
      <c r="L202">
        <v>25.04</v>
      </c>
      <c r="M202">
        <v>25.13</v>
      </c>
    </row>
    <row r="203" spans="1:13" x14ac:dyDescent="0.25">
      <c r="A203" s="1">
        <v>39738</v>
      </c>
      <c r="B203">
        <v>24.79</v>
      </c>
      <c r="C203">
        <v>25.24</v>
      </c>
      <c r="D203">
        <v>26.08</v>
      </c>
      <c r="E203">
        <v>23.37</v>
      </c>
      <c r="F203">
        <v>23.59</v>
      </c>
      <c r="G203">
        <v>23.8</v>
      </c>
      <c r="H203">
        <v>19.09</v>
      </c>
      <c r="I203">
        <v>19.13</v>
      </c>
      <c r="J203">
        <v>19.18</v>
      </c>
      <c r="K203">
        <v>25.04</v>
      </c>
      <c r="L203">
        <v>25.14</v>
      </c>
      <c r="M203">
        <v>25.23</v>
      </c>
    </row>
    <row r="204" spans="1:13" x14ac:dyDescent="0.25">
      <c r="A204" s="1">
        <v>39741</v>
      </c>
      <c r="B204">
        <v>25.22</v>
      </c>
      <c r="C204">
        <v>25.68</v>
      </c>
      <c r="D204">
        <v>26.54</v>
      </c>
      <c r="E204">
        <v>23.63</v>
      </c>
      <c r="F204">
        <v>23.85</v>
      </c>
      <c r="G204">
        <v>24.07</v>
      </c>
      <c r="H204">
        <v>19.48</v>
      </c>
      <c r="I204">
        <v>19.53</v>
      </c>
      <c r="J204">
        <v>19.579999999999998</v>
      </c>
      <c r="K204">
        <v>26.41</v>
      </c>
      <c r="L204">
        <v>26.5</v>
      </c>
      <c r="M204">
        <v>26.6</v>
      </c>
    </row>
    <row r="205" spans="1:13" x14ac:dyDescent="0.25">
      <c r="A205" s="1">
        <v>39742</v>
      </c>
      <c r="B205">
        <v>25.38</v>
      </c>
      <c r="C205">
        <v>25.84</v>
      </c>
      <c r="D205">
        <v>26.7</v>
      </c>
      <c r="E205">
        <v>23.64</v>
      </c>
      <c r="F205">
        <v>23.85</v>
      </c>
      <c r="G205">
        <v>24.07</v>
      </c>
      <c r="H205">
        <v>19.59</v>
      </c>
      <c r="I205">
        <v>19.64</v>
      </c>
      <c r="J205">
        <v>19.690000000000001</v>
      </c>
      <c r="K205">
        <v>26.77</v>
      </c>
      <c r="L205">
        <v>26.88</v>
      </c>
      <c r="M205">
        <v>26.98</v>
      </c>
    </row>
    <row r="206" spans="1:13" x14ac:dyDescent="0.25">
      <c r="A206" s="1">
        <v>39743</v>
      </c>
      <c r="B206">
        <v>24.09</v>
      </c>
      <c r="C206">
        <v>24.52</v>
      </c>
      <c r="D206">
        <v>25.34</v>
      </c>
      <c r="E206">
        <v>22.69</v>
      </c>
      <c r="F206">
        <v>22.9</v>
      </c>
      <c r="G206">
        <v>23.11</v>
      </c>
      <c r="H206">
        <v>18.71</v>
      </c>
      <c r="I206">
        <v>18.75</v>
      </c>
      <c r="J206">
        <v>18.8</v>
      </c>
      <c r="K206">
        <v>25.49</v>
      </c>
      <c r="L206">
        <v>25.59</v>
      </c>
      <c r="M206">
        <v>25.68</v>
      </c>
    </row>
    <row r="207" spans="1:13" x14ac:dyDescent="0.25">
      <c r="A207" s="1">
        <v>39744</v>
      </c>
      <c r="B207">
        <v>23.59</v>
      </c>
      <c r="C207">
        <v>24.02</v>
      </c>
      <c r="D207">
        <v>24.82</v>
      </c>
      <c r="E207">
        <v>22.45</v>
      </c>
      <c r="F207">
        <v>22.65</v>
      </c>
      <c r="G207">
        <v>22.86</v>
      </c>
      <c r="H207">
        <v>18.34</v>
      </c>
      <c r="I207">
        <v>18.39</v>
      </c>
      <c r="J207">
        <v>18.43</v>
      </c>
      <c r="K207">
        <v>25.39</v>
      </c>
      <c r="L207">
        <v>25.48</v>
      </c>
      <c r="M207">
        <v>25.58</v>
      </c>
    </row>
    <row r="208" spans="1:13" x14ac:dyDescent="0.25">
      <c r="A208" s="1">
        <v>39745</v>
      </c>
      <c r="B208">
        <v>23.07</v>
      </c>
      <c r="C208">
        <v>23.49</v>
      </c>
      <c r="D208">
        <v>24.28</v>
      </c>
      <c r="E208">
        <v>22</v>
      </c>
      <c r="F208">
        <v>22.2</v>
      </c>
      <c r="G208">
        <v>22.41</v>
      </c>
      <c r="H208">
        <v>17.84</v>
      </c>
      <c r="I208">
        <v>17.88</v>
      </c>
      <c r="J208">
        <v>17.93</v>
      </c>
      <c r="K208">
        <v>24.91</v>
      </c>
      <c r="L208">
        <v>25.01</v>
      </c>
      <c r="M208">
        <v>25.1</v>
      </c>
    </row>
    <row r="209" spans="1:13" x14ac:dyDescent="0.25">
      <c r="A209" s="1">
        <v>39748</v>
      </c>
      <c r="B209">
        <v>22.24</v>
      </c>
      <c r="C209">
        <v>22.64</v>
      </c>
      <c r="D209">
        <v>23.4</v>
      </c>
      <c r="E209">
        <v>20.99</v>
      </c>
      <c r="F209">
        <v>21.18</v>
      </c>
      <c r="G209">
        <v>21.38</v>
      </c>
      <c r="H209">
        <v>17.350000000000001</v>
      </c>
      <c r="I209">
        <v>17.39</v>
      </c>
      <c r="J209">
        <v>17.43</v>
      </c>
      <c r="K209">
        <v>22.48</v>
      </c>
      <c r="L209">
        <v>22.57</v>
      </c>
      <c r="M209">
        <v>22.65</v>
      </c>
    </row>
    <row r="210" spans="1:13" x14ac:dyDescent="0.25">
      <c r="A210" s="1">
        <v>39749</v>
      </c>
      <c r="B210">
        <v>22.53</v>
      </c>
      <c r="C210">
        <v>22.94</v>
      </c>
      <c r="D210">
        <v>23.7</v>
      </c>
      <c r="E210">
        <v>21.52</v>
      </c>
      <c r="F210">
        <v>21.72</v>
      </c>
      <c r="G210">
        <v>21.92</v>
      </c>
      <c r="H210">
        <v>17.77</v>
      </c>
      <c r="I210">
        <v>17.82</v>
      </c>
      <c r="J210">
        <v>17.86</v>
      </c>
      <c r="K210">
        <v>22.48</v>
      </c>
      <c r="L210">
        <v>22.57</v>
      </c>
      <c r="M210">
        <v>22.65</v>
      </c>
    </row>
    <row r="211" spans="1:13" x14ac:dyDescent="0.25">
      <c r="A211" s="1">
        <v>39750</v>
      </c>
      <c r="B211">
        <v>23.68</v>
      </c>
      <c r="C211">
        <v>24.11</v>
      </c>
      <c r="D211">
        <v>24.91</v>
      </c>
      <c r="E211">
        <v>22.17</v>
      </c>
      <c r="F211">
        <v>22.37</v>
      </c>
      <c r="G211">
        <v>22.58</v>
      </c>
      <c r="H211">
        <v>18.13</v>
      </c>
      <c r="I211">
        <v>18.18</v>
      </c>
      <c r="J211">
        <v>18.22</v>
      </c>
      <c r="K211">
        <v>23.7</v>
      </c>
      <c r="L211">
        <v>23.79</v>
      </c>
      <c r="M211">
        <v>23.88</v>
      </c>
    </row>
    <row r="212" spans="1:13" x14ac:dyDescent="0.25">
      <c r="A212" s="1">
        <v>39751</v>
      </c>
      <c r="B212">
        <v>24.22</v>
      </c>
      <c r="C212">
        <v>24.66</v>
      </c>
      <c r="D212">
        <v>25.49</v>
      </c>
      <c r="E212">
        <v>23.16</v>
      </c>
      <c r="F212">
        <v>23.37</v>
      </c>
      <c r="G212">
        <v>23.59</v>
      </c>
      <c r="H212">
        <v>18.940000000000001</v>
      </c>
      <c r="I212">
        <v>18.989999999999998</v>
      </c>
      <c r="J212">
        <v>19.03</v>
      </c>
      <c r="K212">
        <v>24.66</v>
      </c>
      <c r="L212">
        <v>24.75</v>
      </c>
      <c r="M212">
        <v>24.85</v>
      </c>
    </row>
    <row r="213" spans="1:13" x14ac:dyDescent="0.25">
      <c r="A213" s="1">
        <v>39752</v>
      </c>
      <c r="B213">
        <v>24.82</v>
      </c>
      <c r="C213">
        <v>25.27</v>
      </c>
      <c r="D213">
        <v>26.11</v>
      </c>
      <c r="E213">
        <v>23.77</v>
      </c>
      <c r="F213">
        <v>23.99</v>
      </c>
      <c r="G213">
        <v>24.22</v>
      </c>
      <c r="H213">
        <v>19.649999999999999</v>
      </c>
      <c r="I213">
        <v>19.7</v>
      </c>
      <c r="J213">
        <v>19.75</v>
      </c>
      <c r="K213">
        <v>25.98</v>
      </c>
      <c r="L213">
        <v>26.09</v>
      </c>
      <c r="M213">
        <v>26.19</v>
      </c>
    </row>
    <row r="214" spans="1:13" x14ac:dyDescent="0.25">
      <c r="A214" s="1">
        <v>39755</v>
      </c>
      <c r="B214">
        <v>25.05</v>
      </c>
      <c r="C214">
        <v>25.5</v>
      </c>
      <c r="D214">
        <v>26.36</v>
      </c>
      <c r="E214">
        <v>24</v>
      </c>
      <c r="F214">
        <v>24.23</v>
      </c>
      <c r="G214">
        <v>24.45</v>
      </c>
      <c r="H214">
        <v>19.87</v>
      </c>
      <c r="I214">
        <v>19.920000000000002</v>
      </c>
      <c r="J214">
        <v>19.97</v>
      </c>
      <c r="K214">
        <v>26.01</v>
      </c>
      <c r="L214">
        <v>26.11</v>
      </c>
      <c r="M214">
        <v>26.22</v>
      </c>
    </row>
    <row r="215" spans="1:13" x14ac:dyDescent="0.25">
      <c r="A215" s="1">
        <v>39756</v>
      </c>
      <c r="B215">
        <v>26.31</v>
      </c>
      <c r="C215">
        <v>26.8</v>
      </c>
      <c r="D215">
        <v>27.69</v>
      </c>
      <c r="E215">
        <v>25.46</v>
      </c>
      <c r="F215">
        <v>25.69</v>
      </c>
      <c r="G215">
        <v>25.93</v>
      </c>
      <c r="H215">
        <v>21.15</v>
      </c>
      <c r="I215">
        <v>21.2</v>
      </c>
      <c r="J215">
        <v>21.26</v>
      </c>
      <c r="K215">
        <v>28.23</v>
      </c>
      <c r="L215">
        <v>28.34</v>
      </c>
      <c r="M215">
        <v>28.45</v>
      </c>
    </row>
    <row r="216" spans="1:13" x14ac:dyDescent="0.25">
      <c r="A216" s="1">
        <v>39757</v>
      </c>
      <c r="B216">
        <v>25.61</v>
      </c>
      <c r="C216">
        <v>26.08</v>
      </c>
      <c r="D216">
        <v>26.96</v>
      </c>
      <c r="E216">
        <v>24.19</v>
      </c>
      <c r="F216">
        <v>24.42</v>
      </c>
      <c r="G216">
        <v>24.64</v>
      </c>
      <c r="H216">
        <v>20.04</v>
      </c>
      <c r="I216">
        <v>20.09</v>
      </c>
      <c r="J216">
        <v>20.14</v>
      </c>
      <c r="K216">
        <v>26.84</v>
      </c>
      <c r="L216">
        <v>26.95</v>
      </c>
      <c r="M216">
        <v>27.06</v>
      </c>
    </row>
    <row r="217" spans="1:13" x14ac:dyDescent="0.25">
      <c r="A217" s="1">
        <v>39758</v>
      </c>
      <c r="B217">
        <v>24.83</v>
      </c>
      <c r="C217">
        <v>25.28</v>
      </c>
      <c r="D217">
        <v>26.13</v>
      </c>
      <c r="E217">
        <v>23.28</v>
      </c>
      <c r="F217">
        <v>23.5</v>
      </c>
      <c r="G217">
        <v>23.72</v>
      </c>
      <c r="H217">
        <v>19.440000000000001</v>
      </c>
      <c r="I217">
        <v>19.489999999999998</v>
      </c>
      <c r="J217">
        <v>19.54</v>
      </c>
      <c r="K217">
        <v>24.99</v>
      </c>
      <c r="L217">
        <v>25.09</v>
      </c>
      <c r="M217">
        <v>25.19</v>
      </c>
    </row>
    <row r="218" spans="1:13" x14ac:dyDescent="0.25">
      <c r="A218" s="1">
        <v>39759</v>
      </c>
      <c r="B218">
        <v>25.21</v>
      </c>
      <c r="C218">
        <v>25.68</v>
      </c>
      <c r="D218">
        <v>26.54</v>
      </c>
      <c r="E218">
        <v>23.71</v>
      </c>
      <c r="F218">
        <v>23.93</v>
      </c>
      <c r="G218">
        <v>24.15</v>
      </c>
      <c r="H218">
        <v>19.7</v>
      </c>
      <c r="I218">
        <v>19.75</v>
      </c>
      <c r="J218">
        <v>19.8</v>
      </c>
      <c r="K218">
        <v>26.01</v>
      </c>
      <c r="L218">
        <v>26.12</v>
      </c>
      <c r="M218">
        <v>26.22</v>
      </c>
    </row>
    <row r="219" spans="1:13" x14ac:dyDescent="0.25">
      <c r="A219" s="1">
        <v>39762</v>
      </c>
      <c r="B219">
        <v>25.28</v>
      </c>
      <c r="C219">
        <v>25.75</v>
      </c>
      <c r="D219">
        <v>26.61</v>
      </c>
      <c r="E219">
        <v>23.46</v>
      </c>
      <c r="F219">
        <v>23.68</v>
      </c>
      <c r="G219">
        <v>23.9</v>
      </c>
      <c r="H219">
        <v>19.53</v>
      </c>
      <c r="I219">
        <v>19.579999999999998</v>
      </c>
      <c r="J219">
        <v>19.63</v>
      </c>
      <c r="K219">
        <v>26.58</v>
      </c>
      <c r="L219">
        <v>26.69</v>
      </c>
      <c r="M219">
        <v>26.8</v>
      </c>
    </row>
    <row r="220" spans="1:13" x14ac:dyDescent="0.25">
      <c r="A220" s="1">
        <v>39764</v>
      </c>
      <c r="B220">
        <v>24.23</v>
      </c>
      <c r="C220">
        <v>24.68</v>
      </c>
      <c r="D220">
        <v>25.51</v>
      </c>
      <c r="E220">
        <v>21.59</v>
      </c>
      <c r="F220">
        <v>21.79</v>
      </c>
      <c r="G220">
        <v>22</v>
      </c>
      <c r="H220">
        <v>18.350000000000001</v>
      </c>
      <c r="I220">
        <v>18.399999999999999</v>
      </c>
      <c r="J220">
        <v>18.440000000000001</v>
      </c>
      <c r="K220">
        <v>24.26</v>
      </c>
      <c r="L220">
        <v>24.35</v>
      </c>
      <c r="M220">
        <v>24.45</v>
      </c>
    </row>
    <row r="221" spans="1:13" x14ac:dyDescent="0.25">
      <c r="A221" s="1">
        <v>39765</v>
      </c>
      <c r="B221">
        <v>23.23</v>
      </c>
      <c r="C221">
        <v>23.66</v>
      </c>
      <c r="D221">
        <v>24.46</v>
      </c>
      <c r="E221">
        <v>20.93</v>
      </c>
      <c r="F221">
        <v>21.13</v>
      </c>
      <c r="G221">
        <v>21.33</v>
      </c>
      <c r="H221">
        <v>17.850000000000001</v>
      </c>
      <c r="I221">
        <v>17.899999999999999</v>
      </c>
      <c r="J221">
        <v>17.95</v>
      </c>
      <c r="K221">
        <v>24.49</v>
      </c>
      <c r="L221">
        <v>24.59</v>
      </c>
      <c r="M221">
        <v>24.69</v>
      </c>
    </row>
    <row r="222" spans="1:13" x14ac:dyDescent="0.25">
      <c r="A222" s="1">
        <v>39766</v>
      </c>
      <c r="B222">
        <v>23.54</v>
      </c>
      <c r="C222">
        <v>23.98</v>
      </c>
      <c r="D222">
        <v>24.78</v>
      </c>
      <c r="E222">
        <v>21.25</v>
      </c>
      <c r="F222">
        <v>21.45</v>
      </c>
      <c r="G222">
        <v>21.65</v>
      </c>
      <c r="H222">
        <v>18.18</v>
      </c>
      <c r="I222">
        <v>18.22</v>
      </c>
      <c r="J222">
        <v>18.27</v>
      </c>
      <c r="K222">
        <v>24.12</v>
      </c>
      <c r="L222">
        <v>24.21</v>
      </c>
      <c r="M222">
        <v>24.31</v>
      </c>
    </row>
    <row r="223" spans="1:13" x14ac:dyDescent="0.25">
      <c r="A223" s="1">
        <v>39769</v>
      </c>
      <c r="B223">
        <v>22.82</v>
      </c>
      <c r="C223">
        <v>23.25</v>
      </c>
      <c r="D223">
        <v>24.03</v>
      </c>
      <c r="E223">
        <v>20.78</v>
      </c>
      <c r="F223">
        <v>20.97</v>
      </c>
      <c r="G223">
        <v>21.17</v>
      </c>
      <c r="H223">
        <v>17.510000000000002</v>
      </c>
      <c r="I223">
        <v>17.559999999999999</v>
      </c>
      <c r="J223">
        <v>17.61</v>
      </c>
      <c r="K223">
        <v>23.76</v>
      </c>
      <c r="L223">
        <v>23.86</v>
      </c>
      <c r="M223">
        <v>23.96</v>
      </c>
    </row>
    <row r="224" spans="1:13" x14ac:dyDescent="0.25">
      <c r="A224" s="1">
        <v>39770</v>
      </c>
      <c r="B224">
        <v>22.32</v>
      </c>
      <c r="C224">
        <v>22.73</v>
      </c>
      <c r="D224">
        <v>23.49</v>
      </c>
      <c r="E224">
        <v>20.6</v>
      </c>
      <c r="F224">
        <v>20.79</v>
      </c>
      <c r="G224">
        <v>20.99</v>
      </c>
      <c r="H224">
        <v>17.489999999999998</v>
      </c>
      <c r="I224">
        <v>17.53</v>
      </c>
      <c r="J224">
        <v>17.579999999999998</v>
      </c>
      <c r="K224">
        <v>23.86</v>
      </c>
      <c r="L224">
        <v>23.96</v>
      </c>
      <c r="M224">
        <v>24.05</v>
      </c>
    </row>
    <row r="225" spans="1:13" x14ac:dyDescent="0.25">
      <c r="A225" s="1">
        <v>39771</v>
      </c>
      <c r="B225">
        <v>21.88</v>
      </c>
      <c r="C225">
        <v>22.29</v>
      </c>
      <c r="D225">
        <v>23.04</v>
      </c>
      <c r="E225">
        <v>19.579999999999998</v>
      </c>
      <c r="F225">
        <v>19.77</v>
      </c>
      <c r="G225">
        <v>19.96</v>
      </c>
      <c r="H225">
        <v>16.64</v>
      </c>
      <c r="I225">
        <v>16.690000000000001</v>
      </c>
      <c r="J225">
        <v>16.73</v>
      </c>
      <c r="K225">
        <v>22.15</v>
      </c>
      <c r="L225">
        <v>22.24</v>
      </c>
      <c r="M225">
        <v>22.34</v>
      </c>
    </row>
    <row r="226" spans="1:13" x14ac:dyDescent="0.25">
      <c r="A226" s="1">
        <v>39772</v>
      </c>
      <c r="B226">
        <v>20.82</v>
      </c>
      <c r="C226">
        <v>21.21</v>
      </c>
      <c r="D226">
        <v>21.92</v>
      </c>
      <c r="E226">
        <v>18.760000000000002</v>
      </c>
      <c r="F226">
        <v>18.940000000000001</v>
      </c>
      <c r="G226">
        <v>19.12</v>
      </c>
      <c r="H226">
        <v>16.04</v>
      </c>
      <c r="I226">
        <v>16.079999999999998</v>
      </c>
      <c r="J226">
        <v>16.12</v>
      </c>
      <c r="K226">
        <v>20.62</v>
      </c>
      <c r="L226">
        <v>20.71</v>
      </c>
      <c r="M226">
        <v>20.8</v>
      </c>
    </row>
    <row r="227" spans="1:13" x14ac:dyDescent="0.25">
      <c r="A227" s="1">
        <v>39773</v>
      </c>
      <c r="B227">
        <v>21.17</v>
      </c>
      <c r="C227">
        <v>21.57</v>
      </c>
      <c r="D227">
        <v>22.29</v>
      </c>
      <c r="E227">
        <v>18.97</v>
      </c>
      <c r="F227">
        <v>19.149999999999999</v>
      </c>
      <c r="G227">
        <v>19.329999999999998</v>
      </c>
      <c r="H227">
        <v>16.309999999999999</v>
      </c>
      <c r="I227">
        <v>16.350000000000001</v>
      </c>
      <c r="J227">
        <v>16.39</v>
      </c>
      <c r="K227">
        <v>20.329999999999998</v>
      </c>
      <c r="L227">
        <v>20.41</v>
      </c>
      <c r="M227">
        <v>20.5</v>
      </c>
    </row>
    <row r="228" spans="1:13" x14ac:dyDescent="0.25">
      <c r="A228" s="1">
        <v>39776</v>
      </c>
      <c r="B228">
        <v>22.57</v>
      </c>
      <c r="C228">
        <v>22.99</v>
      </c>
      <c r="D228">
        <v>23.77</v>
      </c>
      <c r="E228">
        <v>21.12</v>
      </c>
      <c r="F228">
        <v>21.32</v>
      </c>
      <c r="G228">
        <v>21.53</v>
      </c>
      <c r="H228">
        <v>18.12</v>
      </c>
      <c r="I228">
        <v>18.170000000000002</v>
      </c>
      <c r="J228">
        <v>18.21</v>
      </c>
      <c r="K228">
        <v>22.54</v>
      </c>
      <c r="L228">
        <v>22.64</v>
      </c>
      <c r="M228">
        <v>22.74</v>
      </c>
    </row>
    <row r="229" spans="1:13" x14ac:dyDescent="0.25">
      <c r="A229" s="1">
        <v>39777</v>
      </c>
      <c r="B229">
        <v>22.78</v>
      </c>
      <c r="C229">
        <v>23.21</v>
      </c>
      <c r="D229">
        <v>23.99</v>
      </c>
      <c r="E229">
        <v>21.58</v>
      </c>
      <c r="F229">
        <v>21.79</v>
      </c>
      <c r="G229">
        <v>22</v>
      </c>
      <c r="H229">
        <v>18.2</v>
      </c>
      <c r="I229">
        <v>18.239999999999998</v>
      </c>
      <c r="J229">
        <v>18.29</v>
      </c>
      <c r="K229">
        <v>23.11</v>
      </c>
      <c r="L229">
        <v>23.21</v>
      </c>
      <c r="M229">
        <v>23.31</v>
      </c>
    </row>
    <row r="230" spans="1:13" x14ac:dyDescent="0.25">
      <c r="A230" s="1">
        <v>39778</v>
      </c>
      <c r="B230">
        <v>22.81</v>
      </c>
      <c r="C230">
        <v>23.23</v>
      </c>
      <c r="D230">
        <v>24.02</v>
      </c>
      <c r="E230">
        <v>21.23</v>
      </c>
      <c r="F230">
        <v>21.44</v>
      </c>
      <c r="G230">
        <v>21.64</v>
      </c>
      <c r="H230">
        <v>17.93</v>
      </c>
      <c r="I230">
        <v>17.98</v>
      </c>
      <c r="J230">
        <v>18.03</v>
      </c>
      <c r="K230">
        <v>23.49</v>
      </c>
      <c r="L230">
        <v>23.59</v>
      </c>
      <c r="M230">
        <v>23.69</v>
      </c>
    </row>
    <row r="231" spans="1:13" x14ac:dyDescent="0.25">
      <c r="A231" s="1">
        <v>39779</v>
      </c>
      <c r="B231">
        <v>23.21</v>
      </c>
      <c r="C231">
        <v>23.64</v>
      </c>
      <c r="D231">
        <v>24.44</v>
      </c>
      <c r="E231">
        <v>22.03</v>
      </c>
      <c r="F231">
        <v>22.24</v>
      </c>
      <c r="G231">
        <v>22.45</v>
      </c>
      <c r="H231">
        <v>18.45</v>
      </c>
      <c r="I231">
        <v>18.5</v>
      </c>
      <c r="J231">
        <v>18.55</v>
      </c>
      <c r="K231">
        <v>24.2</v>
      </c>
      <c r="L231">
        <v>24.31</v>
      </c>
      <c r="M231">
        <v>24.41</v>
      </c>
    </row>
    <row r="232" spans="1:13" x14ac:dyDescent="0.25">
      <c r="A232" s="1">
        <v>39780</v>
      </c>
      <c r="B232">
        <v>23.12</v>
      </c>
      <c r="C232">
        <v>23.55</v>
      </c>
      <c r="D232">
        <v>24.35</v>
      </c>
      <c r="E232">
        <v>22.2</v>
      </c>
      <c r="F232">
        <v>22.42</v>
      </c>
      <c r="G232">
        <v>22.63</v>
      </c>
      <c r="H232">
        <v>18.489999999999998</v>
      </c>
      <c r="I232">
        <v>18.54</v>
      </c>
      <c r="J232">
        <v>18.59</v>
      </c>
      <c r="K232">
        <v>24.25</v>
      </c>
      <c r="L232">
        <v>24.35</v>
      </c>
      <c r="M232">
        <v>24.45</v>
      </c>
    </row>
    <row r="233" spans="1:13" x14ac:dyDescent="0.25">
      <c r="A233" s="1">
        <v>39783</v>
      </c>
      <c r="B233">
        <v>22.23</v>
      </c>
      <c r="C233">
        <v>22.64</v>
      </c>
      <c r="D233">
        <v>23.41</v>
      </c>
      <c r="E233">
        <v>21.45</v>
      </c>
      <c r="F233">
        <v>21.66</v>
      </c>
      <c r="G233">
        <v>21.87</v>
      </c>
      <c r="H233">
        <v>17.91</v>
      </c>
      <c r="I233">
        <v>17.96</v>
      </c>
      <c r="J233">
        <v>18.010000000000002</v>
      </c>
      <c r="K233">
        <v>22.51</v>
      </c>
      <c r="L233">
        <v>22.61</v>
      </c>
      <c r="M233">
        <v>22.71</v>
      </c>
    </row>
    <row r="234" spans="1:13" x14ac:dyDescent="0.25">
      <c r="A234" s="1">
        <v>39784</v>
      </c>
      <c r="B234">
        <v>22.35</v>
      </c>
      <c r="C234">
        <v>22.77</v>
      </c>
      <c r="D234">
        <v>23.54</v>
      </c>
      <c r="E234">
        <v>21.6</v>
      </c>
      <c r="F234">
        <v>21.81</v>
      </c>
      <c r="G234">
        <v>22.02</v>
      </c>
      <c r="H234">
        <v>18.010000000000002</v>
      </c>
      <c r="I234">
        <v>18.059999999999999</v>
      </c>
      <c r="J234">
        <v>18.11</v>
      </c>
      <c r="K234">
        <v>22.84</v>
      </c>
      <c r="L234">
        <v>22.94</v>
      </c>
      <c r="M234">
        <v>23.04</v>
      </c>
    </row>
    <row r="235" spans="1:13" x14ac:dyDescent="0.25">
      <c r="A235" s="1">
        <v>39785</v>
      </c>
      <c r="B235">
        <v>22.27</v>
      </c>
      <c r="C235">
        <v>22.69</v>
      </c>
      <c r="D235">
        <v>23.46</v>
      </c>
      <c r="E235">
        <v>21.39</v>
      </c>
      <c r="F235">
        <v>21.6</v>
      </c>
      <c r="G235">
        <v>21.81</v>
      </c>
      <c r="H235">
        <v>17.899999999999999</v>
      </c>
      <c r="I235">
        <v>17.95</v>
      </c>
      <c r="J235">
        <v>18</v>
      </c>
      <c r="K235">
        <v>22.8</v>
      </c>
      <c r="L235">
        <v>22.9</v>
      </c>
      <c r="M235">
        <v>23</v>
      </c>
    </row>
    <row r="236" spans="1:13" x14ac:dyDescent="0.25">
      <c r="A236" s="1">
        <v>39786</v>
      </c>
      <c r="B236">
        <v>22.7</v>
      </c>
      <c r="C236">
        <v>23.12</v>
      </c>
      <c r="D236">
        <v>23.91</v>
      </c>
      <c r="E236">
        <v>22.19</v>
      </c>
      <c r="F236">
        <v>22.41</v>
      </c>
      <c r="G236">
        <v>22.63</v>
      </c>
      <c r="H236">
        <v>18.510000000000002</v>
      </c>
      <c r="I236">
        <v>18.559999999999999</v>
      </c>
      <c r="J236">
        <v>18.61</v>
      </c>
      <c r="K236">
        <v>22.78</v>
      </c>
      <c r="L236">
        <v>22.88</v>
      </c>
      <c r="M236">
        <v>22.98</v>
      </c>
    </row>
    <row r="237" spans="1:13" x14ac:dyDescent="0.25">
      <c r="A237" s="1">
        <v>39787</v>
      </c>
      <c r="B237">
        <v>22.14</v>
      </c>
      <c r="C237">
        <v>22.56</v>
      </c>
      <c r="D237">
        <v>23.32</v>
      </c>
      <c r="E237">
        <v>21.24</v>
      </c>
      <c r="F237">
        <v>21.45</v>
      </c>
      <c r="G237">
        <v>21.66</v>
      </c>
      <c r="H237">
        <v>17.86</v>
      </c>
      <c r="I237">
        <v>17.899999999999999</v>
      </c>
      <c r="J237">
        <v>17.95</v>
      </c>
      <c r="K237">
        <v>21.93</v>
      </c>
      <c r="L237">
        <v>22.03</v>
      </c>
      <c r="M237">
        <v>22.12</v>
      </c>
    </row>
    <row r="238" spans="1:13" x14ac:dyDescent="0.25">
      <c r="A238" s="1">
        <v>39790</v>
      </c>
      <c r="B238">
        <v>22.68</v>
      </c>
      <c r="C238">
        <v>23.1</v>
      </c>
      <c r="D238">
        <v>23.89</v>
      </c>
      <c r="E238">
        <v>21.26</v>
      </c>
      <c r="F238">
        <v>21.47</v>
      </c>
      <c r="G238">
        <v>21.68</v>
      </c>
      <c r="H238">
        <v>17.829999999999998</v>
      </c>
      <c r="I238">
        <v>17.88</v>
      </c>
      <c r="J238">
        <v>17.93</v>
      </c>
      <c r="K238">
        <v>23.05</v>
      </c>
      <c r="L238">
        <v>23.15</v>
      </c>
      <c r="M238">
        <v>23.26</v>
      </c>
    </row>
    <row r="239" spans="1:13" x14ac:dyDescent="0.25">
      <c r="A239" s="1">
        <v>39791</v>
      </c>
      <c r="B239">
        <v>23.17</v>
      </c>
      <c r="C239">
        <v>23.61</v>
      </c>
      <c r="D239">
        <v>24.41</v>
      </c>
      <c r="E239">
        <v>22.02</v>
      </c>
      <c r="F239">
        <v>22.23</v>
      </c>
      <c r="G239">
        <v>22.45</v>
      </c>
      <c r="H239">
        <v>18.37</v>
      </c>
      <c r="I239">
        <v>18.420000000000002</v>
      </c>
      <c r="J239">
        <v>18.47</v>
      </c>
      <c r="K239">
        <v>23.91</v>
      </c>
      <c r="L239">
        <v>24.01</v>
      </c>
      <c r="M239">
        <v>24.12</v>
      </c>
    </row>
    <row r="240" spans="1:13" x14ac:dyDescent="0.25">
      <c r="A240" s="1">
        <v>39792</v>
      </c>
      <c r="B240">
        <v>23.28</v>
      </c>
      <c r="C240">
        <v>23.72</v>
      </c>
      <c r="D240">
        <v>24.52</v>
      </c>
      <c r="E240">
        <v>22.36</v>
      </c>
      <c r="F240">
        <v>22.58</v>
      </c>
      <c r="G240">
        <v>22.8</v>
      </c>
      <c r="H240">
        <v>18.62</v>
      </c>
      <c r="I240">
        <v>18.670000000000002</v>
      </c>
      <c r="J240">
        <v>18.72</v>
      </c>
      <c r="K240">
        <v>24.82</v>
      </c>
      <c r="L240">
        <v>24.93</v>
      </c>
      <c r="M240">
        <v>25.04</v>
      </c>
    </row>
    <row r="241" spans="1:13" x14ac:dyDescent="0.25">
      <c r="A241" s="1">
        <v>39793</v>
      </c>
      <c r="B241">
        <v>23.21</v>
      </c>
      <c r="C241">
        <v>23.65</v>
      </c>
      <c r="D241">
        <v>24.46</v>
      </c>
      <c r="E241">
        <v>22.39</v>
      </c>
      <c r="F241">
        <v>22.61</v>
      </c>
      <c r="G241">
        <v>22.83</v>
      </c>
      <c r="H241">
        <v>18.690000000000001</v>
      </c>
      <c r="I241">
        <v>18.739999999999998</v>
      </c>
      <c r="J241">
        <v>18.79</v>
      </c>
      <c r="K241">
        <v>24.29</v>
      </c>
      <c r="L241">
        <v>24.4</v>
      </c>
      <c r="M241">
        <v>24.51</v>
      </c>
    </row>
    <row r="242" spans="1:13" x14ac:dyDescent="0.25">
      <c r="A242" s="1">
        <v>39794</v>
      </c>
      <c r="B242">
        <v>22.69</v>
      </c>
      <c r="C242">
        <v>23.12</v>
      </c>
      <c r="D242">
        <v>23.9</v>
      </c>
      <c r="E242">
        <v>21.77</v>
      </c>
      <c r="F242">
        <v>21.99</v>
      </c>
      <c r="G242">
        <v>22.2</v>
      </c>
      <c r="H242">
        <v>18.37</v>
      </c>
      <c r="I242">
        <v>18.43</v>
      </c>
      <c r="J242">
        <v>18.48</v>
      </c>
      <c r="K242">
        <v>23.71</v>
      </c>
      <c r="L242">
        <v>23.81</v>
      </c>
      <c r="M242">
        <v>23.92</v>
      </c>
    </row>
    <row r="243" spans="1:13" x14ac:dyDescent="0.25">
      <c r="A243" s="1">
        <v>39797</v>
      </c>
      <c r="B243">
        <v>22.95</v>
      </c>
      <c r="C243">
        <v>23.38</v>
      </c>
      <c r="D243">
        <v>24.18</v>
      </c>
      <c r="E243">
        <v>21.87</v>
      </c>
      <c r="F243">
        <v>22.09</v>
      </c>
      <c r="G243">
        <v>22.31</v>
      </c>
      <c r="H243">
        <v>18.53</v>
      </c>
      <c r="I243">
        <v>18.59</v>
      </c>
      <c r="J243">
        <v>18.64</v>
      </c>
      <c r="K243">
        <v>23.89</v>
      </c>
      <c r="L243">
        <v>23.99</v>
      </c>
      <c r="M243">
        <v>24.1</v>
      </c>
    </row>
    <row r="244" spans="1:13" x14ac:dyDescent="0.25">
      <c r="A244" s="1">
        <v>39798</v>
      </c>
      <c r="B244">
        <v>23.28</v>
      </c>
      <c r="C244">
        <v>23.72</v>
      </c>
      <c r="D244">
        <v>24.53</v>
      </c>
      <c r="E244">
        <v>22.27</v>
      </c>
      <c r="F244">
        <v>22.49</v>
      </c>
      <c r="G244">
        <v>22.71</v>
      </c>
      <c r="H244">
        <v>18.91</v>
      </c>
      <c r="I244">
        <v>18.96</v>
      </c>
      <c r="J244">
        <v>19.010000000000002</v>
      </c>
      <c r="K244">
        <v>24.52</v>
      </c>
      <c r="L244">
        <v>24.64</v>
      </c>
      <c r="M244">
        <v>24.75</v>
      </c>
    </row>
    <row r="245" spans="1:13" x14ac:dyDescent="0.25">
      <c r="A245" s="1">
        <v>39799</v>
      </c>
      <c r="B245">
        <v>23.22</v>
      </c>
      <c r="C245">
        <v>23.66</v>
      </c>
      <c r="D245">
        <v>24.47</v>
      </c>
      <c r="E245">
        <v>22.57</v>
      </c>
      <c r="F245">
        <v>22.79</v>
      </c>
      <c r="G245">
        <v>23.02</v>
      </c>
      <c r="H245">
        <v>19.059999999999999</v>
      </c>
      <c r="I245">
        <v>19.12</v>
      </c>
      <c r="J245">
        <v>19.170000000000002</v>
      </c>
      <c r="K245">
        <v>24.8</v>
      </c>
      <c r="L245">
        <v>24.91</v>
      </c>
      <c r="M245">
        <v>25.02</v>
      </c>
    </row>
    <row r="246" spans="1:13" x14ac:dyDescent="0.25">
      <c r="A246" s="1">
        <v>39800</v>
      </c>
      <c r="B246">
        <v>22.98</v>
      </c>
      <c r="C246">
        <v>23.42</v>
      </c>
      <c r="D246">
        <v>24.21</v>
      </c>
      <c r="E246">
        <v>22.31</v>
      </c>
      <c r="F246">
        <v>22.53</v>
      </c>
      <c r="G246">
        <v>22.76</v>
      </c>
      <c r="H246">
        <v>18.88</v>
      </c>
      <c r="I246">
        <v>18.93</v>
      </c>
      <c r="J246">
        <v>18.98</v>
      </c>
      <c r="K246">
        <v>24.36</v>
      </c>
      <c r="L246">
        <v>24.47</v>
      </c>
      <c r="M246">
        <v>24.58</v>
      </c>
    </row>
    <row r="247" spans="1:13" x14ac:dyDescent="0.25">
      <c r="A247" s="1">
        <v>39801</v>
      </c>
      <c r="B247">
        <v>22.83</v>
      </c>
      <c r="C247">
        <v>23.27</v>
      </c>
      <c r="D247">
        <v>24.06</v>
      </c>
      <c r="E247">
        <v>22.3</v>
      </c>
      <c r="F247">
        <v>22.52</v>
      </c>
      <c r="G247">
        <v>22.75</v>
      </c>
      <c r="H247">
        <v>18.670000000000002</v>
      </c>
      <c r="I247">
        <v>18.72</v>
      </c>
      <c r="J247">
        <v>18.77</v>
      </c>
      <c r="K247">
        <v>23.71</v>
      </c>
      <c r="L247">
        <v>23.82</v>
      </c>
      <c r="M247">
        <v>23.92</v>
      </c>
    </row>
    <row r="248" spans="1:13" x14ac:dyDescent="0.25">
      <c r="A248" s="1">
        <v>39804</v>
      </c>
      <c r="B248">
        <v>22.62</v>
      </c>
      <c r="C248">
        <v>23.05</v>
      </c>
      <c r="D248">
        <v>23.84</v>
      </c>
      <c r="E248">
        <v>22.3</v>
      </c>
      <c r="F248">
        <v>22.52</v>
      </c>
      <c r="G248">
        <v>22.75</v>
      </c>
      <c r="H248">
        <v>18.690000000000001</v>
      </c>
      <c r="I248">
        <v>18.739999999999998</v>
      </c>
      <c r="J248">
        <v>18.79</v>
      </c>
      <c r="K248">
        <v>23</v>
      </c>
      <c r="L248">
        <v>23.11</v>
      </c>
      <c r="M248">
        <v>23.22</v>
      </c>
    </row>
    <row r="249" spans="1:13" x14ac:dyDescent="0.25">
      <c r="A249" s="1">
        <v>39805</v>
      </c>
      <c r="B249">
        <v>22.7</v>
      </c>
      <c r="C249">
        <v>23.13</v>
      </c>
      <c r="D249">
        <v>23.92</v>
      </c>
      <c r="E249">
        <v>22.71</v>
      </c>
      <c r="F249">
        <v>22.94</v>
      </c>
      <c r="G249">
        <v>23.17</v>
      </c>
      <c r="H249">
        <v>18.899999999999999</v>
      </c>
      <c r="I249">
        <v>18.96</v>
      </c>
      <c r="J249">
        <v>19.010000000000002</v>
      </c>
      <c r="K249">
        <v>23.32</v>
      </c>
      <c r="L249">
        <v>23.43</v>
      </c>
      <c r="M249">
        <v>23.54</v>
      </c>
    </row>
    <row r="250" spans="1:13" x14ac:dyDescent="0.25">
      <c r="A250" s="1">
        <v>39811</v>
      </c>
      <c r="B250">
        <v>22.84</v>
      </c>
      <c r="C250">
        <v>23.28</v>
      </c>
      <c r="D250">
        <v>24.08</v>
      </c>
      <c r="E250">
        <v>23.14</v>
      </c>
      <c r="F250">
        <v>23.37</v>
      </c>
      <c r="G250">
        <v>23.61</v>
      </c>
      <c r="H250">
        <v>19.13</v>
      </c>
      <c r="I250">
        <v>19.190000000000001</v>
      </c>
      <c r="J250">
        <v>19.239999999999998</v>
      </c>
      <c r="K250">
        <v>23.85</v>
      </c>
      <c r="L250">
        <v>23.96</v>
      </c>
      <c r="M250">
        <v>24.08</v>
      </c>
    </row>
    <row r="251" spans="1:13" x14ac:dyDescent="0.25">
      <c r="A251" s="1">
        <v>39812</v>
      </c>
      <c r="B251">
        <v>22.94</v>
      </c>
      <c r="C251">
        <v>23.37</v>
      </c>
      <c r="D251">
        <v>24.18</v>
      </c>
      <c r="E251">
        <v>22.95</v>
      </c>
      <c r="F251">
        <v>23.18</v>
      </c>
      <c r="G251">
        <v>23.41</v>
      </c>
      <c r="H251">
        <v>19</v>
      </c>
      <c r="I251">
        <v>19.05</v>
      </c>
      <c r="J251">
        <v>19.11</v>
      </c>
      <c r="K251">
        <v>24.12</v>
      </c>
      <c r="L251">
        <v>24.23</v>
      </c>
      <c r="M251">
        <v>24.35</v>
      </c>
    </row>
    <row r="252" spans="1:13" x14ac:dyDescent="0.25">
      <c r="A252" s="1">
        <v>39813</v>
      </c>
      <c r="B252">
        <v>23.08</v>
      </c>
      <c r="C252">
        <v>23.52</v>
      </c>
      <c r="D252">
        <v>24.33</v>
      </c>
      <c r="E252">
        <v>23.23</v>
      </c>
      <c r="F252">
        <v>23.46</v>
      </c>
      <c r="G252">
        <v>23.7</v>
      </c>
      <c r="H252">
        <v>19.190000000000001</v>
      </c>
      <c r="I252">
        <v>19.239999999999998</v>
      </c>
      <c r="J252">
        <v>19.3</v>
      </c>
      <c r="K252">
        <v>24.66</v>
      </c>
      <c r="L252">
        <v>24.77</v>
      </c>
      <c r="M252">
        <v>24.89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BCFEE94-52C3-4B9F-9AA7-91891C35B16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5</vt:i4>
      </vt:variant>
    </vt:vector>
  </HeadingPairs>
  <TitlesOfParts>
    <vt:vector size="5" baseType="lpstr">
      <vt:lpstr>a</vt:lpstr>
      <vt:lpstr>B</vt:lpstr>
      <vt:lpstr>c</vt:lpstr>
      <vt:lpstr>D</vt:lpstr>
      <vt:lpstr>dane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Zając</dc:creator>
  <cp:lastModifiedBy>Robert Zając</cp:lastModifiedBy>
  <dcterms:created xsi:type="dcterms:W3CDTF">2025-10-20T15:26:24Z</dcterms:created>
  <dcterms:modified xsi:type="dcterms:W3CDTF">2025-10-20T17:21:43Z</dcterms:modified>
</cp:coreProperties>
</file>