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3maj6\"/>
    </mc:Choice>
  </mc:AlternateContent>
  <xr:revisionPtr revIDLastSave="0" documentId="13_ncr:1_{F26ADF98-3785-4FA4-938B-201305B6663B}" xr6:coauthVersionLast="47" xr6:coauthVersionMax="47" xr10:uidLastSave="{00000000-0000-0000-0000-000000000000}"/>
  <bookViews>
    <workbookView xWindow="-120" yWindow="-120" windowWidth="29040" windowHeight="15840" activeTab="3" xr2:uid="{B3F49E2E-CBF2-4362-842E-45BEA47DE0AD}"/>
  </bookViews>
  <sheets>
    <sheet name="a" sheetId="3" r:id="rId1"/>
    <sheet name="B" sheetId="4" r:id="rId2"/>
    <sheet name="D" sheetId="6" r:id="rId3"/>
    <sheet name="c" sheetId="7" r:id="rId4"/>
    <sheet name="dane" sheetId="2" r:id="rId5"/>
  </sheets>
  <definedNames>
    <definedName name="ExternalData_1" localSheetId="0" hidden="1">a!$A$1:$M$252</definedName>
    <definedName name="ExternalData_1" localSheetId="1" hidden="1">B!$A$1:$M$252</definedName>
    <definedName name="ExternalData_1" localSheetId="3" hidden="1">'c'!$A$1:$M$252</definedName>
    <definedName name="ExternalData_1" localSheetId="2" hidden="1">D!$A$1:$M$252</definedName>
    <definedName name="ExternalData_1" localSheetId="4" hidden="1">dane!$A$1:$M$252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7" l="1"/>
  <c r="C254" i="7"/>
  <c r="D254" i="7"/>
  <c r="E254" i="7"/>
  <c r="F254" i="7"/>
  <c r="G254" i="7"/>
  <c r="H254" i="7"/>
  <c r="I254" i="7"/>
  <c r="J254" i="7"/>
  <c r="K254" i="7"/>
  <c r="L254" i="7"/>
  <c r="M254" i="7"/>
  <c r="B254" i="7"/>
  <c r="O2" i="7"/>
  <c r="C255" i="3"/>
  <c r="D255" i="3"/>
  <c r="E255" i="3"/>
  <c r="F255" i="3"/>
  <c r="G255" i="3"/>
  <c r="H255" i="3"/>
  <c r="I255" i="3"/>
  <c r="J255" i="3"/>
  <c r="K255" i="3"/>
  <c r="L255" i="3"/>
  <c r="M255" i="3"/>
  <c r="B255" i="3"/>
  <c r="A258" i="6" a="1"/>
  <c r="A258" i="6" s="1"/>
  <c r="C255" i="6"/>
  <c r="D255" i="6"/>
  <c r="E255" i="6"/>
  <c r="F255" i="6"/>
  <c r="G255" i="6"/>
  <c r="H255" i="6"/>
  <c r="I255" i="6"/>
  <c r="J255" i="6"/>
  <c r="K255" i="6"/>
  <c r="L255" i="6"/>
  <c r="M255" i="6"/>
  <c r="C256" i="6"/>
  <c r="D256" i="6"/>
  <c r="E256" i="6"/>
  <c r="F256" i="6"/>
  <c r="G256" i="6"/>
  <c r="H256" i="6"/>
  <c r="I256" i="6"/>
  <c r="J256" i="6"/>
  <c r="K256" i="6"/>
  <c r="L256" i="6"/>
  <c r="M256" i="6"/>
  <c r="B256" i="6"/>
  <c r="B255" i="6"/>
  <c r="R2" i="4"/>
  <c r="O5" i="4"/>
  <c r="Q5" i="4" s="1"/>
  <c r="P5" i="4"/>
  <c r="O6" i="4"/>
  <c r="Q6" i="4" s="1"/>
  <c r="P6" i="4"/>
  <c r="O7" i="4"/>
  <c r="Q7" i="4" s="1"/>
  <c r="P7" i="4"/>
  <c r="O8" i="4"/>
  <c r="P8" i="4"/>
  <c r="Q8" i="4"/>
  <c r="O9" i="4"/>
  <c r="Q9" i="4" s="1"/>
  <c r="P9" i="4"/>
  <c r="O10" i="4"/>
  <c r="Q10" i="4" s="1"/>
  <c r="P10" i="4"/>
  <c r="O11" i="4"/>
  <c r="Q11" i="4" s="1"/>
  <c r="P11" i="4"/>
  <c r="O12" i="4"/>
  <c r="P12" i="4"/>
  <c r="Q12" i="4"/>
  <c r="O13" i="4"/>
  <c r="Q13" i="4" s="1"/>
  <c r="P13" i="4"/>
  <c r="O14" i="4"/>
  <c r="Q14" i="4" s="1"/>
  <c r="P14" i="4"/>
  <c r="O15" i="4"/>
  <c r="Q15" i="4" s="1"/>
  <c r="P15" i="4"/>
  <c r="O16" i="4"/>
  <c r="P16" i="4"/>
  <c r="Q16" i="4"/>
  <c r="O17" i="4"/>
  <c r="Q17" i="4" s="1"/>
  <c r="P17" i="4"/>
  <c r="O18" i="4"/>
  <c r="Q18" i="4" s="1"/>
  <c r="P18" i="4"/>
  <c r="O19" i="4"/>
  <c r="Q19" i="4" s="1"/>
  <c r="P19" i="4"/>
  <c r="O20" i="4"/>
  <c r="P20" i="4"/>
  <c r="Q20" i="4"/>
  <c r="O21" i="4"/>
  <c r="Q21" i="4" s="1"/>
  <c r="P21" i="4"/>
  <c r="O22" i="4"/>
  <c r="Q22" i="4" s="1"/>
  <c r="P22" i="4"/>
  <c r="O23" i="4"/>
  <c r="Q23" i="4" s="1"/>
  <c r="P23" i="4"/>
  <c r="O24" i="4"/>
  <c r="P24" i="4"/>
  <c r="Q24" i="4"/>
  <c r="O25" i="4"/>
  <c r="Q25" i="4" s="1"/>
  <c r="P25" i="4"/>
  <c r="O26" i="4"/>
  <c r="Q26" i="4" s="1"/>
  <c r="P26" i="4"/>
  <c r="O27" i="4"/>
  <c r="Q27" i="4" s="1"/>
  <c r="P27" i="4"/>
  <c r="O28" i="4"/>
  <c r="P28" i="4"/>
  <c r="Q28" i="4"/>
  <c r="O29" i="4"/>
  <c r="Q29" i="4" s="1"/>
  <c r="P29" i="4"/>
  <c r="O30" i="4"/>
  <c r="Q30" i="4" s="1"/>
  <c r="P30" i="4"/>
  <c r="O31" i="4"/>
  <c r="Q31" i="4" s="1"/>
  <c r="P31" i="4"/>
  <c r="O32" i="4"/>
  <c r="P32" i="4"/>
  <c r="Q32" i="4"/>
  <c r="O33" i="4"/>
  <c r="Q33" i="4" s="1"/>
  <c r="P33" i="4"/>
  <c r="O34" i="4"/>
  <c r="Q34" i="4" s="1"/>
  <c r="P34" i="4"/>
  <c r="O35" i="4"/>
  <c r="Q35" i="4" s="1"/>
  <c r="P35" i="4"/>
  <c r="O36" i="4"/>
  <c r="P36" i="4"/>
  <c r="Q36" i="4"/>
  <c r="O37" i="4"/>
  <c r="Q37" i="4" s="1"/>
  <c r="P37" i="4"/>
  <c r="O38" i="4"/>
  <c r="Q38" i="4" s="1"/>
  <c r="P38" i="4"/>
  <c r="O39" i="4"/>
  <c r="Q39" i="4" s="1"/>
  <c r="P39" i="4"/>
  <c r="O40" i="4"/>
  <c r="P40" i="4"/>
  <c r="Q40" i="4"/>
  <c r="O41" i="4"/>
  <c r="Q41" i="4" s="1"/>
  <c r="P41" i="4"/>
  <c r="O42" i="4"/>
  <c r="Q42" i="4" s="1"/>
  <c r="P42" i="4"/>
  <c r="O43" i="4"/>
  <c r="Q43" i="4" s="1"/>
  <c r="P43" i="4"/>
  <c r="O44" i="4"/>
  <c r="P44" i="4"/>
  <c r="Q44" i="4"/>
  <c r="O45" i="4"/>
  <c r="Q45" i="4" s="1"/>
  <c r="P45" i="4"/>
  <c r="O46" i="4"/>
  <c r="Q46" i="4" s="1"/>
  <c r="P46" i="4"/>
  <c r="O47" i="4"/>
  <c r="Q47" i="4" s="1"/>
  <c r="P47" i="4"/>
  <c r="O48" i="4"/>
  <c r="P48" i="4"/>
  <c r="Q48" i="4"/>
  <c r="O49" i="4"/>
  <c r="Q49" i="4" s="1"/>
  <c r="P49" i="4"/>
  <c r="O50" i="4"/>
  <c r="Q50" i="4" s="1"/>
  <c r="P50" i="4"/>
  <c r="O51" i="4"/>
  <c r="Q51" i="4" s="1"/>
  <c r="P51" i="4"/>
  <c r="O52" i="4"/>
  <c r="P52" i="4"/>
  <c r="Q52" i="4"/>
  <c r="O53" i="4"/>
  <c r="Q53" i="4" s="1"/>
  <c r="P53" i="4"/>
  <c r="O54" i="4"/>
  <c r="Q54" i="4" s="1"/>
  <c r="P54" i="4"/>
  <c r="O55" i="4"/>
  <c r="Q55" i="4" s="1"/>
  <c r="P55" i="4"/>
  <c r="O56" i="4"/>
  <c r="P56" i="4"/>
  <c r="Q56" i="4"/>
  <c r="O57" i="4"/>
  <c r="Q57" i="4" s="1"/>
  <c r="P57" i="4"/>
  <c r="O58" i="4"/>
  <c r="Q58" i="4" s="1"/>
  <c r="P58" i="4"/>
  <c r="O59" i="4"/>
  <c r="Q59" i="4" s="1"/>
  <c r="P59" i="4"/>
  <c r="O60" i="4"/>
  <c r="P60" i="4"/>
  <c r="Q60" i="4"/>
  <c r="O61" i="4"/>
  <c r="Q61" i="4" s="1"/>
  <c r="P61" i="4"/>
  <c r="O62" i="4"/>
  <c r="Q62" i="4" s="1"/>
  <c r="P62" i="4"/>
  <c r="O63" i="4"/>
  <c r="Q63" i="4" s="1"/>
  <c r="P63" i="4"/>
  <c r="O64" i="4"/>
  <c r="P64" i="4"/>
  <c r="Q64" i="4"/>
  <c r="O65" i="4"/>
  <c r="Q65" i="4" s="1"/>
  <c r="P65" i="4"/>
  <c r="O66" i="4"/>
  <c r="Q66" i="4" s="1"/>
  <c r="P66" i="4"/>
  <c r="O67" i="4"/>
  <c r="Q67" i="4" s="1"/>
  <c r="P67" i="4"/>
  <c r="O68" i="4"/>
  <c r="P68" i="4"/>
  <c r="Q68" i="4"/>
  <c r="O69" i="4"/>
  <c r="Q69" i="4" s="1"/>
  <c r="P69" i="4"/>
  <c r="O70" i="4"/>
  <c r="Q70" i="4" s="1"/>
  <c r="P70" i="4"/>
  <c r="O71" i="4"/>
  <c r="Q71" i="4" s="1"/>
  <c r="P71" i="4"/>
  <c r="O72" i="4"/>
  <c r="P72" i="4"/>
  <c r="Q72" i="4"/>
  <c r="O73" i="4"/>
  <c r="Q73" i="4" s="1"/>
  <c r="P73" i="4"/>
  <c r="O74" i="4"/>
  <c r="Q74" i="4" s="1"/>
  <c r="P74" i="4"/>
  <c r="O75" i="4"/>
  <c r="Q75" i="4" s="1"/>
  <c r="P75" i="4"/>
  <c r="O76" i="4"/>
  <c r="P76" i="4"/>
  <c r="Q76" i="4"/>
  <c r="O77" i="4"/>
  <c r="Q77" i="4" s="1"/>
  <c r="P77" i="4"/>
  <c r="O78" i="4"/>
  <c r="Q78" i="4" s="1"/>
  <c r="P78" i="4"/>
  <c r="O79" i="4"/>
  <c r="Q79" i="4" s="1"/>
  <c r="P79" i="4"/>
  <c r="O80" i="4"/>
  <c r="P80" i="4"/>
  <c r="Q80" i="4"/>
  <c r="O81" i="4"/>
  <c r="Q81" i="4" s="1"/>
  <c r="P81" i="4"/>
  <c r="O82" i="4"/>
  <c r="Q82" i="4" s="1"/>
  <c r="P82" i="4"/>
  <c r="O83" i="4"/>
  <c r="Q83" i="4" s="1"/>
  <c r="P83" i="4"/>
  <c r="O84" i="4"/>
  <c r="P84" i="4"/>
  <c r="Q84" i="4"/>
  <c r="O85" i="4"/>
  <c r="Q85" i="4" s="1"/>
  <c r="P85" i="4"/>
  <c r="O86" i="4"/>
  <c r="Q86" i="4" s="1"/>
  <c r="P86" i="4"/>
  <c r="O87" i="4"/>
  <c r="Q87" i="4" s="1"/>
  <c r="P87" i="4"/>
  <c r="O88" i="4"/>
  <c r="P88" i="4"/>
  <c r="Q88" i="4"/>
  <c r="O89" i="4"/>
  <c r="Q89" i="4" s="1"/>
  <c r="P89" i="4"/>
  <c r="O90" i="4"/>
  <c r="Q90" i="4" s="1"/>
  <c r="P90" i="4"/>
  <c r="O91" i="4"/>
  <c r="Q91" i="4" s="1"/>
  <c r="P91" i="4"/>
  <c r="O92" i="4"/>
  <c r="P92" i="4"/>
  <c r="Q92" i="4"/>
  <c r="O93" i="4"/>
  <c r="Q93" i="4" s="1"/>
  <c r="P93" i="4"/>
  <c r="O94" i="4"/>
  <c r="Q94" i="4" s="1"/>
  <c r="P94" i="4"/>
  <c r="O95" i="4"/>
  <c r="Q95" i="4" s="1"/>
  <c r="P95" i="4"/>
  <c r="O96" i="4"/>
  <c r="P96" i="4"/>
  <c r="Q96" i="4"/>
  <c r="O97" i="4"/>
  <c r="Q97" i="4" s="1"/>
  <c r="P97" i="4"/>
  <c r="O98" i="4"/>
  <c r="Q98" i="4" s="1"/>
  <c r="P98" i="4"/>
  <c r="O99" i="4"/>
  <c r="Q99" i="4" s="1"/>
  <c r="P99" i="4"/>
  <c r="O100" i="4"/>
  <c r="P100" i="4"/>
  <c r="Q100" i="4"/>
  <c r="O101" i="4"/>
  <c r="Q101" i="4" s="1"/>
  <c r="P101" i="4"/>
  <c r="O102" i="4"/>
  <c r="Q102" i="4" s="1"/>
  <c r="P102" i="4"/>
  <c r="O103" i="4"/>
  <c r="Q103" i="4" s="1"/>
  <c r="P103" i="4"/>
  <c r="O104" i="4"/>
  <c r="P104" i="4"/>
  <c r="Q104" i="4"/>
  <c r="O105" i="4"/>
  <c r="Q105" i="4" s="1"/>
  <c r="P105" i="4"/>
  <c r="O106" i="4"/>
  <c r="Q106" i="4" s="1"/>
  <c r="P106" i="4"/>
  <c r="O107" i="4"/>
  <c r="Q107" i="4" s="1"/>
  <c r="P107" i="4"/>
  <c r="O108" i="4"/>
  <c r="P108" i="4"/>
  <c r="Q108" i="4"/>
  <c r="O109" i="4"/>
  <c r="Q109" i="4" s="1"/>
  <c r="P109" i="4"/>
  <c r="O110" i="4"/>
  <c r="Q110" i="4" s="1"/>
  <c r="P110" i="4"/>
  <c r="O111" i="4"/>
  <c r="Q111" i="4" s="1"/>
  <c r="P111" i="4"/>
  <c r="O112" i="4"/>
  <c r="P112" i="4"/>
  <c r="Q112" i="4"/>
  <c r="O113" i="4"/>
  <c r="Q113" i="4" s="1"/>
  <c r="P113" i="4"/>
  <c r="O114" i="4"/>
  <c r="Q114" i="4" s="1"/>
  <c r="P114" i="4"/>
  <c r="O115" i="4"/>
  <c r="Q115" i="4" s="1"/>
  <c r="P115" i="4"/>
  <c r="O116" i="4"/>
  <c r="P116" i="4"/>
  <c r="Q116" i="4"/>
  <c r="O117" i="4"/>
  <c r="Q117" i="4" s="1"/>
  <c r="P117" i="4"/>
  <c r="O118" i="4"/>
  <c r="Q118" i="4" s="1"/>
  <c r="P118" i="4"/>
  <c r="O119" i="4"/>
  <c r="Q119" i="4" s="1"/>
  <c r="P119" i="4"/>
  <c r="O120" i="4"/>
  <c r="P120" i="4"/>
  <c r="Q120" i="4"/>
  <c r="O121" i="4"/>
  <c r="Q121" i="4" s="1"/>
  <c r="P121" i="4"/>
  <c r="O122" i="4"/>
  <c r="Q122" i="4" s="1"/>
  <c r="P122" i="4"/>
  <c r="O123" i="4"/>
  <c r="Q123" i="4" s="1"/>
  <c r="P123" i="4"/>
  <c r="O124" i="4"/>
  <c r="P124" i="4"/>
  <c r="Q124" i="4"/>
  <c r="O125" i="4"/>
  <c r="Q125" i="4" s="1"/>
  <c r="P125" i="4"/>
  <c r="O126" i="4"/>
  <c r="Q126" i="4" s="1"/>
  <c r="P126" i="4"/>
  <c r="O127" i="4"/>
  <c r="Q127" i="4" s="1"/>
  <c r="P127" i="4"/>
  <c r="O128" i="4"/>
  <c r="P128" i="4"/>
  <c r="Q128" i="4"/>
  <c r="O129" i="4"/>
  <c r="Q129" i="4" s="1"/>
  <c r="P129" i="4"/>
  <c r="O130" i="4"/>
  <c r="Q130" i="4" s="1"/>
  <c r="P130" i="4"/>
  <c r="O131" i="4"/>
  <c r="Q131" i="4" s="1"/>
  <c r="P131" i="4"/>
  <c r="O132" i="4"/>
  <c r="P132" i="4"/>
  <c r="Q132" i="4"/>
  <c r="O133" i="4"/>
  <c r="Q133" i="4" s="1"/>
  <c r="P133" i="4"/>
  <c r="O134" i="4"/>
  <c r="Q134" i="4" s="1"/>
  <c r="P134" i="4"/>
  <c r="O135" i="4"/>
  <c r="Q135" i="4" s="1"/>
  <c r="P135" i="4"/>
  <c r="O136" i="4"/>
  <c r="P136" i="4"/>
  <c r="Q136" i="4"/>
  <c r="O137" i="4"/>
  <c r="Q137" i="4" s="1"/>
  <c r="P137" i="4"/>
  <c r="O138" i="4"/>
  <c r="Q138" i="4" s="1"/>
  <c r="P138" i="4"/>
  <c r="O139" i="4"/>
  <c r="Q139" i="4" s="1"/>
  <c r="P139" i="4"/>
  <c r="O140" i="4"/>
  <c r="P140" i="4"/>
  <c r="Q140" i="4"/>
  <c r="O141" i="4"/>
  <c r="Q141" i="4" s="1"/>
  <c r="P141" i="4"/>
  <c r="O142" i="4"/>
  <c r="Q142" i="4" s="1"/>
  <c r="P142" i="4"/>
  <c r="O143" i="4"/>
  <c r="Q143" i="4" s="1"/>
  <c r="P143" i="4"/>
  <c r="O144" i="4"/>
  <c r="P144" i="4"/>
  <c r="Q144" i="4"/>
  <c r="O145" i="4"/>
  <c r="Q145" i="4" s="1"/>
  <c r="P145" i="4"/>
  <c r="O146" i="4"/>
  <c r="Q146" i="4" s="1"/>
  <c r="P146" i="4"/>
  <c r="O147" i="4"/>
  <c r="Q147" i="4" s="1"/>
  <c r="P147" i="4"/>
  <c r="O148" i="4"/>
  <c r="P148" i="4"/>
  <c r="Q148" i="4"/>
  <c r="O149" i="4"/>
  <c r="Q149" i="4" s="1"/>
  <c r="P149" i="4"/>
  <c r="O150" i="4"/>
  <c r="Q150" i="4" s="1"/>
  <c r="P150" i="4"/>
  <c r="O151" i="4"/>
  <c r="Q151" i="4" s="1"/>
  <c r="P151" i="4"/>
  <c r="O152" i="4"/>
  <c r="P152" i="4"/>
  <c r="Q152" i="4"/>
  <c r="O153" i="4"/>
  <c r="Q153" i="4" s="1"/>
  <c r="P153" i="4"/>
  <c r="O154" i="4"/>
  <c r="Q154" i="4" s="1"/>
  <c r="P154" i="4"/>
  <c r="O155" i="4"/>
  <c r="Q155" i="4" s="1"/>
  <c r="P155" i="4"/>
  <c r="O156" i="4"/>
  <c r="P156" i="4"/>
  <c r="Q156" i="4"/>
  <c r="O157" i="4"/>
  <c r="Q157" i="4" s="1"/>
  <c r="P157" i="4"/>
  <c r="O158" i="4"/>
  <c r="Q158" i="4" s="1"/>
  <c r="P158" i="4"/>
  <c r="O159" i="4"/>
  <c r="Q159" i="4" s="1"/>
  <c r="P159" i="4"/>
  <c r="O160" i="4"/>
  <c r="P160" i="4"/>
  <c r="Q160" i="4"/>
  <c r="O161" i="4"/>
  <c r="Q161" i="4" s="1"/>
  <c r="P161" i="4"/>
  <c r="O162" i="4"/>
  <c r="Q162" i="4" s="1"/>
  <c r="P162" i="4"/>
  <c r="O163" i="4"/>
  <c r="Q163" i="4" s="1"/>
  <c r="P163" i="4"/>
  <c r="O164" i="4"/>
  <c r="P164" i="4"/>
  <c r="Q164" i="4"/>
  <c r="O165" i="4"/>
  <c r="Q165" i="4" s="1"/>
  <c r="P165" i="4"/>
  <c r="O166" i="4"/>
  <c r="Q166" i="4" s="1"/>
  <c r="P166" i="4"/>
  <c r="O167" i="4"/>
  <c r="Q167" i="4" s="1"/>
  <c r="P167" i="4"/>
  <c r="O168" i="4"/>
  <c r="P168" i="4"/>
  <c r="Q168" i="4"/>
  <c r="O169" i="4"/>
  <c r="Q169" i="4" s="1"/>
  <c r="P169" i="4"/>
  <c r="O170" i="4"/>
  <c r="Q170" i="4" s="1"/>
  <c r="P170" i="4"/>
  <c r="O171" i="4"/>
  <c r="Q171" i="4" s="1"/>
  <c r="P171" i="4"/>
  <c r="O172" i="4"/>
  <c r="P172" i="4"/>
  <c r="Q172" i="4"/>
  <c r="O173" i="4"/>
  <c r="Q173" i="4" s="1"/>
  <c r="P173" i="4"/>
  <c r="O174" i="4"/>
  <c r="Q174" i="4" s="1"/>
  <c r="P174" i="4"/>
  <c r="O175" i="4"/>
  <c r="Q175" i="4" s="1"/>
  <c r="P175" i="4"/>
  <c r="O176" i="4"/>
  <c r="P176" i="4"/>
  <c r="Q176" i="4"/>
  <c r="O177" i="4"/>
  <c r="Q177" i="4" s="1"/>
  <c r="P177" i="4"/>
  <c r="O178" i="4"/>
  <c r="Q178" i="4" s="1"/>
  <c r="P178" i="4"/>
  <c r="O179" i="4"/>
  <c r="Q179" i="4" s="1"/>
  <c r="P179" i="4"/>
  <c r="O180" i="4"/>
  <c r="P180" i="4"/>
  <c r="Q180" i="4"/>
  <c r="O181" i="4"/>
  <c r="Q181" i="4" s="1"/>
  <c r="P181" i="4"/>
  <c r="O182" i="4"/>
  <c r="Q182" i="4" s="1"/>
  <c r="P182" i="4"/>
  <c r="O183" i="4"/>
  <c r="Q183" i="4" s="1"/>
  <c r="P183" i="4"/>
  <c r="O184" i="4"/>
  <c r="P184" i="4"/>
  <c r="Q184" i="4"/>
  <c r="O185" i="4"/>
  <c r="Q185" i="4" s="1"/>
  <c r="P185" i="4"/>
  <c r="O186" i="4"/>
  <c r="Q186" i="4" s="1"/>
  <c r="P186" i="4"/>
  <c r="O187" i="4"/>
  <c r="Q187" i="4" s="1"/>
  <c r="P187" i="4"/>
  <c r="O188" i="4"/>
  <c r="P188" i="4"/>
  <c r="Q188" i="4"/>
  <c r="O189" i="4"/>
  <c r="Q189" i="4" s="1"/>
  <c r="P189" i="4"/>
  <c r="O190" i="4"/>
  <c r="Q190" i="4" s="1"/>
  <c r="P190" i="4"/>
  <c r="O191" i="4"/>
  <c r="Q191" i="4" s="1"/>
  <c r="P191" i="4"/>
  <c r="O192" i="4"/>
  <c r="P192" i="4"/>
  <c r="Q192" i="4"/>
  <c r="O193" i="4"/>
  <c r="Q193" i="4" s="1"/>
  <c r="P193" i="4"/>
  <c r="O194" i="4"/>
  <c r="Q194" i="4" s="1"/>
  <c r="P194" i="4"/>
  <c r="O195" i="4"/>
  <c r="Q195" i="4" s="1"/>
  <c r="P195" i="4"/>
  <c r="O196" i="4"/>
  <c r="P196" i="4"/>
  <c r="Q196" i="4"/>
  <c r="O197" i="4"/>
  <c r="Q197" i="4" s="1"/>
  <c r="P197" i="4"/>
  <c r="O198" i="4"/>
  <c r="Q198" i="4" s="1"/>
  <c r="P198" i="4"/>
  <c r="O199" i="4"/>
  <c r="Q199" i="4" s="1"/>
  <c r="P199" i="4"/>
  <c r="O200" i="4"/>
  <c r="P200" i="4"/>
  <c r="Q200" i="4"/>
  <c r="O201" i="4"/>
  <c r="Q201" i="4" s="1"/>
  <c r="P201" i="4"/>
  <c r="O202" i="4"/>
  <c r="Q202" i="4" s="1"/>
  <c r="P202" i="4"/>
  <c r="O203" i="4"/>
  <c r="Q203" i="4" s="1"/>
  <c r="P203" i="4"/>
  <c r="O204" i="4"/>
  <c r="P204" i="4"/>
  <c r="Q204" i="4"/>
  <c r="O205" i="4"/>
  <c r="Q205" i="4" s="1"/>
  <c r="P205" i="4"/>
  <c r="O206" i="4"/>
  <c r="Q206" i="4" s="1"/>
  <c r="P206" i="4"/>
  <c r="O207" i="4"/>
  <c r="Q207" i="4" s="1"/>
  <c r="P207" i="4"/>
  <c r="O208" i="4"/>
  <c r="P208" i="4"/>
  <c r="Q208" i="4"/>
  <c r="O209" i="4"/>
  <c r="Q209" i="4" s="1"/>
  <c r="P209" i="4"/>
  <c r="O210" i="4"/>
  <c r="Q210" i="4" s="1"/>
  <c r="P210" i="4"/>
  <c r="O211" i="4"/>
  <c r="Q211" i="4" s="1"/>
  <c r="P211" i="4"/>
  <c r="O212" i="4"/>
  <c r="P212" i="4"/>
  <c r="Q212" i="4"/>
  <c r="O213" i="4"/>
  <c r="Q213" i="4" s="1"/>
  <c r="P213" i="4"/>
  <c r="O214" i="4"/>
  <c r="Q214" i="4" s="1"/>
  <c r="P214" i="4"/>
  <c r="O215" i="4"/>
  <c r="Q215" i="4" s="1"/>
  <c r="P215" i="4"/>
  <c r="O216" i="4"/>
  <c r="P216" i="4"/>
  <c r="Q216" i="4"/>
  <c r="O217" i="4"/>
  <c r="Q217" i="4" s="1"/>
  <c r="P217" i="4"/>
  <c r="O218" i="4"/>
  <c r="Q218" i="4" s="1"/>
  <c r="P218" i="4"/>
  <c r="O219" i="4"/>
  <c r="Q219" i="4" s="1"/>
  <c r="P219" i="4"/>
  <c r="O220" i="4"/>
  <c r="P220" i="4"/>
  <c r="Q220" i="4"/>
  <c r="O221" i="4"/>
  <c r="Q221" i="4" s="1"/>
  <c r="P221" i="4"/>
  <c r="O222" i="4"/>
  <c r="Q222" i="4" s="1"/>
  <c r="P222" i="4"/>
  <c r="O223" i="4"/>
  <c r="Q223" i="4" s="1"/>
  <c r="P223" i="4"/>
  <c r="O224" i="4"/>
  <c r="P224" i="4"/>
  <c r="Q224" i="4"/>
  <c r="O225" i="4"/>
  <c r="Q225" i="4" s="1"/>
  <c r="P225" i="4"/>
  <c r="O226" i="4"/>
  <c r="Q226" i="4" s="1"/>
  <c r="P226" i="4"/>
  <c r="O227" i="4"/>
  <c r="Q227" i="4" s="1"/>
  <c r="P227" i="4"/>
  <c r="O228" i="4"/>
  <c r="P228" i="4"/>
  <c r="Q228" i="4"/>
  <c r="O229" i="4"/>
  <c r="Q229" i="4" s="1"/>
  <c r="P229" i="4"/>
  <c r="O230" i="4"/>
  <c r="Q230" i="4" s="1"/>
  <c r="P230" i="4"/>
  <c r="O231" i="4"/>
  <c r="Q231" i="4" s="1"/>
  <c r="P231" i="4"/>
  <c r="O232" i="4"/>
  <c r="P232" i="4"/>
  <c r="Q232" i="4"/>
  <c r="O233" i="4"/>
  <c r="Q233" i="4" s="1"/>
  <c r="P233" i="4"/>
  <c r="O234" i="4"/>
  <c r="Q234" i="4" s="1"/>
  <c r="P234" i="4"/>
  <c r="O235" i="4"/>
  <c r="Q235" i="4" s="1"/>
  <c r="P235" i="4"/>
  <c r="O236" i="4"/>
  <c r="P236" i="4"/>
  <c r="Q236" i="4"/>
  <c r="O237" i="4"/>
  <c r="Q237" i="4" s="1"/>
  <c r="P237" i="4"/>
  <c r="O238" i="4"/>
  <c r="Q238" i="4" s="1"/>
  <c r="P238" i="4"/>
  <c r="O239" i="4"/>
  <c r="Q239" i="4" s="1"/>
  <c r="P239" i="4"/>
  <c r="O240" i="4"/>
  <c r="P240" i="4"/>
  <c r="Q240" i="4"/>
  <c r="O241" i="4"/>
  <c r="Q241" i="4" s="1"/>
  <c r="P241" i="4"/>
  <c r="O242" i="4"/>
  <c r="Q242" i="4" s="1"/>
  <c r="P242" i="4"/>
  <c r="O243" i="4"/>
  <c r="Q243" i="4" s="1"/>
  <c r="P243" i="4"/>
  <c r="O244" i="4"/>
  <c r="P244" i="4"/>
  <c r="Q244" i="4"/>
  <c r="O245" i="4"/>
  <c r="Q245" i="4" s="1"/>
  <c r="P245" i="4"/>
  <c r="O246" i="4"/>
  <c r="Q246" i="4" s="1"/>
  <c r="P246" i="4"/>
  <c r="O247" i="4"/>
  <c r="Q247" i="4" s="1"/>
  <c r="P247" i="4"/>
  <c r="O248" i="4"/>
  <c r="P248" i="4"/>
  <c r="Q248" i="4"/>
  <c r="O249" i="4"/>
  <c r="Q249" i="4" s="1"/>
  <c r="P249" i="4"/>
  <c r="O250" i="4"/>
  <c r="Q250" i="4" s="1"/>
  <c r="P250" i="4"/>
  <c r="O251" i="4"/>
  <c r="Q251" i="4" s="1"/>
  <c r="P251" i="4"/>
  <c r="O252" i="4"/>
  <c r="P252" i="4"/>
  <c r="Q252" i="4"/>
  <c r="O3" i="4"/>
  <c r="Q3" i="4" s="1"/>
  <c r="P3" i="4"/>
  <c r="O4" i="4"/>
  <c r="Q4" i="4" s="1"/>
  <c r="P4" i="4"/>
  <c r="P2" i="4"/>
  <c r="Q2" i="4"/>
  <c r="O2" i="4"/>
  <c r="C254" i="3"/>
  <c r="D254" i="3"/>
  <c r="E254" i="3"/>
  <c r="F254" i="3"/>
  <c r="G254" i="3"/>
  <c r="H254" i="3"/>
  <c r="I254" i="3"/>
  <c r="J254" i="3"/>
  <c r="K254" i="3"/>
  <c r="L254" i="3"/>
  <c r="M254" i="3"/>
  <c r="B25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2BC932-BE45-4228-AE1C-6D2D761765C0}" keepAlive="1" name="Zapytanie — historia" description="Połączenie z zapytaniem „historia” w skoroszycie." type="5" refreshedVersion="8" background="1" saveData="1">
    <dbPr connection="Provider=Microsoft.Mashup.OleDb.1;Data Source=$Workbook$;Location=historia;Extended Properties=&quot;&quot;" command="SELECT * FROM [historia]"/>
  </connection>
  <connection id="2" xr16:uid="{C5D2DC84-1803-4985-B349-2EBA7E917407}" keepAlive="1" name="Zapytanie — historia (2)" description="Połączenie z zapytaniem „historia (2)” w skoroszycie." type="5" refreshedVersion="8" background="1" saveData="1">
    <dbPr connection="Provider=Microsoft.Mashup.OleDb.1;Data Source=$Workbook$;Location=&quot;historia (2)&quot;;Extended Properties=&quot;&quot;" command="SELECT * FROM [historia (2)]"/>
  </connection>
  <connection id="3" xr16:uid="{D92A022A-7C77-465A-854D-4E17A16577DD}" keepAlive="1" name="Zapytanie — historia (3)" description="Połączenie z zapytaniem „historia (3)” w skoroszycie." type="5" refreshedVersion="8" background="1" saveData="1">
    <dbPr connection="Provider=Microsoft.Mashup.OleDb.1;Data Source=$Workbook$;Location=&quot;historia (3)&quot;;Extended Properties=&quot;&quot;" command="SELECT * FROM [historia (3)]"/>
  </connection>
  <connection id="4" xr16:uid="{B9C89EBC-A7E9-4619-BD7B-EEEB3A6E2FA9}" keepAlive="1" name="Zapytanie — historia (4)" description="Połączenie z zapytaniem „historia (4)” w skoroszycie." type="5" refreshedVersion="8" background="1" saveData="1">
    <dbPr connection="Provider=Microsoft.Mashup.OleDb.1;Data Source=$Workbook$;Location=&quot;historia (4)&quot;;Extended Properties=&quot;&quot;" command="SELECT * FROM [historia (4)]"/>
  </connection>
  <connection id="5" xr16:uid="{6E6F9F16-F0A2-4ECB-9D02-9178A0ECB025}" keepAlive="1" name="Zapytanie — historia (5)" description="Połączenie z zapytaniem „historia (5)” w skoroszycie." type="5" refreshedVersion="8" background="1" saveData="1">
    <dbPr connection="Provider=Microsoft.Mashup.OleDb.1;Data Source=$Workbook$;Location=&quot;historia (5)&quot;;Extended Properties=&quot;&quot;" command="SELECT * FROM [historia (5)]"/>
  </connection>
  <connection id="6" xr16:uid="{F365BE30-762B-4494-97D8-92978D675A07}" keepAlive="1" name="Zapytanie — historia (6)" description="Połączenie z zapytaniem „historia (6)” w skoroszycie." type="5" refreshedVersion="8" background="1" saveData="1">
    <dbPr connection="Provider=Microsoft.Mashup.OleDb.1;Data Source=$Workbook$;Location=&quot;historia (6)&quot;;Extended Properties=&quot;&quot;" command="SELECT * FROM [historia (6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<sst xmlns="http://schemas.openxmlformats.org/spreadsheetml/2006/main" count="87" uniqueCount="23">
  <si>
    <t>Data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</si>
  <si>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</si>
  <si>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</si>
  <si>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</si>
  <si>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</si>
  <si>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</si>
  <si>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</si>
  <si>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</si>
  <si>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</si>
  <si>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</si>
  <si>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</si>
  <si>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</si>
  <si>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</si>
  <si>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ŚREDNIA CENA</t>
  </si>
  <si>
    <t>SUMA</t>
  </si>
  <si>
    <t>SUMA JEŚLI WYŻSZE OD 33</t>
  </si>
  <si>
    <t>CZY WSZYSTKIE &gt;&gt; 33</t>
  </si>
  <si>
    <t>ile dni wszystko &gt;&gt; 33</t>
  </si>
  <si>
    <t>NAJWIĘKSZA</t>
  </si>
  <si>
    <t>NAJMNIEJSZA</t>
  </si>
  <si>
    <t>NAJCZĘŚCIEJ POJAWIAJĄCA SIĘ LICZBA</t>
  </si>
  <si>
    <t>ILOŚĆ POWTÓRZEŃ</t>
  </si>
  <si>
    <t>POWTORZENIA 42,98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</si>
</sst>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ny" xfId="0" builtinId="0"/>
  </cellStyles>
  <dxfs count="6"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NAJNIŻSZA</a:t>
            </a:r>
            <a:r>
              <a:rPr lang="pl-PL" baseline="0"/>
              <a:t> I NAJWYŻSZA CENA JEDNOSTKI  FUNDUSZU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D!$B$258</c:f>
              <c:strCache>
                <c:ptCount val="1"/>
                <c:pt idx="0">
                  <c:v>NAJWIĘKSZA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D!$A$259:$A$270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D!$B$259:$B$270</c:f>
              <c:numCache>
                <c:formatCode>General</c:formatCode>
                <c:ptCount val="12"/>
                <c:pt idx="0">
                  <c:v>50.9</c:v>
                </c:pt>
                <c:pt idx="1">
                  <c:v>51.62</c:v>
                </c:pt>
                <c:pt idx="2">
                  <c:v>53.12</c:v>
                </c:pt>
                <c:pt idx="3">
                  <c:v>58.66</c:v>
                </c:pt>
                <c:pt idx="4">
                  <c:v>58.96</c:v>
                </c:pt>
                <c:pt idx="5">
                  <c:v>59.26</c:v>
                </c:pt>
                <c:pt idx="6">
                  <c:v>48.15</c:v>
                </c:pt>
                <c:pt idx="7">
                  <c:v>48.17</c:v>
                </c:pt>
                <c:pt idx="8">
                  <c:v>48.19</c:v>
                </c:pt>
                <c:pt idx="9">
                  <c:v>50.23</c:v>
                </c:pt>
                <c:pt idx="10">
                  <c:v>50.23</c:v>
                </c:pt>
                <c:pt idx="11">
                  <c:v>50.23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8-45EE-AED8-4EF83E3A2205}"/>
            </c:ext>
          </c:extLst>
        </c:ser>
        <c:ser>
          <c:idx val="1"/>
          <c:order val="1"/>
          <c:tx>
            <c:strRef>
              <c:f>D!$C$258</c:f>
              <c:strCache>
                <c:ptCount val="1"/>
                <c:pt idx="0">
                  <c:v>NAJMNIEJSZA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D!$A$259:$A$270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D!$C$259:$C$270</c:f>
              <c:numCache>
                <c:formatCode>General</c:formatCode>
                <c:ptCount val="12"/>
                <c:pt idx="0">
                  <c:v>20.82</c:v>
                </c:pt>
                <c:pt idx="1">
                  <c:v>21.21</c:v>
                </c:pt>
                <c:pt idx="2">
                  <c:v>21.92</c:v>
                </c:pt>
                <c:pt idx="3">
                  <c:v>18.760000000000002</c:v>
                </c:pt>
                <c:pt idx="4">
                  <c:v>18.940000000000001</c:v>
                </c:pt>
                <c:pt idx="5">
                  <c:v>19.12</c:v>
                </c:pt>
                <c:pt idx="6">
                  <c:v>16.04</c:v>
                </c:pt>
                <c:pt idx="7">
                  <c:v>16.079999999999998</c:v>
                </c:pt>
                <c:pt idx="8">
                  <c:v>16.12</c:v>
                </c:pt>
                <c:pt idx="9">
                  <c:v>20.329999999999998</c:v>
                </c:pt>
                <c:pt idx="10">
                  <c:v>20.41</c:v>
                </c:pt>
                <c:pt idx="11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8-45EE-AED8-4EF83E3A2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65024"/>
        <c:axId val="175066944"/>
      </c:lineChart>
      <c:catAx>
        <c:axId val="17506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Fundusze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066944"/>
        <c:crosses val="autoZero"/>
        <c:auto val="1"/>
        <c:lblAlgn val="ctr"/>
        <c:lblOffset val="100"/>
        <c:noMultiLvlLbl val="0"/>
      </c:catAx>
      <c:valAx>
        <c:axId val="17506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Cena jednostki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0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133349</xdr:colOff>
      <xdr:row>248</xdr:row>
      <xdr:rowOff>161925</xdr:rowOff>
    </xdr:from>
    <xdr:to>
      <xdr:col>25</xdr:col>
      <xdr:colOff>85724</xdr:colOff>
      <xdr:row>269</xdr:row>
      <xdr:rowOff>4762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D2769FF-0BB6-97FD-6EB2-702EDCA57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9F78FF-338E-4C26-A29C-3D8243F25273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D4AF3AE-C1AF-4EB2-8BB6-2192A28D011F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324745E-62AF-4D23-ACA0-1B2B13610273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D73E647-AABD-4104-8596-C0DDE0406F69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D6C365-A510-4E26-8756-D7708AE3571A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FF70B-83D6-4AE0-99EF-8ECC58BD49C1}" name="historia3" displayName="historia3" ref="A1:M253" tableType="queryTable" totalsRowCount="1">
  <autoFilter ref="A1:M252" xr:uid="{BDA636AA-9B5E-4338-8998-5E70976F3D94}"/>
  <tableColumns count="13">
    <tableColumn id="1" xr3:uid="{4D892E78-6640-4D10-AB65-AE631ABABCB8}" uniqueName="1" name="Data" queryTableFieldId="1" dataDxfId="5"/>
    <tableColumn id="2" xr3:uid="{67C3048E-BD8C-4A36-8BF7-02D05CE2AE7F}" uniqueName="2" name="A" queryTableFieldId="2"/>
    <tableColumn id="3" xr3:uid="{09A5C831-4406-4007-97F7-1B2AF27468F9}" uniqueName="3" name="B" queryTableFieldId="3"/>
    <tableColumn id="4" xr3:uid="{774760E2-C845-4F3E-8E35-2620A4EB71D4}" uniqueName="4" name="C" queryTableFieldId="4"/>
    <tableColumn id="5" xr3:uid="{13ECE460-660F-47F4-A50E-0E72BF8D0A33}" uniqueName="5" name="D" queryTableFieldId="5"/>
    <tableColumn id="6" xr3:uid="{A4FF469F-6E90-4AAE-8DC4-20726087B1A3}" uniqueName="6" name="E" queryTableFieldId="6"/>
    <tableColumn id="7" xr3:uid="{A0CC9FB1-F209-41C3-AE62-F2F87F27F3B0}" uniqueName="7" name="F" queryTableFieldId="7"/>
    <tableColumn id="8" xr3:uid="{C8ED8780-FB88-499B-9696-EBDF0B95B46F}" uniqueName="8" name="G" queryTableFieldId="8"/>
    <tableColumn id="9" xr3:uid="{F8A38034-64F3-4319-9EC5-4D514CD47B48}" uniqueName="9" name="H" queryTableFieldId="9"/>
    <tableColumn id="10" xr3:uid="{86D67226-4604-453C-B005-871423353119}" uniqueName="10" name="I" queryTableFieldId="10"/>
    <tableColumn id="11" xr3:uid="{B566F754-A795-40C8-8123-6F461E3A88AD}" uniqueName="11" name="J" queryTableFieldId="11"/>
    <tableColumn id="12" xr3:uid="{758BF801-8FE6-40BF-AED0-50D0EF966180}" uniqueName="12" name="K" queryTableFieldId="12"/>
    <tableColumn id="13" xr3:uid="{19786A7D-C214-496C-A346-AE496D08DFD4}" uniqueName="13" name="L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600775-293B-43E5-816D-346C1CB7D1FB}" name="historia4" displayName="historia4" ref="A1:M252" tableType="queryTable" totalsRowShown="0">
  <autoFilter ref="A1:M252" xr:uid="{BDA636AA-9B5E-4338-8998-5E70976F3D94}"/>
  <tableColumns count="13">
    <tableColumn id="1" xr3:uid="{6C8C32C9-BCB1-4CA1-8A30-6DD4EDEA21C8}" uniqueName="1" name="Data" queryTableFieldId="1" dataDxfId="4"/>
    <tableColumn id="2" xr3:uid="{B80F1854-E1B0-42D2-BB66-0BBE3FCF2A04}" uniqueName="2" name="A" queryTableFieldId="2"/>
    <tableColumn id="3" xr3:uid="{259AAF6D-46DD-431B-996D-82485C463563}" uniqueName="3" name="B" queryTableFieldId="3"/>
    <tableColumn id="4" xr3:uid="{BEF9CABC-1620-464D-ABD3-7A07D20E6E18}" uniqueName="4" name="C" queryTableFieldId="4"/>
    <tableColumn id="5" xr3:uid="{0EC08C66-57B0-4C64-967E-6C41535379F8}" uniqueName="5" name="D" queryTableFieldId="5"/>
    <tableColumn id="6" xr3:uid="{B1CCA67B-6830-4A85-B171-AA74B7F3A335}" uniqueName="6" name="E" queryTableFieldId="6"/>
    <tableColumn id="7" xr3:uid="{9A932B91-21B8-40C4-9624-4AE760A78907}" uniqueName="7" name="F" queryTableFieldId="7"/>
    <tableColumn id="8" xr3:uid="{464B0EDC-E9AE-4E75-A3F4-109C00771156}" uniqueName="8" name="G" queryTableFieldId="8"/>
    <tableColumn id="9" xr3:uid="{CF77BEC8-660C-4422-B4B5-5BA3F0BE176D}" uniqueName="9" name="H" queryTableFieldId="9"/>
    <tableColumn id="10" xr3:uid="{D925258F-F693-4859-9658-9A7B341B4518}" uniqueName="10" name="I" queryTableFieldId="10"/>
    <tableColumn id="11" xr3:uid="{CC1BECE6-046E-433C-8E5A-EF05ABFA8457}" uniqueName="11" name="J" queryTableFieldId="11"/>
    <tableColumn id="12" xr3:uid="{FB132F70-D418-4809-9DC6-702C56E04434}" uniqueName="12" name="K" queryTableFieldId="12"/>
    <tableColumn id="13" xr3:uid="{4E0B8F86-54CC-40AB-96DB-FF2FE088C14C}" uniqueName="13" name="L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95F70C-81C7-4885-B410-9B2C20A29170}" name="historia6" displayName="historia6" ref="A1:M252" tableType="queryTable" totalsRowShown="0">
  <autoFilter ref="A1:M252" xr:uid="{BDA636AA-9B5E-4338-8998-5E70976F3D94}"/>
  <tableColumns count="13">
    <tableColumn id="1" xr3:uid="{C5FA8298-CC82-4030-8D3E-0BFC520A00DD}" uniqueName="1" name="Data" queryTableFieldId="1" dataDxfId="3"/>
    <tableColumn id="2" xr3:uid="{29327E51-D4D3-4E75-950B-BC6EAA5E6B19}" uniqueName="2" name="A" queryTableFieldId="2"/>
    <tableColumn id="3" xr3:uid="{6138885D-4A6B-4BF1-BCFC-CEF65E12BAC0}" uniqueName="3" name="B" queryTableFieldId="3"/>
    <tableColumn id="4" xr3:uid="{FEAB48B5-FCA7-4CB2-951B-B2BC61C00807}" uniqueName="4" name="C" queryTableFieldId="4"/>
    <tableColumn id="5" xr3:uid="{431CFC1A-AA5A-40D9-9026-8923DE36291F}" uniqueName="5" name="D" queryTableFieldId="5"/>
    <tableColumn id="6" xr3:uid="{28869FD2-3009-4658-A88C-9DFD58F9BE05}" uniqueName="6" name="E" queryTableFieldId="6"/>
    <tableColumn id="7" xr3:uid="{68E6A863-EC04-4F95-9D8B-4A71F5F3B977}" uniqueName="7" name="F" queryTableFieldId="7"/>
    <tableColumn id="8" xr3:uid="{B98DBCC4-F194-48D7-85B4-A8AB8FA3D2E2}" uniqueName="8" name="G" queryTableFieldId="8"/>
    <tableColumn id="9" xr3:uid="{6ED07767-BC47-4093-8076-0E91266F49EC}" uniqueName="9" name="H" queryTableFieldId="9"/>
    <tableColumn id="10" xr3:uid="{977FD5A4-D3ED-403C-B545-32CEE13DF05A}" uniqueName="10" name="I" queryTableFieldId="10"/>
    <tableColumn id="11" xr3:uid="{158CA0EA-1C1D-47E3-9E22-F6FB7D3DA536}" uniqueName="11" name="J" queryTableFieldId="11"/>
    <tableColumn id="12" xr3:uid="{2FFC5674-68F3-407E-B23A-7ABC485842D2}" uniqueName="12" name="K" queryTableFieldId="12"/>
    <tableColumn id="13" xr3:uid="{8D726944-01A4-4A3E-A419-DEA98C5E5435}" uniqueName="13" name="L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0A5867-EC11-4DAB-930D-BC0EA71C83EB}" name="historia5" displayName="historia5" ref="A1:M252" tableType="queryTable" totalsRowShown="0">
  <autoFilter ref="A1:M252" xr:uid="{BDA636AA-9B5E-4338-8998-5E70976F3D94}"/>
  <tableColumns count="13">
    <tableColumn id="1" xr3:uid="{DB27758C-80BC-44DF-8AC2-0D7C713B9DCB}" uniqueName="1" name="Data" queryTableFieldId="1" dataDxfId="0"/>
    <tableColumn id="2" xr3:uid="{49B748D7-A99C-43DF-8BDC-44BEE3C3AE72}" uniqueName="2" name="A" queryTableFieldId="2"/>
    <tableColumn id="3" xr3:uid="{820B8048-402D-48EF-A8CC-E87984BA10E4}" uniqueName="3" name="B" queryTableFieldId="3"/>
    <tableColumn id="4" xr3:uid="{712CE81F-ED4B-4972-99E2-0635E955C5A2}" uniqueName="4" name="C" queryTableFieldId="4"/>
    <tableColumn id="5" xr3:uid="{B0CE1E5A-5529-4D12-8A63-FFD013C2B44E}" uniqueName="5" name="D" queryTableFieldId="5"/>
    <tableColumn id="6" xr3:uid="{E9E47A06-B2DF-4EF6-A2DA-0050955BFDB2}" uniqueName="6" name="E" queryTableFieldId="6"/>
    <tableColumn id="7" xr3:uid="{37482DC8-8F21-4FB8-9919-34BFA914B4C2}" uniqueName="7" name="F" queryTableFieldId="7"/>
    <tableColumn id="8" xr3:uid="{342044C7-AFCC-4A04-A217-33E71627EA9B}" uniqueName="8" name="G" queryTableFieldId="8"/>
    <tableColumn id="9" xr3:uid="{8027D8C2-01DF-49CF-9A02-B703CD9AA342}" uniqueName="9" name="H" queryTableFieldId="9"/>
    <tableColumn id="10" xr3:uid="{A1188FFD-B79D-41DB-A0AA-0EF2FC62C359}" uniqueName="10" name="I" queryTableFieldId="10"/>
    <tableColumn id="11" xr3:uid="{47808AEB-7B24-4570-A6C9-B08B89BEFB59}" uniqueName="11" name="J" queryTableFieldId="11"/>
    <tableColumn id="12" xr3:uid="{7011B272-B7B5-4D76-BF96-20785994BBEB}" uniqueName="12" name="K" queryTableFieldId="12"/>
    <tableColumn id="13" xr3:uid="{B2DBE3FB-15A6-4168-9DEE-66EA1F636C53}" uniqueName="13" name="L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636AA-9B5E-4338-8998-5E70976F3D94}" name="historia" displayName="historia" ref="A1:M252" tableType="queryTable" totalsRowShown="0">
  <autoFilter ref="A1:M252" xr:uid="{BDA636AA-9B5E-4338-8998-5E70976F3D94}"/>
  <tableColumns count="13">
    <tableColumn id="1" xr3:uid="{F924BDD3-FACD-4681-AF33-FCA1014101A5}" uniqueName="1" name="Data" queryTableFieldId="1" dataDxfId="2"/>
    <tableColumn id="2" xr3:uid="{E1185535-E366-448E-90BC-616C436A0EE9}" uniqueName="2" name="A" queryTableFieldId="2"/>
    <tableColumn id="3" xr3:uid="{D6E5223D-0B63-43AA-B9E3-71898F16C905}" uniqueName="3" name="B" queryTableFieldId="3"/>
    <tableColumn id="4" xr3:uid="{BACFFCEA-87A4-4D3A-A26F-30F35F4CE5A2}" uniqueName="4" name="C" queryTableFieldId="4"/>
    <tableColumn id="5" xr3:uid="{022951C3-1567-4545-ADB6-6929E752F2ED}" uniqueName="5" name="D" queryTableFieldId="5"/>
    <tableColumn id="6" xr3:uid="{6005FF22-5EE5-460C-91F1-17541447192D}" uniqueName="6" name="E" queryTableFieldId="6"/>
    <tableColumn id="7" xr3:uid="{BEE579B7-4A9F-4871-9BE0-CFB871EBE09A}" uniqueName="7" name="F" queryTableFieldId="7"/>
    <tableColumn id="8" xr3:uid="{57110648-5778-40F9-8130-F2F5E8B21BDA}" uniqueName="8" name="G" queryTableFieldId="8"/>
    <tableColumn id="9" xr3:uid="{9E727EC6-C499-4756-83DB-3A25481AC1CA}" uniqueName="9" name="H" queryTableFieldId="9"/>
    <tableColumn id="10" xr3:uid="{C0D05062-D829-4C33-A7A8-3DBDF959F108}" uniqueName="10" name="I" queryTableFieldId="10"/>
    <tableColumn id="11" xr3:uid="{02A5B4DF-F287-440F-B8AC-DB6846CF9BC0}" uniqueName="11" name="J" queryTableFieldId="11"/>
    <tableColumn id="12" xr3:uid="{20971363-51E2-456B-829C-A38A631B50A5}" uniqueName="12" name="K" queryTableFieldId="12"/>
    <tableColumn id="13" xr3:uid="{18B16D63-1827-412C-B69E-D31345094E73}" uniqueName="13" name="L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5AD5-F7AA-48C7-86BD-9374FD674015}">
  <dimension ref="A1:M255"/>
  <sheetViews>
    <sheetView topLeftCell="A226" workbookViewId="0">
      <selection activeCell="A254" sqref="A254:M255"/>
    </sheetView>
  </sheetViews>
  <sheetFormatPr defaultRowHeight="15" x14ac:dyDescent="0.25"/>
  <cols>
    <col min="1" max="1" width="14.140625" bestFit="1" customWidth="1"/>
    <col min="2" max="9" width="11.140625" bestFit="1" customWidth="1"/>
    <col min="10" max="13" width="1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</row>
    <row r="3" spans="1:13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</row>
    <row r="4" spans="1:13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</row>
    <row r="5" spans="1:13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</row>
    <row r="6" spans="1:13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</row>
    <row r="7" spans="1:13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</row>
    <row r="8" spans="1:13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</row>
    <row r="9" spans="1:13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</row>
    <row r="10" spans="1:13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</row>
    <row r="11" spans="1:13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</row>
    <row r="12" spans="1:13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</row>
    <row r="13" spans="1:13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</row>
    <row r="14" spans="1:13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</row>
    <row r="15" spans="1:13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</row>
    <row r="16" spans="1:13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</row>
    <row r="17" spans="1:13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</row>
    <row r="18" spans="1:13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</row>
    <row r="19" spans="1:13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</row>
    <row r="20" spans="1:13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</row>
    <row r="21" spans="1:13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</row>
    <row r="22" spans="1:13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</row>
    <row r="23" spans="1:13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</row>
    <row r="24" spans="1:13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</row>
    <row r="25" spans="1:13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</row>
    <row r="26" spans="1:13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</row>
    <row r="27" spans="1:13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</row>
    <row r="28" spans="1:13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</row>
    <row r="29" spans="1:13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</row>
    <row r="30" spans="1:13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</row>
    <row r="31" spans="1:13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</row>
    <row r="32" spans="1:13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</row>
    <row r="33" spans="1:13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</row>
    <row r="34" spans="1:13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</row>
    <row r="35" spans="1:13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</row>
    <row r="36" spans="1:13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</row>
    <row r="37" spans="1:13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</row>
    <row r="38" spans="1:13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</row>
    <row r="39" spans="1:13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</row>
    <row r="40" spans="1:13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</row>
    <row r="41" spans="1:13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</row>
    <row r="42" spans="1:13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</row>
    <row r="43" spans="1:13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</row>
    <row r="44" spans="1:13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</row>
    <row r="45" spans="1:13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</row>
    <row r="46" spans="1:13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</row>
    <row r="47" spans="1:13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</row>
    <row r="48" spans="1:13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</row>
    <row r="49" spans="1:13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</row>
    <row r="50" spans="1:13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</row>
    <row r="51" spans="1:13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</row>
    <row r="52" spans="1:13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</row>
    <row r="53" spans="1:13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</row>
    <row r="54" spans="1:13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</row>
    <row r="55" spans="1:13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</row>
    <row r="56" spans="1:13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</row>
    <row r="57" spans="1:13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</row>
    <row r="58" spans="1:13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</row>
    <row r="59" spans="1:13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</row>
    <row r="60" spans="1:13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</row>
    <row r="61" spans="1:13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</row>
    <row r="62" spans="1:13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</row>
    <row r="63" spans="1:13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</row>
    <row r="64" spans="1:13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</row>
    <row r="65" spans="1:13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</row>
    <row r="66" spans="1:13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</row>
    <row r="67" spans="1:13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</row>
    <row r="68" spans="1:13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</row>
    <row r="69" spans="1:13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</row>
    <row r="70" spans="1:13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</row>
    <row r="71" spans="1:13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</row>
    <row r="72" spans="1:13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</row>
    <row r="73" spans="1:13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</row>
    <row r="74" spans="1:13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</row>
    <row r="75" spans="1:13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</row>
    <row r="76" spans="1:13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</row>
    <row r="77" spans="1:13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</row>
    <row r="78" spans="1:13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</row>
    <row r="79" spans="1:13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</row>
    <row r="80" spans="1:13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</row>
    <row r="81" spans="1:13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</row>
    <row r="82" spans="1:13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</row>
    <row r="83" spans="1:13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</row>
    <row r="84" spans="1:13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</row>
    <row r="85" spans="1:13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</row>
    <row r="86" spans="1:13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</row>
    <row r="87" spans="1:13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</row>
    <row r="88" spans="1:13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</row>
    <row r="89" spans="1:13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</row>
    <row r="90" spans="1:13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</row>
    <row r="91" spans="1:13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</row>
    <row r="92" spans="1:13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</row>
    <row r="93" spans="1:13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</row>
    <row r="94" spans="1:13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</row>
    <row r="95" spans="1:13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</row>
    <row r="96" spans="1:13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</row>
    <row r="97" spans="1:13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</row>
    <row r="98" spans="1:13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</row>
    <row r="99" spans="1:13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</row>
    <row r="100" spans="1:13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</row>
    <row r="101" spans="1:13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</row>
    <row r="102" spans="1:13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</row>
    <row r="103" spans="1:13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</row>
    <row r="104" spans="1:13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</row>
    <row r="105" spans="1:13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</row>
    <row r="106" spans="1:13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</row>
    <row r="107" spans="1:13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</row>
    <row r="108" spans="1:13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</row>
    <row r="109" spans="1:13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</row>
    <row r="110" spans="1:13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</row>
    <row r="111" spans="1:13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</row>
    <row r="112" spans="1:13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</row>
    <row r="113" spans="1:13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</row>
    <row r="114" spans="1:13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</row>
    <row r="115" spans="1:13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</row>
    <row r="116" spans="1:13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</row>
    <row r="117" spans="1:13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</row>
    <row r="118" spans="1:13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</row>
    <row r="119" spans="1:13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</row>
    <row r="120" spans="1:13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</row>
    <row r="121" spans="1:13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</row>
    <row r="122" spans="1:13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</row>
    <row r="123" spans="1:13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</row>
    <row r="124" spans="1:13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</row>
    <row r="125" spans="1:13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</row>
    <row r="126" spans="1:13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</row>
    <row r="127" spans="1:13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</row>
    <row r="128" spans="1:13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</row>
    <row r="129" spans="1:13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</row>
    <row r="130" spans="1:13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</row>
    <row r="131" spans="1:13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</row>
    <row r="132" spans="1:13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</row>
    <row r="133" spans="1:13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</row>
    <row r="134" spans="1:13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</row>
    <row r="135" spans="1:13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</row>
    <row r="136" spans="1:13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</row>
    <row r="137" spans="1:13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</row>
    <row r="138" spans="1:13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</row>
    <row r="139" spans="1:13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</row>
    <row r="140" spans="1:13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</row>
    <row r="141" spans="1:13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</row>
    <row r="142" spans="1:13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</row>
    <row r="143" spans="1:13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</row>
    <row r="144" spans="1:13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</row>
    <row r="145" spans="1:13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</row>
    <row r="146" spans="1:13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</row>
    <row r="147" spans="1:13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</row>
    <row r="148" spans="1:13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</row>
    <row r="149" spans="1:13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</row>
    <row r="150" spans="1:13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</row>
    <row r="151" spans="1:13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</row>
    <row r="152" spans="1:13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</row>
    <row r="153" spans="1:13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</row>
    <row r="154" spans="1:13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</row>
    <row r="155" spans="1:13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</row>
    <row r="156" spans="1:13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</row>
    <row r="157" spans="1:13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</row>
    <row r="158" spans="1:13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</row>
    <row r="159" spans="1:13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</row>
    <row r="160" spans="1:13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</row>
    <row r="161" spans="1:13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</row>
    <row r="162" spans="1:13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</row>
    <row r="163" spans="1:13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</row>
    <row r="164" spans="1:13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</row>
    <row r="165" spans="1:13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</row>
    <row r="166" spans="1:13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</row>
    <row r="167" spans="1:13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</row>
    <row r="168" spans="1:13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</row>
    <row r="169" spans="1:13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</row>
    <row r="170" spans="1:13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</row>
    <row r="171" spans="1:13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</row>
    <row r="172" spans="1:13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</row>
    <row r="173" spans="1:13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</row>
    <row r="174" spans="1:13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</row>
    <row r="175" spans="1:13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</row>
    <row r="176" spans="1:13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</row>
    <row r="177" spans="1:13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</row>
    <row r="178" spans="1:13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</row>
    <row r="179" spans="1:13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</row>
    <row r="180" spans="1:13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</row>
    <row r="181" spans="1:13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</row>
    <row r="182" spans="1:13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</row>
    <row r="183" spans="1:13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</row>
    <row r="184" spans="1:13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</row>
    <row r="185" spans="1:13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</row>
    <row r="186" spans="1:13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</row>
    <row r="187" spans="1:13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</row>
    <row r="188" spans="1:13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</row>
    <row r="189" spans="1:13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</row>
    <row r="190" spans="1:13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</row>
    <row r="191" spans="1:13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</row>
    <row r="192" spans="1:13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</row>
    <row r="193" spans="1:13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</row>
    <row r="194" spans="1:13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</row>
    <row r="195" spans="1:13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</row>
    <row r="196" spans="1:13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</row>
    <row r="197" spans="1:13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</row>
    <row r="198" spans="1:13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</row>
    <row r="199" spans="1:13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</row>
    <row r="200" spans="1:13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</row>
    <row r="201" spans="1:13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</row>
    <row r="202" spans="1:13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</row>
    <row r="203" spans="1:13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</row>
    <row r="204" spans="1:13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</row>
    <row r="205" spans="1:13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</row>
    <row r="206" spans="1:13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</row>
    <row r="207" spans="1:13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</row>
    <row r="208" spans="1:13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</row>
    <row r="209" spans="1:13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</row>
    <row r="210" spans="1:13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</row>
    <row r="211" spans="1:13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</row>
    <row r="212" spans="1:13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</row>
    <row r="213" spans="1:13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</row>
    <row r="214" spans="1:13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</row>
    <row r="215" spans="1:13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</row>
    <row r="216" spans="1:13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</row>
    <row r="217" spans="1:13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</row>
    <row r="218" spans="1:13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</row>
    <row r="219" spans="1:13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</row>
    <row r="220" spans="1:13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</row>
    <row r="221" spans="1:13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</row>
    <row r="222" spans="1:13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</row>
    <row r="223" spans="1:13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</row>
    <row r="224" spans="1:13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</row>
    <row r="225" spans="1:13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</row>
    <row r="226" spans="1:13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</row>
    <row r="227" spans="1:13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</row>
    <row r="228" spans="1:13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</row>
    <row r="229" spans="1:13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</row>
    <row r="230" spans="1:13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</row>
    <row r="231" spans="1:13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</row>
    <row r="232" spans="1:13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</row>
    <row r="233" spans="1:13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</row>
    <row r="234" spans="1:13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</row>
    <row r="235" spans="1:13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</row>
    <row r="236" spans="1:13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</row>
    <row r="237" spans="1:13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</row>
    <row r="238" spans="1:13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</row>
    <row r="239" spans="1:13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</row>
    <row r="240" spans="1:13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</row>
    <row r="241" spans="1:13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</row>
    <row r="242" spans="1:13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</row>
    <row r="243" spans="1:13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</row>
    <row r="244" spans="1:13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</row>
    <row r="245" spans="1:13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</row>
    <row r="246" spans="1:13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</row>
    <row r="247" spans="1:13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</row>
    <row r="248" spans="1:13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</row>
    <row r="249" spans="1:13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</row>
    <row r="250" spans="1:13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</row>
    <row r="251" spans="1:13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</row>
    <row r="252" spans="1:13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</row>
    <row r="254" spans="1:13" x14ac:dyDescent="0.25">
      <c r="A254" s="2"/>
      <c r="B254" s="3" t="str">
        <f t="shared" ref="B254:M254" si="0">B1</f>
        <v>A</v>
      </c>
      <c r="C254" s="3" t="str">
        <f t="shared" si="0"/>
        <v>B</v>
      </c>
      <c r="D254" s="3" t="str">
        <f t="shared" si="0"/>
        <v>C</v>
      </c>
      <c r="E254" s="3" t="str">
        <f t="shared" si="0"/>
        <v>D</v>
      </c>
      <c r="F254" s="3" t="str">
        <f t="shared" si="0"/>
        <v>E</v>
      </c>
      <c r="G254" s="3" t="str">
        <f t="shared" si="0"/>
        <v>F</v>
      </c>
      <c r="H254" s="3" t="str">
        <f t="shared" si="0"/>
        <v>G</v>
      </c>
      <c r="I254" s="3" t="str">
        <f t="shared" si="0"/>
        <v>H</v>
      </c>
      <c r="J254" s="3" t="str">
        <f t="shared" si="0"/>
        <v>I</v>
      </c>
      <c r="K254" s="3" t="str">
        <f t="shared" si="0"/>
        <v>J</v>
      </c>
      <c r="L254" s="3" t="str">
        <f t="shared" si="0"/>
        <v>K</v>
      </c>
      <c r="M254" s="3" t="str">
        <f t="shared" si="0"/>
        <v>L</v>
      </c>
    </row>
    <row r="255" spans="1:13" x14ac:dyDescent="0.25">
      <c r="A255" s="3" t="s">
        <v>13</v>
      </c>
      <c r="B255" s="3">
        <f>ROUND(AVERAGE(historia3[A]),2)</f>
        <v>36.54</v>
      </c>
      <c r="C255" s="3">
        <f>ROUND(AVERAGE(historia3[B]),2)</f>
        <v>37.14</v>
      </c>
      <c r="D255" s="3">
        <f>ROUND(AVERAGE(historia3[C]),2)</f>
        <v>38.299999999999997</v>
      </c>
      <c r="E255" s="3">
        <f>ROUND(AVERAGE(historia3[D]),2)</f>
        <v>39</v>
      </c>
      <c r="F255" s="3">
        <f>ROUND(AVERAGE(historia3[E]),2)</f>
        <v>39.28</v>
      </c>
      <c r="G255" s="3">
        <f>ROUND(AVERAGE(historia3[F]),2)</f>
        <v>39.56</v>
      </c>
      <c r="H255" s="3">
        <f>ROUND(AVERAGE(historia3[G]),2)</f>
        <v>33.4</v>
      </c>
      <c r="I255" s="3">
        <f>ROUND(AVERAGE(historia3[H]),2)</f>
        <v>33.44</v>
      </c>
      <c r="J255" s="3">
        <f>ROUND(AVERAGE(historia3[I]),2)</f>
        <v>33.49</v>
      </c>
      <c r="K255" s="3">
        <f>ROUND(AVERAGE(historia3[J]),2)</f>
        <v>38.340000000000003</v>
      </c>
      <c r="L255" s="3">
        <f>ROUND(AVERAGE(historia3[K]),2)</f>
        <v>38.42</v>
      </c>
      <c r="M255" s="3">
        <f>ROUND(AVERAGE(historia3[L]),2)</f>
        <v>38.49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E439-6C34-4767-94CA-15A05414C88E}">
  <dimension ref="A1:R252"/>
  <sheetViews>
    <sheetView topLeftCell="C1" workbookViewId="0">
      <selection activeCell="R2" sqref="R2"/>
    </sheetView>
  </sheetViews>
  <sheetFormatPr defaultRowHeight="15" x14ac:dyDescent="0.25"/>
  <cols>
    <col min="1" max="9" width="11.140625" bestFit="1" customWidth="1"/>
    <col min="10" max="13" width="12.140625" bestFit="1" customWidth="1"/>
    <col min="15" max="15" width="24.140625" bestFit="1" customWidth="1"/>
    <col min="17" max="17" width="19.28515625" bestFit="1" customWidth="1"/>
    <col min="18" max="18" width="20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15</v>
      </c>
      <c r="P1" t="s">
        <v>14</v>
      </c>
      <c r="Q1" t="s">
        <v>16</v>
      </c>
      <c r="R1" s="3" t="s">
        <v>17</v>
      </c>
    </row>
    <row r="2" spans="1:18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  <c r="O2">
        <f>SUMIF(historia4[[#This Row],[A]:[L]],"&gt;33",historia4[[#This Row],[A]:[L]])</f>
        <v>627.72</v>
      </c>
      <c r="P2">
        <f>SUM(historia4[[#This Row],[A]:[L]])</f>
        <v>627.72</v>
      </c>
      <c r="Q2">
        <f>IF(O2=P2,1,0)</f>
        <v>1</v>
      </c>
      <c r="R2" s="3">
        <f>SUMIF(Q2:Q252,"=1",Q2:Q252)</f>
        <v>158</v>
      </c>
    </row>
    <row r="3" spans="1:18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  <c r="O3">
        <f>SUMIF(historia4[[#This Row],[A]:[L]],"&gt;33",historia4[[#This Row],[A]:[L]])</f>
        <v>623.21000000000015</v>
      </c>
      <c r="P3">
        <f>SUM(historia4[[#This Row],[A]:[L]])</f>
        <v>623.21000000000015</v>
      </c>
      <c r="Q3">
        <f t="shared" ref="Q3:Q5" si="0">IF(O3=P3,1,0)</f>
        <v>1</v>
      </c>
    </row>
    <row r="4" spans="1:18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  <c r="O4">
        <f>SUMIF(historia4[[#This Row],[A]:[L]],"&gt;33",historia4[[#This Row],[A]:[L]])</f>
        <v>612.66999999999996</v>
      </c>
      <c r="P4">
        <f>SUM(historia4[[#This Row],[A]:[L]])</f>
        <v>612.66999999999996</v>
      </c>
      <c r="Q4">
        <f t="shared" si="0"/>
        <v>1</v>
      </c>
    </row>
    <row r="5" spans="1:18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  <c r="O5">
        <f>SUMIF(historia4[[#This Row],[A]:[L]],"&gt;33",historia4[[#This Row],[A]:[L]])</f>
        <v>603.57000000000005</v>
      </c>
      <c r="P5">
        <f>SUM(historia4[[#This Row],[A]:[L]])</f>
        <v>603.57000000000005</v>
      </c>
      <c r="Q5">
        <f t="shared" si="0"/>
        <v>1</v>
      </c>
    </row>
    <row r="6" spans="1:18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  <c r="O6">
        <f>SUMIF(historia4[[#This Row],[A]:[L]],"&gt;33",historia4[[#This Row],[A]:[L]])</f>
        <v>607.60000000000014</v>
      </c>
      <c r="P6">
        <f>SUM(historia4[[#This Row],[A]:[L]])</f>
        <v>607.60000000000014</v>
      </c>
      <c r="Q6">
        <f t="shared" ref="Q6:Q69" si="1">IF(O6=P6,1,0)</f>
        <v>1</v>
      </c>
    </row>
    <row r="7" spans="1:18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  <c r="O7">
        <f>SUMIF(historia4[[#This Row],[A]:[L]],"&gt;33",historia4[[#This Row],[A]:[L]])</f>
        <v>593.7700000000001</v>
      </c>
      <c r="P7">
        <f>SUM(historia4[[#This Row],[A]:[L]])</f>
        <v>593.7700000000001</v>
      </c>
      <c r="Q7">
        <f t="shared" si="1"/>
        <v>1</v>
      </c>
    </row>
    <row r="8" spans="1:18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  <c r="O8">
        <f>SUMIF(historia4[[#This Row],[A]:[L]],"&gt;33",historia4[[#This Row],[A]:[L]])</f>
        <v>578.91000000000008</v>
      </c>
      <c r="P8">
        <f>SUM(historia4[[#This Row],[A]:[L]])</f>
        <v>578.91000000000008</v>
      </c>
      <c r="Q8">
        <f t="shared" si="1"/>
        <v>1</v>
      </c>
    </row>
    <row r="9" spans="1:18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  <c r="O9">
        <f>SUMIF(historia4[[#This Row],[A]:[L]],"&gt;33",historia4[[#This Row],[A]:[L]])</f>
        <v>571.11</v>
      </c>
      <c r="P9">
        <f>SUM(historia4[[#This Row],[A]:[L]])</f>
        <v>571.11</v>
      </c>
      <c r="Q9">
        <f t="shared" si="1"/>
        <v>1</v>
      </c>
    </row>
    <row r="10" spans="1:18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  <c r="O10">
        <f>SUMIF(historia4[[#This Row],[A]:[L]],"&gt;33",historia4[[#This Row],[A]:[L]])</f>
        <v>571.07999999999993</v>
      </c>
      <c r="P10">
        <f>SUM(historia4[[#This Row],[A]:[L]])</f>
        <v>571.07999999999993</v>
      </c>
      <c r="Q10">
        <f t="shared" si="1"/>
        <v>1</v>
      </c>
    </row>
    <row r="11" spans="1:18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  <c r="O11">
        <f>SUMIF(historia4[[#This Row],[A]:[L]],"&gt;33",historia4[[#This Row],[A]:[L]])</f>
        <v>554.53</v>
      </c>
      <c r="P11">
        <f>SUM(historia4[[#This Row],[A]:[L]])</f>
        <v>554.53</v>
      </c>
      <c r="Q11">
        <f t="shared" si="1"/>
        <v>1</v>
      </c>
    </row>
    <row r="12" spans="1:18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  <c r="O12">
        <f>SUMIF(historia4[[#This Row],[A]:[L]],"&gt;33",historia4[[#This Row],[A]:[L]])</f>
        <v>536.08000000000004</v>
      </c>
      <c r="P12">
        <f>SUM(historia4[[#This Row],[A]:[L]])</f>
        <v>536.08000000000004</v>
      </c>
      <c r="Q12">
        <f t="shared" si="1"/>
        <v>1</v>
      </c>
    </row>
    <row r="13" spans="1:18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  <c r="O13">
        <f>SUMIF(historia4[[#This Row],[A]:[L]],"&gt;33",historia4[[#This Row],[A]:[L]])</f>
        <v>537.32000000000005</v>
      </c>
      <c r="P13">
        <f>SUM(historia4[[#This Row],[A]:[L]])</f>
        <v>537.32000000000005</v>
      </c>
      <c r="Q13">
        <f t="shared" si="1"/>
        <v>1</v>
      </c>
    </row>
    <row r="14" spans="1:18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  <c r="O14">
        <f>SUMIF(historia4[[#This Row],[A]:[L]],"&gt;33",historia4[[#This Row],[A]:[L]])</f>
        <v>538.65</v>
      </c>
      <c r="P14">
        <f>SUM(historia4[[#This Row],[A]:[L]])</f>
        <v>538.65</v>
      </c>
      <c r="Q14">
        <f t="shared" si="1"/>
        <v>1</v>
      </c>
    </row>
    <row r="15" spans="1:18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  <c r="O15">
        <f>SUMIF(historia4[[#This Row],[A]:[L]],"&gt;33",historia4[[#This Row],[A]:[L]])</f>
        <v>509.09000000000009</v>
      </c>
      <c r="P15">
        <f>SUM(historia4[[#This Row],[A]:[L]])</f>
        <v>509.09000000000009</v>
      </c>
      <c r="Q15">
        <f t="shared" si="1"/>
        <v>1</v>
      </c>
    </row>
    <row r="16" spans="1:18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  <c r="O16">
        <f>SUMIF(historia4[[#This Row],[A]:[L]],"&gt;33",historia4[[#This Row],[A]:[L]])</f>
        <v>517.51</v>
      </c>
      <c r="P16">
        <f>SUM(historia4[[#This Row],[A]:[L]])</f>
        <v>517.51</v>
      </c>
      <c r="Q16">
        <f t="shared" si="1"/>
        <v>1</v>
      </c>
    </row>
    <row r="17" spans="1:17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  <c r="O17">
        <f>SUMIF(historia4[[#This Row],[A]:[L]],"&gt;33",historia4[[#This Row],[A]:[L]])</f>
        <v>506.12</v>
      </c>
      <c r="P17">
        <f>SUM(historia4[[#This Row],[A]:[L]])</f>
        <v>506.12</v>
      </c>
      <c r="Q17">
        <f t="shared" si="1"/>
        <v>1</v>
      </c>
    </row>
    <row r="18" spans="1:17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  <c r="O18">
        <f>SUMIF(historia4[[#This Row],[A]:[L]],"&gt;33",historia4[[#This Row],[A]:[L]])</f>
        <v>531.6099999999999</v>
      </c>
      <c r="P18">
        <f>SUM(historia4[[#This Row],[A]:[L]])</f>
        <v>531.6099999999999</v>
      </c>
      <c r="Q18">
        <f t="shared" si="1"/>
        <v>1</v>
      </c>
    </row>
    <row r="19" spans="1:17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  <c r="O19">
        <f>SUMIF(historia4[[#This Row],[A]:[L]],"&gt;33",historia4[[#This Row],[A]:[L]])</f>
        <v>536.63</v>
      </c>
      <c r="P19">
        <f>SUM(historia4[[#This Row],[A]:[L]])</f>
        <v>536.63</v>
      </c>
      <c r="Q19">
        <f t="shared" si="1"/>
        <v>1</v>
      </c>
    </row>
    <row r="20" spans="1:17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  <c r="O20">
        <f>SUMIF(historia4[[#This Row],[A]:[L]],"&gt;33",historia4[[#This Row],[A]:[L]])</f>
        <v>523.79</v>
      </c>
      <c r="P20">
        <f>SUM(historia4[[#This Row],[A]:[L]])</f>
        <v>523.79</v>
      </c>
      <c r="Q20">
        <f t="shared" si="1"/>
        <v>1</v>
      </c>
    </row>
    <row r="21" spans="1:17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  <c r="O21">
        <f>SUMIF(historia4[[#This Row],[A]:[L]],"&gt;33",historia4[[#This Row],[A]:[L]])</f>
        <v>537.36999999999989</v>
      </c>
      <c r="P21">
        <f>SUM(historia4[[#This Row],[A]:[L]])</f>
        <v>537.36999999999989</v>
      </c>
      <c r="Q21">
        <f t="shared" si="1"/>
        <v>1</v>
      </c>
    </row>
    <row r="22" spans="1:17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  <c r="O22">
        <f>SUMIF(historia4[[#This Row],[A]:[L]],"&gt;33",historia4[[#This Row],[A]:[L]])</f>
        <v>534.34</v>
      </c>
      <c r="P22">
        <f>SUM(historia4[[#This Row],[A]:[L]])</f>
        <v>534.34</v>
      </c>
      <c r="Q22">
        <f t="shared" si="1"/>
        <v>1</v>
      </c>
    </row>
    <row r="23" spans="1:17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  <c r="O23">
        <f>SUMIF(historia4[[#This Row],[A]:[L]],"&gt;33",historia4[[#This Row],[A]:[L]])</f>
        <v>529.38</v>
      </c>
      <c r="P23">
        <f>SUM(historia4[[#This Row],[A]:[L]])</f>
        <v>529.38</v>
      </c>
      <c r="Q23">
        <f t="shared" si="1"/>
        <v>1</v>
      </c>
    </row>
    <row r="24" spans="1:17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  <c r="O24">
        <f>SUMIF(historia4[[#This Row],[A]:[L]],"&gt;33",historia4[[#This Row],[A]:[L]])</f>
        <v>539.38</v>
      </c>
      <c r="P24">
        <f>SUM(historia4[[#This Row],[A]:[L]])</f>
        <v>539.38</v>
      </c>
      <c r="Q24">
        <f t="shared" si="1"/>
        <v>1</v>
      </c>
    </row>
    <row r="25" spans="1:17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  <c r="O25">
        <f>SUMIF(historia4[[#This Row],[A]:[L]],"&gt;33",historia4[[#This Row],[A]:[L]])</f>
        <v>543.16</v>
      </c>
      <c r="P25">
        <f>SUM(historia4[[#This Row],[A]:[L]])</f>
        <v>543.16</v>
      </c>
      <c r="Q25">
        <f t="shared" si="1"/>
        <v>1</v>
      </c>
    </row>
    <row r="26" spans="1:17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  <c r="O26">
        <f>SUMIF(historia4[[#This Row],[A]:[L]],"&gt;33",historia4[[#This Row],[A]:[L]])</f>
        <v>528.54999999999995</v>
      </c>
      <c r="P26">
        <f>SUM(historia4[[#This Row],[A]:[L]])</f>
        <v>528.54999999999995</v>
      </c>
      <c r="Q26">
        <f t="shared" si="1"/>
        <v>1</v>
      </c>
    </row>
    <row r="27" spans="1:17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  <c r="O27">
        <f>SUMIF(historia4[[#This Row],[A]:[L]],"&gt;33",historia4[[#This Row],[A]:[L]])</f>
        <v>529.34</v>
      </c>
      <c r="P27">
        <f>SUM(historia4[[#This Row],[A]:[L]])</f>
        <v>529.34</v>
      </c>
      <c r="Q27">
        <f t="shared" si="1"/>
        <v>1</v>
      </c>
    </row>
    <row r="28" spans="1:17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  <c r="O28">
        <f>SUMIF(historia4[[#This Row],[A]:[L]],"&gt;33",historia4[[#This Row],[A]:[L]])</f>
        <v>518.67999999999995</v>
      </c>
      <c r="P28">
        <f>SUM(historia4[[#This Row],[A]:[L]])</f>
        <v>518.67999999999995</v>
      </c>
      <c r="Q28">
        <f t="shared" si="1"/>
        <v>1</v>
      </c>
    </row>
    <row r="29" spans="1:17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  <c r="O29">
        <f>SUMIF(historia4[[#This Row],[A]:[L]],"&gt;33",historia4[[#This Row],[A]:[L]])</f>
        <v>521.86</v>
      </c>
      <c r="P29">
        <f>SUM(historia4[[#This Row],[A]:[L]])</f>
        <v>521.86</v>
      </c>
      <c r="Q29">
        <f t="shared" si="1"/>
        <v>1</v>
      </c>
    </row>
    <row r="30" spans="1:17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  <c r="O30">
        <f>SUMIF(historia4[[#This Row],[A]:[L]],"&gt;33",historia4[[#This Row],[A]:[L]])</f>
        <v>521.78</v>
      </c>
      <c r="P30">
        <f>SUM(historia4[[#This Row],[A]:[L]])</f>
        <v>521.78</v>
      </c>
      <c r="Q30">
        <f t="shared" si="1"/>
        <v>1</v>
      </c>
    </row>
    <row r="31" spans="1:17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  <c r="O31">
        <f>SUMIF(historia4[[#This Row],[A]:[L]],"&gt;33",historia4[[#This Row],[A]:[L]])</f>
        <v>538.47</v>
      </c>
      <c r="P31">
        <f>SUM(historia4[[#This Row],[A]:[L]])</f>
        <v>538.47</v>
      </c>
      <c r="Q31">
        <f t="shared" si="1"/>
        <v>1</v>
      </c>
    </row>
    <row r="32" spans="1:17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  <c r="O32">
        <f>SUMIF(historia4[[#This Row],[A]:[L]],"&gt;33",historia4[[#This Row],[A]:[L]])</f>
        <v>545.46</v>
      </c>
      <c r="P32">
        <f>SUM(historia4[[#This Row],[A]:[L]])</f>
        <v>545.46</v>
      </c>
      <c r="Q32">
        <f t="shared" si="1"/>
        <v>1</v>
      </c>
    </row>
    <row r="33" spans="1:17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  <c r="O33">
        <f>SUMIF(historia4[[#This Row],[A]:[L]],"&gt;33",historia4[[#This Row],[A]:[L]])</f>
        <v>549.66</v>
      </c>
      <c r="P33">
        <f>SUM(historia4[[#This Row],[A]:[L]])</f>
        <v>549.66</v>
      </c>
      <c r="Q33">
        <f t="shared" si="1"/>
        <v>1</v>
      </c>
    </row>
    <row r="34" spans="1:17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  <c r="O34">
        <f>SUMIF(historia4[[#This Row],[A]:[L]],"&gt;33",historia4[[#This Row],[A]:[L]])</f>
        <v>541.04000000000008</v>
      </c>
      <c r="P34">
        <f>SUM(historia4[[#This Row],[A]:[L]])</f>
        <v>541.04000000000008</v>
      </c>
      <c r="Q34">
        <f t="shared" si="1"/>
        <v>1</v>
      </c>
    </row>
    <row r="35" spans="1:17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  <c r="O35">
        <f>SUMIF(historia4[[#This Row],[A]:[L]],"&gt;33",historia4[[#This Row],[A]:[L]])</f>
        <v>551.08000000000004</v>
      </c>
      <c r="P35">
        <f>SUM(historia4[[#This Row],[A]:[L]])</f>
        <v>551.08000000000004</v>
      </c>
      <c r="Q35">
        <f t="shared" si="1"/>
        <v>1</v>
      </c>
    </row>
    <row r="36" spans="1:17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  <c r="O36">
        <f>SUMIF(historia4[[#This Row],[A]:[L]],"&gt;33",historia4[[#This Row],[A]:[L]])</f>
        <v>552.36</v>
      </c>
      <c r="P36">
        <f>SUM(historia4[[#This Row],[A]:[L]])</f>
        <v>552.36</v>
      </c>
      <c r="Q36">
        <f t="shared" si="1"/>
        <v>1</v>
      </c>
    </row>
    <row r="37" spans="1:17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  <c r="O37">
        <f>SUMIF(historia4[[#This Row],[A]:[L]],"&gt;33",historia4[[#This Row],[A]:[L]])</f>
        <v>548.34</v>
      </c>
      <c r="P37">
        <f>SUM(historia4[[#This Row],[A]:[L]])</f>
        <v>548.34</v>
      </c>
      <c r="Q37">
        <f t="shared" si="1"/>
        <v>1</v>
      </c>
    </row>
    <row r="38" spans="1:17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  <c r="O38">
        <f>SUMIF(historia4[[#This Row],[A]:[L]],"&gt;33",historia4[[#This Row],[A]:[L]])</f>
        <v>550.37</v>
      </c>
      <c r="P38">
        <f>SUM(historia4[[#This Row],[A]:[L]])</f>
        <v>550.37</v>
      </c>
      <c r="Q38">
        <f t="shared" si="1"/>
        <v>1</v>
      </c>
    </row>
    <row r="39" spans="1:17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  <c r="O39">
        <f>SUMIF(historia4[[#This Row],[A]:[L]],"&gt;33",historia4[[#This Row],[A]:[L]])</f>
        <v>545.16999999999996</v>
      </c>
      <c r="P39">
        <f>SUM(historia4[[#This Row],[A]:[L]])</f>
        <v>545.16999999999996</v>
      </c>
      <c r="Q39">
        <f t="shared" si="1"/>
        <v>1</v>
      </c>
    </row>
    <row r="40" spans="1:17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  <c r="O40">
        <f>SUMIF(historia4[[#This Row],[A]:[L]],"&gt;33",historia4[[#This Row],[A]:[L]])</f>
        <v>547.95000000000005</v>
      </c>
      <c r="P40">
        <f>SUM(historia4[[#This Row],[A]:[L]])</f>
        <v>547.95000000000005</v>
      </c>
      <c r="Q40">
        <f t="shared" si="1"/>
        <v>1</v>
      </c>
    </row>
    <row r="41" spans="1:17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  <c r="O41">
        <f>SUMIF(historia4[[#This Row],[A]:[L]],"&gt;33",historia4[[#This Row],[A]:[L]])</f>
        <v>547.59</v>
      </c>
      <c r="P41">
        <f>SUM(historia4[[#This Row],[A]:[L]])</f>
        <v>547.59</v>
      </c>
      <c r="Q41">
        <f t="shared" si="1"/>
        <v>1</v>
      </c>
    </row>
    <row r="42" spans="1:17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  <c r="O42">
        <f>SUMIF(historia4[[#This Row],[A]:[L]],"&gt;33",historia4[[#This Row],[A]:[L]])</f>
        <v>548.78</v>
      </c>
      <c r="P42">
        <f>SUM(historia4[[#This Row],[A]:[L]])</f>
        <v>548.78</v>
      </c>
      <c r="Q42">
        <f t="shared" si="1"/>
        <v>1</v>
      </c>
    </row>
    <row r="43" spans="1:17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  <c r="O43">
        <f>SUMIF(historia4[[#This Row],[A]:[L]],"&gt;33",historia4[[#This Row],[A]:[L]])</f>
        <v>541.34</v>
      </c>
      <c r="P43">
        <f>SUM(historia4[[#This Row],[A]:[L]])</f>
        <v>541.34</v>
      </c>
      <c r="Q43">
        <f t="shared" si="1"/>
        <v>1</v>
      </c>
    </row>
    <row r="44" spans="1:17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  <c r="O44">
        <f>SUMIF(historia4[[#This Row],[A]:[L]],"&gt;33",historia4[[#This Row],[A]:[L]])</f>
        <v>530.91</v>
      </c>
      <c r="P44">
        <f>SUM(historia4[[#This Row],[A]:[L]])</f>
        <v>530.91</v>
      </c>
      <c r="Q44">
        <f t="shared" si="1"/>
        <v>1</v>
      </c>
    </row>
    <row r="45" spans="1:17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  <c r="O45">
        <f>SUMIF(historia4[[#This Row],[A]:[L]],"&gt;33",historia4[[#This Row],[A]:[L]])</f>
        <v>518.61</v>
      </c>
      <c r="P45">
        <f>SUM(historia4[[#This Row],[A]:[L]])</f>
        <v>518.61</v>
      </c>
      <c r="Q45">
        <f t="shared" si="1"/>
        <v>1</v>
      </c>
    </row>
    <row r="46" spans="1:17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  <c r="O46">
        <f>SUMIF(historia4[[#This Row],[A]:[L]],"&gt;33",historia4[[#This Row],[A]:[L]])</f>
        <v>508.83000000000004</v>
      </c>
      <c r="P46">
        <f>SUM(historia4[[#This Row],[A]:[L]])</f>
        <v>508.83000000000004</v>
      </c>
      <c r="Q46">
        <f t="shared" si="1"/>
        <v>1</v>
      </c>
    </row>
    <row r="47" spans="1:17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  <c r="O47">
        <f>SUMIF(historia4[[#This Row],[A]:[L]],"&gt;33",historia4[[#This Row],[A]:[L]])</f>
        <v>519.75</v>
      </c>
      <c r="P47">
        <f>SUM(historia4[[#This Row],[A]:[L]])</f>
        <v>519.75</v>
      </c>
      <c r="Q47">
        <f t="shared" si="1"/>
        <v>1</v>
      </c>
    </row>
    <row r="48" spans="1:17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  <c r="O48">
        <f>SUMIF(historia4[[#This Row],[A]:[L]],"&gt;33",historia4[[#This Row],[A]:[L]])</f>
        <v>512.91999999999996</v>
      </c>
      <c r="P48">
        <f>SUM(historia4[[#This Row],[A]:[L]])</f>
        <v>512.91999999999996</v>
      </c>
      <c r="Q48">
        <f t="shared" si="1"/>
        <v>1</v>
      </c>
    </row>
    <row r="49" spans="1:17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  <c r="O49">
        <f>SUMIF(historia4[[#This Row],[A]:[L]],"&gt;33",historia4[[#This Row],[A]:[L]])</f>
        <v>504.65999999999997</v>
      </c>
      <c r="P49">
        <f>SUM(historia4[[#This Row],[A]:[L]])</f>
        <v>504.65999999999997</v>
      </c>
      <c r="Q49">
        <f t="shared" si="1"/>
        <v>1</v>
      </c>
    </row>
    <row r="50" spans="1:17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  <c r="O50">
        <f>SUMIF(historia4[[#This Row],[A]:[L]],"&gt;33",historia4[[#This Row],[A]:[L]])</f>
        <v>502.66999999999996</v>
      </c>
      <c r="P50">
        <f>SUM(historia4[[#This Row],[A]:[L]])</f>
        <v>502.66999999999996</v>
      </c>
      <c r="Q50">
        <f t="shared" si="1"/>
        <v>1</v>
      </c>
    </row>
    <row r="51" spans="1:17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  <c r="O51">
        <f>SUMIF(historia4[[#This Row],[A]:[L]],"&gt;33",historia4[[#This Row],[A]:[L]])</f>
        <v>512.87</v>
      </c>
      <c r="P51">
        <f>SUM(historia4[[#This Row],[A]:[L]])</f>
        <v>512.87</v>
      </c>
      <c r="Q51">
        <f t="shared" si="1"/>
        <v>1</v>
      </c>
    </row>
    <row r="52" spans="1:17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  <c r="O52">
        <f>SUMIF(historia4[[#This Row],[A]:[L]],"&gt;33",historia4[[#This Row],[A]:[L]])</f>
        <v>517.78</v>
      </c>
      <c r="P52">
        <f>SUM(historia4[[#This Row],[A]:[L]])</f>
        <v>517.78</v>
      </c>
      <c r="Q52">
        <f t="shared" si="1"/>
        <v>1</v>
      </c>
    </row>
    <row r="53" spans="1:17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  <c r="O53">
        <f>SUMIF(historia4[[#This Row],[A]:[L]],"&gt;33",historia4[[#This Row],[A]:[L]])</f>
        <v>505.93</v>
      </c>
      <c r="P53">
        <f>SUM(historia4[[#This Row],[A]:[L]])</f>
        <v>505.93</v>
      </c>
      <c r="Q53">
        <f t="shared" si="1"/>
        <v>1</v>
      </c>
    </row>
    <row r="54" spans="1:17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  <c r="O54">
        <f>SUMIF(historia4[[#This Row],[A]:[L]],"&gt;33",historia4[[#This Row],[A]:[L]])</f>
        <v>502.65</v>
      </c>
      <c r="P54">
        <f>SUM(historia4[[#This Row],[A]:[L]])</f>
        <v>502.65</v>
      </c>
      <c r="Q54">
        <f t="shared" si="1"/>
        <v>1</v>
      </c>
    </row>
    <row r="55" spans="1:17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  <c r="O55">
        <f>SUMIF(historia4[[#This Row],[A]:[L]],"&gt;33",historia4[[#This Row],[A]:[L]])</f>
        <v>480</v>
      </c>
      <c r="P55">
        <f>SUM(historia4[[#This Row],[A]:[L]])</f>
        <v>480</v>
      </c>
      <c r="Q55">
        <f t="shared" si="1"/>
        <v>1</v>
      </c>
    </row>
    <row r="56" spans="1:17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  <c r="O56">
        <f>SUMIF(historia4[[#This Row],[A]:[L]],"&gt;33",historia4[[#This Row],[A]:[L]])</f>
        <v>492.35</v>
      </c>
      <c r="P56">
        <f>SUM(historia4[[#This Row],[A]:[L]])</f>
        <v>492.35</v>
      </c>
      <c r="Q56">
        <f t="shared" si="1"/>
        <v>1</v>
      </c>
    </row>
    <row r="57" spans="1:17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  <c r="O57">
        <f>SUMIF(historia4[[#This Row],[A]:[L]],"&gt;33",historia4[[#This Row],[A]:[L]])</f>
        <v>491.23000000000008</v>
      </c>
      <c r="P57">
        <f>SUM(historia4[[#This Row],[A]:[L]])</f>
        <v>491.23000000000008</v>
      </c>
      <c r="Q57">
        <f t="shared" si="1"/>
        <v>1</v>
      </c>
    </row>
    <row r="58" spans="1:17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  <c r="O58">
        <f>SUMIF(historia4[[#This Row],[A]:[L]],"&gt;33",historia4[[#This Row],[A]:[L]])</f>
        <v>485.59</v>
      </c>
      <c r="P58">
        <f>SUM(historia4[[#This Row],[A]:[L]])</f>
        <v>485.59</v>
      </c>
      <c r="Q58">
        <f t="shared" si="1"/>
        <v>1</v>
      </c>
    </row>
    <row r="59" spans="1:17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  <c r="O59">
        <f>SUMIF(historia4[[#This Row],[A]:[L]],"&gt;33",historia4[[#This Row],[A]:[L]])</f>
        <v>501.04</v>
      </c>
      <c r="P59">
        <f>SUM(historia4[[#This Row],[A]:[L]])</f>
        <v>501.04</v>
      </c>
      <c r="Q59">
        <f t="shared" si="1"/>
        <v>1</v>
      </c>
    </row>
    <row r="60" spans="1:17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  <c r="O60">
        <f>SUMIF(historia4[[#This Row],[A]:[L]],"&gt;33",historia4[[#This Row],[A]:[L]])</f>
        <v>500.59000000000003</v>
      </c>
      <c r="P60">
        <f>SUM(historia4[[#This Row],[A]:[L]])</f>
        <v>500.59000000000003</v>
      </c>
      <c r="Q60">
        <f t="shared" si="1"/>
        <v>1</v>
      </c>
    </row>
    <row r="61" spans="1:17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  <c r="O61">
        <f>SUMIF(historia4[[#This Row],[A]:[L]],"&gt;33",historia4[[#This Row],[A]:[L]])</f>
        <v>509.68</v>
      </c>
      <c r="P61">
        <f>SUM(historia4[[#This Row],[A]:[L]])</f>
        <v>509.68</v>
      </c>
      <c r="Q61">
        <f t="shared" si="1"/>
        <v>1</v>
      </c>
    </row>
    <row r="62" spans="1:17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  <c r="O62">
        <f>SUMIF(historia4[[#This Row],[A]:[L]],"&gt;33",historia4[[#This Row],[A]:[L]])</f>
        <v>509.68</v>
      </c>
      <c r="P62">
        <f>SUM(historia4[[#This Row],[A]:[L]])</f>
        <v>509.68</v>
      </c>
      <c r="Q62">
        <f t="shared" si="1"/>
        <v>1</v>
      </c>
    </row>
    <row r="63" spans="1:17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  <c r="O63">
        <f>SUMIF(historia4[[#This Row],[A]:[L]],"&gt;33",historia4[[#This Row],[A]:[L]])</f>
        <v>503.5</v>
      </c>
      <c r="P63">
        <f>SUM(historia4[[#This Row],[A]:[L]])</f>
        <v>503.5</v>
      </c>
      <c r="Q63">
        <f t="shared" si="1"/>
        <v>1</v>
      </c>
    </row>
    <row r="64" spans="1:17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  <c r="O64">
        <f>SUMIF(historia4[[#This Row],[A]:[L]],"&gt;33",historia4[[#This Row],[A]:[L]])</f>
        <v>514.5</v>
      </c>
      <c r="P64">
        <f>SUM(historia4[[#This Row],[A]:[L]])</f>
        <v>514.5</v>
      </c>
      <c r="Q64">
        <f t="shared" si="1"/>
        <v>1</v>
      </c>
    </row>
    <row r="65" spans="1:17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  <c r="O65">
        <f>SUMIF(historia4[[#This Row],[A]:[L]],"&gt;33",historia4[[#This Row],[A]:[L]])</f>
        <v>518.97</v>
      </c>
      <c r="P65">
        <f>SUM(historia4[[#This Row],[A]:[L]])</f>
        <v>518.97</v>
      </c>
      <c r="Q65">
        <f t="shared" si="1"/>
        <v>1</v>
      </c>
    </row>
    <row r="66" spans="1:17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  <c r="O66">
        <f>SUMIF(historia4[[#This Row],[A]:[L]],"&gt;33",historia4[[#This Row],[A]:[L]])</f>
        <v>513.75</v>
      </c>
      <c r="P66">
        <f>SUM(historia4[[#This Row],[A]:[L]])</f>
        <v>513.75</v>
      </c>
      <c r="Q66">
        <f t="shared" si="1"/>
        <v>1</v>
      </c>
    </row>
    <row r="67" spans="1:17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  <c r="O67">
        <f>SUMIF(historia4[[#This Row],[A]:[L]],"&gt;33",historia4[[#This Row],[A]:[L]])</f>
        <v>517.54</v>
      </c>
      <c r="P67">
        <f>SUM(historia4[[#This Row],[A]:[L]])</f>
        <v>517.54</v>
      </c>
      <c r="Q67">
        <f t="shared" si="1"/>
        <v>1</v>
      </c>
    </row>
    <row r="68" spans="1:17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  <c r="O68">
        <f>SUMIF(historia4[[#This Row],[A]:[L]],"&gt;33",historia4[[#This Row],[A]:[L]])</f>
        <v>522.92000000000007</v>
      </c>
      <c r="P68">
        <f>SUM(historia4[[#This Row],[A]:[L]])</f>
        <v>522.92000000000007</v>
      </c>
      <c r="Q68">
        <f t="shared" si="1"/>
        <v>1</v>
      </c>
    </row>
    <row r="69" spans="1:17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  <c r="O69">
        <f>SUMIF(historia4[[#This Row],[A]:[L]],"&gt;33",historia4[[#This Row],[A]:[L]])</f>
        <v>518.56999999999994</v>
      </c>
      <c r="P69">
        <f>SUM(historia4[[#This Row],[A]:[L]])</f>
        <v>518.56999999999994</v>
      </c>
      <c r="Q69">
        <f t="shared" si="1"/>
        <v>1</v>
      </c>
    </row>
    <row r="70" spans="1:17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  <c r="O70">
        <f>SUMIF(historia4[[#This Row],[A]:[L]],"&gt;33",historia4[[#This Row],[A]:[L]])</f>
        <v>518.27</v>
      </c>
      <c r="P70">
        <f>SUM(historia4[[#This Row],[A]:[L]])</f>
        <v>518.27</v>
      </c>
      <c r="Q70">
        <f t="shared" ref="Q70:Q133" si="2">IF(O70=P70,1,0)</f>
        <v>1</v>
      </c>
    </row>
    <row r="71" spans="1:17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  <c r="O71">
        <f>SUMIF(historia4[[#This Row],[A]:[L]],"&gt;33",historia4[[#This Row],[A]:[L]])</f>
        <v>509.52</v>
      </c>
      <c r="P71">
        <f>SUM(historia4[[#This Row],[A]:[L]])</f>
        <v>509.52</v>
      </c>
      <c r="Q71">
        <f t="shared" si="2"/>
        <v>1</v>
      </c>
    </row>
    <row r="72" spans="1:17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  <c r="O72">
        <f>SUMIF(historia4[[#This Row],[A]:[L]],"&gt;33",historia4[[#This Row],[A]:[L]])</f>
        <v>501.56000000000006</v>
      </c>
      <c r="P72">
        <f>SUM(historia4[[#This Row],[A]:[L]])</f>
        <v>501.56000000000006</v>
      </c>
      <c r="Q72">
        <f t="shared" si="2"/>
        <v>1</v>
      </c>
    </row>
    <row r="73" spans="1:17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  <c r="O73">
        <f>SUMIF(historia4[[#This Row],[A]:[L]],"&gt;33",historia4[[#This Row],[A]:[L]])</f>
        <v>498.34999999999997</v>
      </c>
      <c r="P73">
        <f>SUM(historia4[[#This Row],[A]:[L]])</f>
        <v>498.34999999999997</v>
      </c>
      <c r="Q73">
        <f t="shared" si="2"/>
        <v>1</v>
      </c>
    </row>
    <row r="74" spans="1:17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  <c r="O74">
        <f>SUMIF(historia4[[#This Row],[A]:[L]],"&gt;33",historia4[[#This Row],[A]:[L]])</f>
        <v>499.21</v>
      </c>
      <c r="P74">
        <f>SUM(historia4[[#This Row],[A]:[L]])</f>
        <v>499.21</v>
      </c>
      <c r="Q74">
        <f t="shared" si="2"/>
        <v>1</v>
      </c>
    </row>
    <row r="75" spans="1:17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  <c r="O75">
        <f>SUMIF(historia4[[#This Row],[A]:[L]],"&gt;33",historia4[[#This Row],[A]:[L]])</f>
        <v>504.71000000000004</v>
      </c>
      <c r="P75">
        <f>SUM(historia4[[#This Row],[A]:[L]])</f>
        <v>504.71000000000004</v>
      </c>
      <c r="Q75">
        <f t="shared" si="2"/>
        <v>1</v>
      </c>
    </row>
    <row r="76" spans="1:17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  <c r="O76">
        <f>SUMIF(historia4[[#This Row],[A]:[L]],"&gt;33",historia4[[#This Row],[A]:[L]])</f>
        <v>504.68000000000006</v>
      </c>
      <c r="P76">
        <f>SUM(historia4[[#This Row],[A]:[L]])</f>
        <v>504.68000000000006</v>
      </c>
      <c r="Q76">
        <f t="shared" si="2"/>
        <v>1</v>
      </c>
    </row>
    <row r="77" spans="1:17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  <c r="O77">
        <f>SUMIF(historia4[[#This Row],[A]:[L]],"&gt;33",historia4[[#This Row],[A]:[L]])</f>
        <v>511.91000000000008</v>
      </c>
      <c r="P77">
        <f>SUM(historia4[[#This Row],[A]:[L]])</f>
        <v>511.91000000000008</v>
      </c>
      <c r="Q77">
        <f t="shared" si="2"/>
        <v>1</v>
      </c>
    </row>
    <row r="78" spans="1:17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  <c r="O78">
        <f>SUMIF(historia4[[#This Row],[A]:[L]],"&gt;33",historia4[[#This Row],[A]:[L]])</f>
        <v>507.96</v>
      </c>
      <c r="P78">
        <f>SUM(historia4[[#This Row],[A]:[L]])</f>
        <v>507.96</v>
      </c>
      <c r="Q78">
        <f t="shared" si="2"/>
        <v>1</v>
      </c>
    </row>
    <row r="79" spans="1:17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  <c r="O79">
        <f>SUMIF(historia4[[#This Row],[A]:[L]],"&gt;33",historia4[[#This Row],[A]:[L]])</f>
        <v>504.47999999999996</v>
      </c>
      <c r="P79">
        <f>SUM(historia4[[#This Row],[A]:[L]])</f>
        <v>504.47999999999996</v>
      </c>
      <c r="Q79">
        <f t="shared" si="2"/>
        <v>1</v>
      </c>
    </row>
    <row r="80" spans="1:17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  <c r="O80">
        <f>SUMIF(historia4[[#This Row],[A]:[L]],"&gt;33",historia4[[#This Row],[A]:[L]])</f>
        <v>505.58</v>
      </c>
      <c r="P80">
        <f>SUM(historia4[[#This Row],[A]:[L]])</f>
        <v>505.58</v>
      </c>
      <c r="Q80">
        <f t="shared" si="2"/>
        <v>1</v>
      </c>
    </row>
    <row r="81" spans="1:17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  <c r="O81">
        <f>SUMIF(historia4[[#This Row],[A]:[L]],"&gt;33",historia4[[#This Row],[A]:[L]])</f>
        <v>509.60999999999996</v>
      </c>
      <c r="P81">
        <f>SUM(historia4[[#This Row],[A]:[L]])</f>
        <v>509.60999999999996</v>
      </c>
      <c r="Q81">
        <f t="shared" si="2"/>
        <v>1</v>
      </c>
    </row>
    <row r="82" spans="1:17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  <c r="O82">
        <f>SUMIF(historia4[[#This Row],[A]:[L]],"&gt;33",historia4[[#This Row],[A]:[L]])</f>
        <v>516.99999999999989</v>
      </c>
      <c r="P82">
        <f>SUM(historia4[[#This Row],[A]:[L]])</f>
        <v>516.99999999999989</v>
      </c>
      <c r="Q82">
        <f t="shared" si="2"/>
        <v>1</v>
      </c>
    </row>
    <row r="83" spans="1:17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  <c r="O83">
        <f>SUMIF(historia4[[#This Row],[A]:[L]],"&gt;33",historia4[[#This Row],[A]:[L]])</f>
        <v>523.24</v>
      </c>
      <c r="P83">
        <f>SUM(historia4[[#This Row],[A]:[L]])</f>
        <v>523.24</v>
      </c>
      <c r="Q83">
        <f t="shared" si="2"/>
        <v>1</v>
      </c>
    </row>
    <row r="84" spans="1:17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  <c r="O84">
        <f>SUMIF(historia4[[#This Row],[A]:[L]],"&gt;33",historia4[[#This Row],[A]:[L]])</f>
        <v>519.75</v>
      </c>
      <c r="P84">
        <f>SUM(historia4[[#This Row],[A]:[L]])</f>
        <v>519.75</v>
      </c>
      <c r="Q84">
        <f t="shared" si="2"/>
        <v>1</v>
      </c>
    </row>
    <row r="85" spans="1:17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  <c r="O85">
        <f>SUMIF(historia4[[#This Row],[A]:[L]],"&gt;33",historia4[[#This Row],[A]:[L]])</f>
        <v>526.37</v>
      </c>
      <c r="P85">
        <f>SUM(historia4[[#This Row],[A]:[L]])</f>
        <v>526.37</v>
      </c>
      <c r="Q85">
        <f t="shared" si="2"/>
        <v>1</v>
      </c>
    </row>
    <row r="86" spans="1:17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  <c r="O86">
        <f>SUMIF(historia4[[#This Row],[A]:[L]],"&gt;33",historia4[[#This Row],[A]:[L]])</f>
        <v>534.31999999999994</v>
      </c>
      <c r="P86">
        <f>SUM(historia4[[#This Row],[A]:[L]])</f>
        <v>534.31999999999994</v>
      </c>
      <c r="Q86">
        <f t="shared" si="2"/>
        <v>1</v>
      </c>
    </row>
    <row r="87" spans="1:17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  <c r="O87">
        <f>SUMIF(historia4[[#This Row],[A]:[L]],"&gt;33",historia4[[#This Row],[A]:[L]])</f>
        <v>531.83999999999992</v>
      </c>
      <c r="P87">
        <f>SUM(historia4[[#This Row],[A]:[L]])</f>
        <v>531.83999999999992</v>
      </c>
      <c r="Q87">
        <f t="shared" si="2"/>
        <v>1</v>
      </c>
    </row>
    <row r="88" spans="1:17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  <c r="O88">
        <f>SUMIF(historia4[[#This Row],[A]:[L]],"&gt;33",historia4[[#This Row],[A]:[L]])</f>
        <v>539.1</v>
      </c>
      <c r="P88">
        <f>SUM(historia4[[#This Row],[A]:[L]])</f>
        <v>539.1</v>
      </c>
      <c r="Q88">
        <f t="shared" si="2"/>
        <v>1</v>
      </c>
    </row>
    <row r="89" spans="1:17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  <c r="O89">
        <f>SUMIF(historia4[[#This Row],[A]:[L]],"&gt;33",historia4[[#This Row],[A]:[L]])</f>
        <v>533.69999999999993</v>
      </c>
      <c r="P89">
        <f>SUM(historia4[[#This Row],[A]:[L]])</f>
        <v>533.69999999999993</v>
      </c>
      <c r="Q89">
        <f t="shared" si="2"/>
        <v>1</v>
      </c>
    </row>
    <row r="90" spans="1:17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  <c r="O90">
        <f>SUMIF(historia4[[#This Row],[A]:[L]],"&gt;33",historia4[[#This Row],[A]:[L]])</f>
        <v>529.3599999999999</v>
      </c>
      <c r="P90">
        <f>SUM(historia4[[#This Row],[A]:[L]])</f>
        <v>529.3599999999999</v>
      </c>
      <c r="Q90">
        <f t="shared" si="2"/>
        <v>1</v>
      </c>
    </row>
    <row r="91" spans="1:17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  <c r="O91">
        <f>SUMIF(historia4[[#This Row],[A]:[L]],"&gt;33",historia4[[#This Row],[A]:[L]])</f>
        <v>528.9</v>
      </c>
      <c r="P91">
        <f>SUM(historia4[[#This Row],[A]:[L]])</f>
        <v>528.9</v>
      </c>
      <c r="Q91">
        <f t="shared" si="2"/>
        <v>1</v>
      </c>
    </row>
    <row r="92" spans="1:17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  <c r="O92">
        <f>SUMIF(historia4[[#This Row],[A]:[L]],"&gt;33",historia4[[#This Row],[A]:[L]])</f>
        <v>531.81999999999994</v>
      </c>
      <c r="P92">
        <f>SUM(historia4[[#This Row],[A]:[L]])</f>
        <v>531.81999999999994</v>
      </c>
      <c r="Q92">
        <f t="shared" si="2"/>
        <v>1</v>
      </c>
    </row>
    <row r="93" spans="1:17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  <c r="O93">
        <f>SUMIF(historia4[[#This Row],[A]:[L]],"&gt;33",historia4[[#This Row],[A]:[L]])</f>
        <v>538.1400000000001</v>
      </c>
      <c r="P93">
        <f>SUM(historia4[[#This Row],[A]:[L]])</f>
        <v>538.1400000000001</v>
      </c>
      <c r="Q93">
        <f t="shared" si="2"/>
        <v>1</v>
      </c>
    </row>
    <row r="94" spans="1:17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  <c r="O94">
        <f>SUMIF(historia4[[#This Row],[A]:[L]],"&gt;33",historia4[[#This Row],[A]:[L]])</f>
        <v>538.18999999999994</v>
      </c>
      <c r="P94">
        <f>SUM(historia4[[#This Row],[A]:[L]])</f>
        <v>538.18999999999994</v>
      </c>
      <c r="Q94">
        <f t="shared" si="2"/>
        <v>1</v>
      </c>
    </row>
    <row r="95" spans="1:17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  <c r="O95">
        <f>SUMIF(historia4[[#This Row],[A]:[L]],"&gt;33",historia4[[#This Row],[A]:[L]])</f>
        <v>544.66</v>
      </c>
      <c r="P95">
        <f>SUM(historia4[[#This Row],[A]:[L]])</f>
        <v>544.66</v>
      </c>
      <c r="Q95">
        <f t="shared" si="2"/>
        <v>1</v>
      </c>
    </row>
    <row r="96" spans="1:17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  <c r="O96">
        <f>SUMIF(historia4[[#This Row],[A]:[L]],"&gt;33",historia4[[#This Row],[A]:[L]])</f>
        <v>546.32000000000005</v>
      </c>
      <c r="P96">
        <f>SUM(historia4[[#This Row],[A]:[L]])</f>
        <v>546.32000000000005</v>
      </c>
      <c r="Q96">
        <f t="shared" si="2"/>
        <v>1</v>
      </c>
    </row>
    <row r="97" spans="1:17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  <c r="O97">
        <f>SUMIF(historia4[[#This Row],[A]:[L]],"&gt;33",historia4[[#This Row],[A]:[L]])</f>
        <v>538.46999999999991</v>
      </c>
      <c r="P97">
        <f>SUM(historia4[[#This Row],[A]:[L]])</f>
        <v>538.46999999999991</v>
      </c>
      <c r="Q97">
        <f t="shared" si="2"/>
        <v>1</v>
      </c>
    </row>
    <row r="98" spans="1:17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  <c r="O98">
        <f>SUMIF(historia4[[#This Row],[A]:[L]],"&gt;33",historia4[[#This Row],[A]:[L]])</f>
        <v>537.69000000000005</v>
      </c>
      <c r="P98">
        <f>SUM(historia4[[#This Row],[A]:[L]])</f>
        <v>537.69000000000005</v>
      </c>
      <c r="Q98">
        <f t="shared" si="2"/>
        <v>1</v>
      </c>
    </row>
    <row r="99" spans="1:17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  <c r="O99">
        <f>SUMIF(historia4[[#This Row],[A]:[L]],"&gt;33",historia4[[#This Row],[A]:[L]])</f>
        <v>532.70999999999992</v>
      </c>
      <c r="P99">
        <f>SUM(historia4[[#This Row],[A]:[L]])</f>
        <v>532.70999999999992</v>
      </c>
      <c r="Q99">
        <f t="shared" si="2"/>
        <v>1</v>
      </c>
    </row>
    <row r="100" spans="1:17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  <c r="O100">
        <f>SUMIF(historia4[[#This Row],[A]:[L]],"&gt;33",historia4[[#This Row],[A]:[L]])</f>
        <v>530.88</v>
      </c>
      <c r="P100">
        <f>SUM(historia4[[#This Row],[A]:[L]])</f>
        <v>530.88</v>
      </c>
      <c r="Q100">
        <f t="shared" si="2"/>
        <v>1</v>
      </c>
    </row>
    <row r="101" spans="1:17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  <c r="O101">
        <f>SUMIF(historia4[[#This Row],[A]:[L]],"&gt;33",historia4[[#This Row],[A]:[L]])</f>
        <v>530.93000000000006</v>
      </c>
      <c r="P101">
        <f>SUM(historia4[[#This Row],[A]:[L]])</f>
        <v>530.93000000000006</v>
      </c>
      <c r="Q101">
        <f t="shared" si="2"/>
        <v>1</v>
      </c>
    </row>
    <row r="102" spans="1:17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  <c r="O102">
        <f>SUMIF(historia4[[#This Row],[A]:[L]],"&gt;33",historia4[[#This Row],[A]:[L]])</f>
        <v>536.41</v>
      </c>
      <c r="P102">
        <f>SUM(historia4[[#This Row],[A]:[L]])</f>
        <v>536.41</v>
      </c>
      <c r="Q102">
        <f t="shared" si="2"/>
        <v>1</v>
      </c>
    </row>
    <row r="103" spans="1:17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  <c r="O103">
        <f>SUMIF(historia4[[#This Row],[A]:[L]],"&gt;33",historia4[[#This Row],[A]:[L]])</f>
        <v>533.30000000000007</v>
      </c>
      <c r="P103">
        <f>SUM(historia4[[#This Row],[A]:[L]])</f>
        <v>533.30000000000007</v>
      </c>
      <c r="Q103">
        <f t="shared" si="2"/>
        <v>1</v>
      </c>
    </row>
    <row r="104" spans="1:17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  <c r="O104">
        <f>SUMIF(historia4[[#This Row],[A]:[L]],"&gt;33",historia4[[#This Row],[A]:[L]])</f>
        <v>536.84999999999991</v>
      </c>
      <c r="P104">
        <f>SUM(historia4[[#This Row],[A]:[L]])</f>
        <v>536.84999999999991</v>
      </c>
      <c r="Q104">
        <f t="shared" si="2"/>
        <v>1</v>
      </c>
    </row>
    <row r="105" spans="1:17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  <c r="O105">
        <f>SUMIF(historia4[[#This Row],[A]:[L]],"&gt;33",historia4[[#This Row],[A]:[L]])</f>
        <v>534.53</v>
      </c>
      <c r="P105">
        <f>SUM(historia4[[#This Row],[A]:[L]])</f>
        <v>534.53</v>
      </c>
      <c r="Q105">
        <f t="shared" si="2"/>
        <v>1</v>
      </c>
    </row>
    <row r="106" spans="1:17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  <c r="O106">
        <f>SUMIF(historia4[[#This Row],[A]:[L]],"&gt;33",historia4[[#This Row],[A]:[L]])</f>
        <v>533.58000000000004</v>
      </c>
      <c r="P106">
        <f>SUM(historia4[[#This Row],[A]:[L]])</f>
        <v>533.58000000000004</v>
      </c>
      <c r="Q106">
        <f t="shared" si="2"/>
        <v>1</v>
      </c>
    </row>
    <row r="107" spans="1:17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  <c r="O107">
        <f>SUMIF(historia4[[#This Row],[A]:[L]],"&gt;33",historia4[[#This Row],[A]:[L]])</f>
        <v>526.31000000000006</v>
      </c>
      <c r="P107">
        <f>SUM(historia4[[#This Row],[A]:[L]])</f>
        <v>526.31000000000006</v>
      </c>
      <c r="Q107">
        <f t="shared" si="2"/>
        <v>1</v>
      </c>
    </row>
    <row r="108" spans="1:17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  <c r="O108">
        <f>SUMIF(historia4[[#This Row],[A]:[L]],"&gt;33",historia4[[#This Row],[A]:[L]])</f>
        <v>527.89</v>
      </c>
      <c r="P108">
        <f>SUM(historia4[[#This Row],[A]:[L]])</f>
        <v>527.89</v>
      </c>
      <c r="Q108">
        <f t="shared" si="2"/>
        <v>1</v>
      </c>
    </row>
    <row r="109" spans="1:17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  <c r="O109">
        <f>SUMIF(historia4[[#This Row],[A]:[L]],"&gt;33",historia4[[#This Row],[A]:[L]])</f>
        <v>523.42000000000007</v>
      </c>
      <c r="P109">
        <f>SUM(historia4[[#This Row],[A]:[L]])</f>
        <v>523.42000000000007</v>
      </c>
      <c r="Q109">
        <f t="shared" si="2"/>
        <v>1</v>
      </c>
    </row>
    <row r="110" spans="1:17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  <c r="O110">
        <f>SUMIF(historia4[[#This Row],[A]:[L]],"&gt;33",historia4[[#This Row],[A]:[L]])</f>
        <v>518.31000000000006</v>
      </c>
      <c r="P110">
        <f>SUM(historia4[[#This Row],[A]:[L]])</f>
        <v>518.31000000000006</v>
      </c>
      <c r="Q110">
        <f t="shared" si="2"/>
        <v>1</v>
      </c>
    </row>
    <row r="111" spans="1:17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  <c r="O111">
        <f>SUMIF(historia4[[#This Row],[A]:[L]],"&gt;33",historia4[[#This Row],[A]:[L]])</f>
        <v>507.08000000000004</v>
      </c>
      <c r="P111">
        <f>SUM(historia4[[#This Row],[A]:[L]])</f>
        <v>507.08000000000004</v>
      </c>
      <c r="Q111">
        <f t="shared" si="2"/>
        <v>1</v>
      </c>
    </row>
    <row r="112" spans="1:17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  <c r="O112">
        <f>SUMIF(historia4[[#This Row],[A]:[L]],"&gt;33",historia4[[#This Row],[A]:[L]])</f>
        <v>499.39000000000004</v>
      </c>
      <c r="P112">
        <f>SUM(historia4[[#This Row],[A]:[L]])</f>
        <v>499.39000000000004</v>
      </c>
      <c r="Q112">
        <f t="shared" si="2"/>
        <v>1</v>
      </c>
    </row>
    <row r="113" spans="1:17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  <c r="O113">
        <f>SUMIF(historia4[[#This Row],[A]:[L]],"&gt;33",historia4[[#This Row],[A]:[L]])</f>
        <v>506.58</v>
      </c>
      <c r="P113">
        <f>SUM(historia4[[#This Row],[A]:[L]])</f>
        <v>506.58</v>
      </c>
      <c r="Q113">
        <f t="shared" si="2"/>
        <v>1</v>
      </c>
    </row>
    <row r="114" spans="1:17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  <c r="O114">
        <f>SUMIF(historia4[[#This Row],[A]:[L]],"&gt;33",historia4[[#This Row],[A]:[L]])</f>
        <v>509.67</v>
      </c>
      <c r="P114">
        <f>SUM(historia4[[#This Row],[A]:[L]])</f>
        <v>509.67</v>
      </c>
      <c r="Q114">
        <f t="shared" si="2"/>
        <v>1</v>
      </c>
    </row>
    <row r="115" spans="1:17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  <c r="O115">
        <f>SUMIF(historia4[[#This Row],[A]:[L]],"&gt;33",historia4[[#This Row],[A]:[L]])</f>
        <v>510.18999999999994</v>
      </c>
      <c r="P115">
        <f>SUM(historia4[[#This Row],[A]:[L]])</f>
        <v>510.18999999999994</v>
      </c>
      <c r="Q115">
        <f t="shared" si="2"/>
        <v>1</v>
      </c>
    </row>
    <row r="116" spans="1:17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  <c r="O116">
        <f>SUMIF(historia4[[#This Row],[A]:[L]],"&gt;33",historia4[[#This Row],[A]:[L]])</f>
        <v>514.12</v>
      </c>
      <c r="P116">
        <f>SUM(historia4[[#This Row],[A]:[L]])</f>
        <v>514.12</v>
      </c>
      <c r="Q116">
        <f t="shared" si="2"/>
        <v>1</v>
      </c>
    </row>
    <row r="117" spans="1:17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  <c r="O117">
        <f>SUMIF(historia4[[#This Row],[A]:[L]],"&gt;33",historia4[[#This Row],[A]:[L]])</f>
        <v>507.13000000000011</v>
      </c>
      <c r="P117">
        <f>SUM(historia4[[#This Row],[A]:[L]])</f>
        <v>507.13000000000011</v>
      </c>
      <c r="Q117">
        <f t="shared" si="2"/>
        <v>1</v>
      </c>
    </row>
    <row r="118" spans="1:17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  <c r="O118">
        <f>SUMIF(historia4[[#This Row],[A]:[L]],"&gt;33",historia4[[#This Row],[A]:[L]])</f>
        <v>504.94000000000005</v>
      </c>
      <c r="P118">
        <f>SUM(historia4[[#This Row],[A]:[L]])</f>
        <v>504.94000000000005</v>
      </c>
      <c r="Q118">
        <f t="shared" si="2"/>
        <v>1</v>
      </c>
    </row>
    <row r="119" spans="1:17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  <c r="O119">
        <f>SUMIF(historia4[[#This Row],[A]:[L]],"&gt;33",historia4[[#This Row],[A]:[L]])</f>
        <v>499.63</v>
      </c>
      <c r="P119">
        <f>SUM(historia4[[#This Row],[A]:[L]])</f>
        <v>499.63</v>
      </c>
      <c r="Q119">
        <f t="shared" si="2"/>
        <v>1</v>
      </c>
    </row>
    <row r="120" spans="1:17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  <c r="O120">
        <f>SUMIF(historia4[[#This Row],[A]:[L]],"&gt;33",historia4[[#This Row],[A]:[L]])</f>
        <v>496.14000000000004</v>
      </c>
      <c r="P120">
        <f>SUM(historia4[[#This Row],[A]:[L]])</f>
        <v>496.14000000000004</v>
      </c>
      <c r="Q120">
        <f t="shared" si="2"/>
        <v>1</v>
      </c>
    </row>
    <row r="121" spans="1:17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  <c r="O121">
        <f>SUMIF(historia4[[#This Row],[A]:[L]],"&gt;33",historia4[[#This Row],[A]:[L]])</f>
        <v>489.78999999999996</v>
      </c>
      <c r="P121">
        <f>SUM(historia4[[#This Row],[A]:[L]])</f>
        <v>489.78999999999996</v>
      </c>
      <c r="Q121">
        <f t="shared" si="2"/>
        <v>1</v>
      </c>
    </row>
    <row r="122" spans="1:17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  <c r="O122">
        <f>SUMIF(historia4[[#This Row],[A]:[L]],"&gt;33",historia4[[#This Row],[A]:[L]])</f>
        <v>493.66</v>
      </c>
      <c r="P122">
        <f>SUM(historia4[[#This Row],[A]:[L]])</f>
        <v>493.66</v>
      </c>
      <c r="Q122">
        <f t="shared" si="2"/>
        <v>1</v>
      </c>
    </row>
    <row r="123" spans="1:17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  <c r="O123">
        <f>SUMIF(historia4[[#This Row],[A]:[L]],"&gt;33",historia4[[#This Row],[A]:[L]])</f>
        <v>483.73</v>
      </c>
      <c r="P123">
        <f>SUM(historia4[[#This Row],[A]:[L]])</f>
        <v>483.73</v>
      </c>
      <c r="Q123">
        <f t="shared" si="2"/>
        <v>1</v>
      </c>
    </row>
    <row r="124" spans="1:17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  <c r="O124">
        <f>SUMIF(historia4[[#This Row],[A]:[L]],"&gt;33",historia4[[#This Row],[A]:[L]])</f>
        <v>479.66999999999985</v>
      </c>
      <c r="P124">
        <f>SUM(historia4[[#This Row],[A]:[L]])</f>
        <v>479.66999999999985</v>
      </c>
      <c r="Q124">
        <f t="shared" si="2"/>
        <v>1</v>
      </c>
    </row>
    <row r="125" spans="1:17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  <c r="O125">
        <f>SUMIF(historia4[[#This Row],[A]:[L]],"&gt;33",historia4[[#This Row],[A]:[L]])</f>
        <v>476.62000000000006</v>
      </c>
      <c r="P125">
        <f>SUM(historia4[[#This Row],[A]:[L]])</f>
        <v>476.62000000000006</v>
      </c>
      <c r="Q125">
        <f t="shared" si="2"/>
        <v>1</v>
      </c>
    </row>
    <row r="126" spans="1:17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  <c r="O126">
        <f>SUMIF(historia4[[#This Row],[A]:[L]],"&gt;33",historia4[[#This Row],[A]:[L]])</f>
        <v>464.75000000000006</v>
      </c>
      <c r="P126">
        <f>SUM(historia4[[#This Row],[A]:[L]])</f>
        <v>464.75000000000006</v>
      </c>
      <c r="Q126">
        <f t="shared" si="2"/>
        <v>1</v>
      </c>
    </row>
    <row r="127" spans="1:17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  <c r="O127">
        <f>SUMIF(historia4[[#This Row],[A]:[L]],"&gt;33",historia4[[#This Row],[A]:[L]])</f>
        <v>459.40000000000003</v>
      </c>
      <c r="P127">
        <f>SUM(historia4[[#This Row],[A]:[L]])</f>
        <v>459.40000000000003</v>
      </c>
      <c r="Q127">
        <f t="shared" si="2"/>
        <v>1</v>
      </c>
    </row>
    <row r="128" spans="1:17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  <c r="O128">
        <f>SUMIF(historia4[[#This Row],[A]:[L]],"&gt;33",historia4[[#This Row],[A]:[L]])</f>
        <v>459.15000000000003</v>
      </c>
      <c r="P128">
        <f>SUM(historia4[[#This Row],[A]:[L]])</f>
        <v>459.15000000000003</v>
      </c>
      <c r="Q128">
        <f t="shared" si="2"/>
        <v>1</v>
      </c>
    </row>
    <row r="129" spans="1:17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  <c r="O129">
        <f>SUMIF(historia4[[#This Row],[A]:[L]],"&gt;33",historia4[[#This Row],[A]:[L]])</f>
        <v>351.07</v>
      </c>
      <c r="P129">
        <f>SUM(historia4[[#This Row],[A]:[L]])</f>
        <v>448.90000000000003</v>
      </c>
      <c r="Q129">
        <f t="shared" si="2"/>
        <v>0</v>
      </c>
    </row>
    <row r="130" spans="1:17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  <c r="O130">
        <f>SUMIF(historia4[[#This Row],[A]:[L]],"&gt;33",historia4[[#This Row],[A]:[L]])</f>
        <v>454.23000000000008</v>
      </c>
      <c r="P130">
        <f>SUM(historia4[[#This Row],[A]:[L]])</f>
        <v>454.23000000000008</v>
      </c>
      <c r="Q130">
        <f t="shared" si="2"/>
        <v>1</v>
      </c>
    </row>
    <row r="131" spans="1:17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  <c r="O131">
        <f>SUMIF(historia4[[#This Row],[A]:[L]],"&gt;33",historia4[[#This Row],[A]:[L]])</f>
        <v>348.59</v>
      </c>
      <c r="P131">
        <f>SUM(historia4[[#This Row],[A]:[L]])</f>
        <v>446.9500000000001</v>
      </c>
      <c r="Q131">
        <f t="shared" si="2"/>
        <v>0</v>
      </c>
    </row>
    <row r="132" spans="1:17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  <c r="O132">
        <f>SUMIF(historia4[[#This Row],[A]:[L]],"&gt;33",historia4[[#This Row],[A]:[L]])</f>
        <v>453.72</v>
      </c>
      <c r="P132">
        <f>SUM(historia4[[#This Row],[A]:[L]])</f>
        <v>453.72</v>
      </c>
      <c r="Q132">
        <f t="shared" si="2"/>
        <v>1</v>
      </c>
    </row>
    <row r="133" spans="1:17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  <c r="O133">
        <f>SUMIF(historia4[[#This Row],[A]:[L]],"&gt;33",historia4[[#This Row],[A]:[L]])</f>
        <v>345.67999999999995</v>
      </c>
      <c r="P133">
        <f>SUM(historia4[[#This Row],[A]:[L]])</f>
        <v>442.57</v>
      </c>
      <c r="Q133">
        <f t="shared" si="2"/>
        <v>0</v>
      </c>
    </row>
    <row r="134" spans="1:17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  <c r="O134">
        <f>SUMIF(historia4[[#This Row],[A]:[L]],"&gt;33",historia4[[#This Row],[A]:[L]])</f>
        <v>339.50000000000006</v>
      </c>
      <c r="P134">
        <f>SUM(historia4[[#This Row],[A]:[L]])</f>
        <v>433.04</v>
      </c>
      <c r="Q134">
        <f t="shared" ref="Q134:Q197" si="3">IF(O134=P134,1,0)</f>
        <v>0</v>
      </c>
    </row>
    <row r="135" spans="1:17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  <c r="O135">
        <f>SUMIF(historia4[[#This Row],[A]:[L]],"&gt;33",historia4[[#This Row],[A]:[L]])</f>
        <v>340.12</v>
      </c>
      <c r="P135">
        <f>SUM(historia4[[#This Row],[A]:[L]])</f>
        <v>434.22</v>
      </c>
      <c r="Q135">
        <f t="shared" si="3"/>
        <v>0</v>
      </c>
    </row>
    <row r="136" spans="1:17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  <c r="O136">
        <f>SUMIF(historia4[[#This Row],[A]:[L]],"&gt;33",historia4[[#This Row],[A]:[L]])</f>
        <v>331.61</v>
      </c>
      <c r="P136">
        <f>SUM(historia4[[#This Row],[A]:[L]])</f>
        <v>423.51000000000005</v>
      </c>
      <c r="Q136">
        <f t="shared" si="3"/>
        <v>0</v>
      </c>
    </row>
    <row r="137" spans="1:17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  <c r="O137">
        <f>SUMIF(historia4[[#This Row],[A]:[L]],"&gt;33",historia4[[#This Row],[A]:[L]])</f>
        <v>332.34</v>
      </c>
      <c r="P137">
        <f>SUM(historia4[[#This Row],[A]:[L]])</f>
        <v>424.4799999999999</v>
      </c>
      <c r="Q137">
        <f t="shared" si="3"/>
        <v>0</v>
      </c>
    </row>
    <row r="138" spans="1:17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  <c r="O138">
        <f>SUMIF(historia4[[#This Row],[A]:[L]],"&gt;33",historia4[[#This Row],[A]:[L]])</f>
        <v>340.74</v>
      </c>
      <c r="P138">
        <f>SUM(historia4[[#This Row],[A]:[L]])</f>
        <v>435.61</v>
      </c>
      <c r="Q138">
        <f t="shared" si="3"/>
        <v>0</v>
      </c>
    </row>
    <row r="139" spans="1:17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  <c r="O139">
        <f>SUMIF(historia4[[#This Row],[A]:[L]],"&gt;33",historia4[[#This Row],[A]:[L]])</f>
        <v>342.07</v>
      </c>
      <c r="P139">
        <f>SUM(historia4[[#This Row],[A]:[L]])</f>
        <v>438.09</v>
      </c>
      <c r="Q139">
        <f t="shared" si="3"/>
        <v>0</v>
      </c>
    </row>
    <row r="140" spans="1:17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  <c r="O140">
        <f>SUMIF(historia4[[#This Row],[A]:[L]],"&gt;33",historia4[[#This Row],[A]:[L]])</f>
        <v>346.30000000000007</v>
      </c>
      <c r="P140">
        <f>SUM(historia4[[#This Row],[A]:[L]])</f>
        <v>443.48000000000008</v>
      </c>
      <c r="Q140">
        <f t="shared" si="3"/>
        <v>0</v>
      </c>
    </row>
    <row r="141" spans="1:17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  <c r="O141">
        <f>SUMIF(historia4[[#This Row],[A]:[L]],"&gt;33",historia4[[#This Row],[A]:[L]])</f>
        <v>345.05999999999995</v>
      </c>
      <c r="P141">
        <f>SUM(historia4[[#This Row],[A]:[L]])</f>
        <v>441.54999999999995</v>
      </c>
      <c r="Q141">
        <f t="shared" si="3"/>
        <v>0</v>
      </c>
    </row>
    <row r="142" spans="1:17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  <c r="O142">
        <f>SUMIF(historia4[[#This Row],[A]:[L]],"&gt;33",historia4[[#This Row],[A]:[L]])</f>
        <v>454.58000000000004</v>
      </c>
      <c r="P142">
        <f>SUM(historia4[[#This Row],[A]:[L]])</f>
        <v>454.58000000000004</v>
      </c>
      <c r="Q142">
        <f t="shared" si="3"/>
        <v>1</v>
      </c>
    </row>
    <row r="143" spans="1:17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  <c r="O143">
        <f>SUMIF(historia4[[#This Row],[A]:[L]],"&gt;33",historia4[[#This Row],[A]:[L]])</f>
        <v>412.19000000000005</v>
      </c>
      <c r="P143">
        <f>SUM(historia4[[#This Row],[A]:[L]])</f>
        <v>445.14000000000004</v>
      </c>
      <c r="Q143">
        <f t="shared" si="3"/>
        <v>0</v>
      </c>
    </row>
    <row r="144" spans="1:17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  <c r="O144">
        <f>SUMIF(historia4[[#This Row],[A]:[L]],"&gt;33",historia4[[#This Row],[A]:[L]])</f>
        <v>343.67000000000007</v>
      </c>
      <c r="P144">
        <f>SUM(historia4[[#This Row],[A]:[L]])</f>
        <v>440.72000000000014</v>
      </c>
      <c r="Q144">
        <f t="shared" si="3"/>
        <v>0</v>
      </c>
    </row>
    <row r="145" spans="1:17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  <c r="O145">
        <f>SUMIF(historia4[[#This Row],[A]:[L]],"&gt;33",historia4[[#This Row],[A]:[L]])</f>
        <v>344.02</v>
      </c>
      <c r="P145">
        <f>SUM(historia4[[#This Row],[A]:[L]])</f>
        <v>440.96999999999997</v>
      </c>
      <c r="Q145">
        <f t="shared" si="3"/>
        <v>0</v>
      </c>
    </row>
    <row r="146" spans="1:17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  <c r="O146">
        <f>SUMIF(historia4[[#This Row],[A]:[L]],"&gt;33",historia4[[#This Row],[A]:[L]])</f>
        <v>348.59999999999997</v>
      </c>
      <c r="P146">
        <f>SUM(historia4[[#This Row],[A]:[L]])</f>
        <v>446.7299999999999</v>
      </c>
      <c r="Q146">
        <f t="shared" si="3"/>
        <v>0</v>
      </c>
    </row>
    <row r="147" spans="1:17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  <c r="O147">
        <f>SUMIF(historia4[[#This Row],[A]:[L]],"&gt;33",historia4[[#This Row],[A]:[L]])</f>
        <v>456.34999999999997</v>
      </c>
      <c r="P147">
        <f>SUM(historia4[[#This Row],[A]:[L]])</f>
        <v>456.34999999999997</v>
      </c>
      <c r="Q147">
        <f t="shared" si="3"/>
        <v>1</v>
      </c>
    </row>
    <row r="148" spans="1:17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  <c r="O148">
        <f>SUMIF(historia4[[#This Row],[A]:[L]],"&gt;33",historia4[[#This Row],[A]:[L]])</f>
        <v>458.98999999999995</v>
      </c>
      <c r="P148">
        <f>SUM(historia4[[#This Row],[A]:[L]])</f>
        <v>458.98999999999995</v>
      </c>
      <c r="Q148">
        <f t="shared" si="3"/>
        <v>1</v>
      </c>
    </row>
    <row r="149" spans="1:17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  <c r="O149">
        <f>SUMIF(historia4[[#This Row],[A]:[L]],"&gt;33",historia4[[#This Row],[A]:[L]])</f>
        <v>457.27</v>
      </c>
      <c r="P149">
        <f>SUM(historia4[[#This Row],[A]:[L]])</f>
        <v>457.27</v>
      </c>
      <c r="Q149">
        <f t="shared" si="3"/>
        <v>1</v>
      </c>
    </row>
    <row r="150" spans="1:17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  <c r="O150">
        <f>SUMIF(historia4[[#This Row],[A]:[L]],"&gt;33",historia4[[#This Row],[A]:[L]])</f>
        <v>456.07</v>
      </c>
      <c r="P150">
        <f>SUM(historia4[[#This Row],[A]:[L]])</f>
        <v>456.07</v>
      </c>
      <c r="Q150">
        <f t="shared" si="3"/>
        <v>1</v>
      </c>
    </row>
    <row r="151" spans="1:17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  <c r="O151">
        <f>SUMIF(historia4[[#This Row],[A]:[L]],"&gt;33",historia4[[#This Row],[A]:[L]])</f>
        <v>459.07</v>
      </c>
      <c r="P151">
        <f>SUM(historia4[[#This Row],[A]:[L]])</f>
        <v>459.07</v>
      </c>
      <c r="Q151">
        <f t="shared" si="3"/>
        <v>1</v>
      </c>
    </row>
    <row r="152" spans="1:17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  <c r="O152">
        <f>SUMIF(historia4[[#This Row],[A]:[L]],"&gt;33",historia4[[#This Row],[A]:[L]])</f>
        <v>462.04000000000008</v>
      </c>
      <c r="P152">
        <f>SUM(historia4[[#This Row],[A]:[L]])</f>
        <v>462.04000000000008</v>
      </c>
      <c r="Q152">
        <f t="shared" si="3"/>
        <v>1</v>
      </c>
    </row>
    <row r="153" spans="1:17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  <c r="O153">
        <f>SUMIF(historia4[[#This Row],[A]:[L]],"&gt;33",historia4[[#This Row],[A]:[L]])</f>
        <v>461.46000000000004</v>
      </c>
      <c r="P153">
        <f>SUM(historia4[[#This Row],[A]:[L]])</f>
        <v>461.46000000000004</v>
      </c>
      <c r="Q153">
        <f t="shared" si="3"/>
        <v>1</v>
      </c>
    </row>
    <row r="154" spans="1:17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  <c r="O154">
        <f>SUMIF(historia4[[#This Row],[A]:[L]],"&gt;33",historia4[[#This Row],[A]:[L]])</f>
        <v>460.56</v>
      </c>
      <c r="P154">
        <f>SUM(historia4[[#This Row],[A]:[L]])</f>
        <v>460.56</v>
      </c>
      <c r="Q154">
        <f t="shared" si="3"/>
        <v>1</v>
      </c>
    </row>
    <row r="155" spans="1:17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  <c r="O155">
        <f>SUMIF(historia4[[#This Row],[A]:[L]],"&gt;33",historia4[[#This Row],[A]:[L]])</f>
        <v>463.66999999999996</v>
      </c>
      <c r="P155">
        <f>SUM(historia4[[#This Row],[A]:[L]])</f>
        <v>463.66999999999996</v>
      </c>
      <c r="Q155">
        <f t="shared" si="3"/>
        <v>1</v>
      </c>
    </row>
    <row r="156" spans="1:17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  <c r="O156">
        <f>SUMIF(historia4[[#This Row],[A]:[L]],"&gt;33",historia4[[#This Row],[A]:[L]])</f>
        <v>466.27000000000004</v>
      </c>
      <c r="P156">
        <f>SUM(historia4[[#This Row],[A]:[L]])</f>
        <v>466.27000000000004</v>
      </c>
      <c r="Q156">
        <f t="shared" si="3"/>
        <v>1</v>
      </c>
    </row>
    <row r="157" spans="1:17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  <c r="O157">
        <f>SUMIF(historia4[[#This Row],[A]:[L]],"&gt;33",historia4[[#This Row],[A]:[L]])</f>
        <v>461.54999999999995</v>
      </c>
      <c r="P157">
        <f>SUM(historia4[[#This Row],[A]:[L]])</f>
        <v>461.54999999999995</v>
      </c>
      <c r="Q157">
        <f t="shared" si="3"/>
        <v>1</v>
      </c>
    </row>
    <row r="158" spans="1:17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  <c r="O158">
        <f>SUMIF(historia4[[#This Row],[A]:[L]],"&gt;33",historia4[[#This Row],[A]:[L]])</f>
        <v>465.80000000000007</v>
      </c>
      <c r="P158">
        <f>SUM(historia4[[#This Row],[A]:[L]])</f>
        <v>465.80000000000007</v>
      </c>
      <c r="Q158">
        <f t="shared" si="3"/>
        <v>1</v>
      </c>
    </row>
    <row r="159" spans="1:17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  <c r="O159">
        <f>SUMIF(historia4[[#This Row],[A]:[L]],"&gt;33",historia4[[#This Row],[A]:[L]])</f>
        <v>471.14</v>
      </c>
      <c r="P159">
        <f>SUM(historia4[[#This Row],[A]:[L]])</f>
        <v>471.14</v>
      </c>
      <c r="Q159">
        <f t="shared" si="3"/>
        <v>1</v>
      </c>
    </row>
    <row r="160" spans="1:17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  <c r="O160">
        <f>SUMIF(historia4[[#This Row],[A]:[L]],"&gt;33",historia4[[#This Row],[A]:[L]])</f>
        <v>459.90000000000003</v>
      </c>
      <c r="P160">
        <f>SUM(historia4[[#This Row],[A]:[L]])</f>
        <v>459.90000000000003</v>
      </c>
      <c r="Q160">
        <f t="shared" si="3"/>
        <v>1</v>
      </c>
    </row>
    <row r="161" spans="1:17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  <c r="O161">
        <f>SUMIF(historia4[[#This Row],[A]:[L]],"&gt;33",historia4[[#This Row],[A]:[L]])</f>
        <v>459.31999999999994</v>
      </c>
      <c r="P161">
        <f>SUM(historia4[[#This Row],[A]:[L]])</f>
        <v>459.31999999999994</v>
      </c>
      <c r="Q161">
        <f t="shared" si="3"/>
        <v>1</v>
      </c>
    </row>
    <row r="162" spans="1:17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  <c r="O162">
        <f>SUMIF(historia4[[#This Row],[A]:[L]],"&gt;33",historia4[[#This Row],[A]:[L]])</f>
        <v>360.32000000000005</v>
      </c>
      <c r="P162">
        <f>SUM(historia4[[#This Row],[A]:[L]])</f>
        <v>458.23</v>
      </c>
      <c r="Q162">
        <f t="shared" si="3"/>
        <v>0</v>
      </c>
    </row>
    <row r="163" spans="1:17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  <c r="O163">
        <f>SUMIF(historia4[[#This Row],[A]:[L]],"&gt;33",historia4[[#This Row],[A]:[L]])</f>
        <v>465.95</v>
      </c>
      <c r="P163">
        <f>SUM(historia4[[#This Row],[A]:[L]])</f>
        <v>465.95</v>
      </c>
      <c r="Q163">
        <f t="shared" si="3"/>
        <v>1</v>
      </c>
    </row>
    <row r="164" spans="1:17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  <c r="O164">
        <f>SUMIF(historia4[[#This Row],[A]:[L]],"&gt;33",historia4[[#This Row],[A]:[L]])</f>
        <v>464.89</v>
      </c>
      <c r="P164">
        <f>SUM(historia4[[#This Row],[A]:[L]])</f>
        <v>464.89</v>
      </c>
      <c r="Q164">
        <f t="shared" si="3"/>
        <v>1</v>
      </c>
    </row>
    <row r="165" spans="1:17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  <c r="O165">
        <f>SUMIF(historia4[[#This Row],[A]:[L]],"&gt;33",historia4[[#This Row],[A]:[L]])</f>
        <v>463.04</v>
      </c>
      <c r="P165">
        <f>SUM(historia4[[#This Row],[A]:[L]])</f>
        <v>463.04</v>
      </c>
      <c r="Q165">
        <f t="shared" si="3"/>
        <v>1</v>
      </c>
    </row>
    <row r="166" spans="1:17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  <c r="O166">
        <f>SUMIF(historia4[[#This Row],[A]:[L]],"&gt;33",historia4[[#This Row],[A]:[L]])</f>
        <v>430.28999999999991</v>
      </c>
      <c r="P166">
        <f>SUM(historia4[[#This Row],[A]:[L]])</f>
        <v>463.28999999999991</v>
      </c>
      <c r="Q166">
        <f t="shared" si="3"/>
        <v>0</v>
      </c>
    </row>
    <row r="167" spans="1:17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  <c r="O167">
        <f>SUMIF(historia4[[#This Row],[A]:[L]],"&gt;33",historia4[[#This Row],[A]:[L]])</f>
        <v>470.28000000000003</v>
      </c>
      <c r="P167">
        <f>SUM(historia4[[#This Row],[A]:[L]])</f>
        <v>470.28000000000003</v>
      </c>
      <c r="Q167">
        <f t="shared" si="3"/>
        <v>1</v>
      </c>
    </row>
    <row r="168" spans="1:17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  <c r="O168">
        <f>SUMIF(historia4[[#This Row],[A]:[L]],"&gt;33",historia4[[#This Row],[A]:[L]])</f>
        <v>472.75999999999993</v>
      </c>
      <c r="P168">
        <f>SUM(historia4[[#This Row],[A]:[L]])</f>
        <v>472.75999999999993</v>
      </c>
      <c r="Q168">
        <f t="shared" si="3"/>
        <v>1</v>
      </c>
    </row>
    <row r="169" spans="1:17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  <c r="O169">
        <f>SUMIF(historia4[[#This Row],[A]:[L]],"&gt;33",historia4[[#This Row],[A]:[L]])</f>
        <v>469.52</v>
      </c>
      <c r="P169">
        <f>SUM(historia4[[#This Row],[A]:[L]])</f>
        <v>469.52</v>
      </c>
      <c r="Q169">
        <f t="shared" si="3"/>
        <v>1</v>
      </c>
    </row>
    <row r="170" spans="1:17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  <c r="O170">
        <f>SUMIF(historia4[[#This Row],[A]:[L]],"&gt;33",historia4[[#This Row],[A]:[L]])</f>
        <v>476.54</v>
      </c>
      <c r="P170">
        <f>SUM(historia4[[#This Row],[A]:[L]])</f>
        <v>476.54</v>
      </c>
      <c r="Q170">
        <f t="shared" si="3"/>
        <v>1</v>
      </c>
    </row>
    <row r="171" spans="1:17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  <c r="O171">
        <f>SUMIF(historia4[[#This Row],[A]:[L]],"&gt;33",historia4[[#This Row],[A]:[L]])</f>
        <v>474.03000000000009</v>
      </c>
      <c r="P171">
        <f>SUM(historia4[[#This Row],[A]:[L]])</f>
        <v>474.03000000000009</v>
      </c>
      <c r="Q171">
        <f t="shared" si="3"/>
        <v>1</v>
      </c>
    </row>
    <row r="172" spans="1:17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  <c r="O172">
        <f>SUMIF(historia4[[#This Row],[A]:[L]],"&gt;33",historia4[[#This Row],[A]:[L]])</f>
        <v>465.61999999999989</v>
      </c>
      <c r="P172">
        <f>SUM(historia4[[#This Row],[A]:[L]])</f>
        <v>465.61999999999989</v>
      </c>
      <c r="Q172">
        <f t="shared" si="3"/>
        <v>1</v>
      </c>
    </row>
    <row r="173" spans="1:17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  <c r="O173">
        <f>SUMIF(historia4[[#This Row],[A]:[L]],"&gt;33",historia4[[#This Row],[A]:[L]])</f>
        <v>459.84999999999991</v>
      </c>
      <c r="P173">
        <f>SUM(historia4[[#This Row],[A]:[L]])</f>
        <v>459.84999999999991</v>
      </c>
      <c r="Q173">
        <f t="shared" si="3"/>
        <v>1</v>
      </c>
    </row>
    <row r="174" spans="1:17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  <c r="O174">
        <f>SUMIF(historia4[[#This Row],[A]:[L]],"&gt;33",historia4[[#This Row],[A]:[L]])</f>
        <v>474.53000000000009</v>
      </c>
      <c r="P174">
        <f>SUM(historia4[[#This Row],[A]:[L]])</f>
        <v>474.53000000000009</v>
      </c>
      <c r="Q174">
        <f t="shared" si="3"/>
        <v>1</v>
      </c>
    </row>
    <row r="175" spans="1:17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  <c r="O175">
        <f>SUMIF(historia4[[#This Row],[A]:[L]],"&gt;33",historia4[[#This Row],[A]:[L]])</f>
        <v>465.88</v>
      </c>
      <c r="P175">
        <f>SUM(historia4[[#This Row],[A]:[L]])</f>
        <v>465.88</v>
      </c>
      <c r="Q175">
        <f t="shared" si="3"/>
        <v>1</v>
      </c>
    </row>
    <row r="176" spans="1:17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  <c r="O176">
        <f>SUMIF(historia4[[#This Row],[A]:[L]],"&gt;33",historia4[[#This Row],[A]:[L]])</f>
        <v>456.19</v>
      </c>
      <c r="P176">
        <f>SUM(historia4[[#This Row],[A]:[L]])</f>
        <v>456.19</v>
      </c>
      <c r="Q176">
        <f t="shared" si="3"/>
        <v>1</v>
      </c>
    </row>
    <row r="177" spans="1:17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  <c r="O177">
        <f>SUMIF(historia4[[#This Row],[A]:[L]],"&gt;33",historia4[[#This Row],[A]:[L]])</f>
        <v>345.15999999999997</v>
      </c>
      <c r="P177">
        <f>SUM(historia4[[#This Row],[A]:[L]])</f>
        <v>442.71999999999997</v>
      </c>
      <c r="Q177">
        <f t="shared" si="3"/>
        <v>0</v>
      </c>
    </row>
    <row r="178" spans="1:17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  <c r="O178">
        <f>SUMIF(historia4[[#This Row],[A]:[L]],"&gt;33",historia4[[#This Row],[A]:[L]])</f>
        <v>345.79999999999995</v>
      </c>
      <c r="P178">
        <f>SUM(historia4[[#This Row],[A]:[L]])</f>
        <v>442.34999999999991</v>
      </c>
      <c r="Q178">
        <f t="shared" si="3"/>
        <v>0</v>
      </c>
    </row>
    <row r="179" spans="1:17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  <c r="O179">
        <f>SUMIF(historia4[[#This Row],[A]:[L]],"&gt;33",historia4[[#This Row],[A]:[L]])</f>
        <v>330.05999999999995</v>
      </c>
      <c r="P179">
        <f>SUM(historia4[[#This Row],[A]:[L]])</f>
        <v>422.6</v>
      </c>
      <c r="Q179">
        <f t="shared" si="3"/>
        <v>0</v>
      </c>
    </row>
    <row r="180" spans="1:17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  <c r="O180">
        <f>SUMIF(historia4[[#This Row],[A]:[L]],"&gt;33",historia4[[#This Row],[A]:[L]])</f>
        <v>321.65999999999997</v>
      </c>
      <c r="P180">
        <f>SUM(historia4[[#This Row],[A]:[L]])</f>
        <v>410.78999999999996</v>
      </c>
      <c r="Q180">
        <f t="shared" si="3"/>
        <v>0</v>
      </c>
    </row>
    <row r="181" spans="1:17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  <c r="O181">
        <f>SUMIF(historia4[[#This Row],[A]:[L]],"&gt;33",historia4[[#This Row],[A]:[L]])</f>
        <v>313.21000000000004</v>
      </c>
      <c r="P181">
        <f>SUM(historia4[[#This Row],[A]:[L]])</f>
        <v>399.34000000000003</v>
      </c>
      <c r="Q181">
        <f t="shared" si="3"/>
        <v>0</v>
      </c>
    </row>
    <row r="182" spans="1:17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  <c r="O182">
        <f>SUMIF(historia4[[#This Row],[A]:[L]],"&gt;33",historia4[[#This Row],[A]:[L]])</f>
        <v>309.25</v>
      </c>
      <c r="P182">
        <f>SUM(historia4[[#This Row],[A]:[L]])</f>
        <v>393.51</v>
      </c>
      <c r="Q182">
        <f t="shared" si="3"/>
        <v>0</v>
      </c>
    </row>
    <row r="183" spans="1:17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  <c r="O183">
        <f>SUMIF(historia4[[#This Row],[A]:[L]],"&gt;33",historia4[[#This Row],[A]:[L]])</f>
        <v>337.45000000000005</v>
      </c>
      <c r="P183">
        <f>SUM(historia4[[#This Row],[A]:[L]])</f>
        <v>429.91</v>
      </c>
      <c r="Q183">
        <f t="shared" si="3"/>
        <v>0</v>
      </c>
    </row>
    <row r="184" spans="1:17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  <c r="O184">
        <f>SUMIF(historia4[[#This Row],[A]:[L]],"&gt;33",historia4[[#This Row],[A]:[L]])</f>
        <v>329.72</v>
      </c>
      <c r="P184">
        <f>SUM(historia4[[#This Row],[A]:[L]])</f>
        <v>419.78999999999996</v>
      </c>
      <c r="Q184">
        <f t="shared" si="3"/>
        <v>0</v>
      </c>
    </row>
    <row r="185" spans="1:17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  <c r="O185">
        <f>SUMIF(historia4[[#This Row],[A]:[L]],"&gt;33",historia4[[#This Row],[A]:[L]])</f>
        <v>322.74000000000007</v>
      </c>
      <c r="P185">
        <f>SUM(historia4[[#This Row],[A]:[L]])</f>
        <v>410.47000000000008</v>
      </c>
      <c r="Q185">
        <f t="shared" si="3"/>
        <v>0</v>
      </c>
    </row>
    <row r="186" spans="1:17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  <c r="O186">
        <f>SUMIF(historia4[[#This Row],[A]:[L]],"&gt;33",historia4[[#This Row],[A]:[L]])</f>
        <v>324.39</v>
      </c>
      <c r="P186">
        <f>SUM(historia4[[#This Row],[A]:[L]])</f>
        <v>412.06</v>
      </c>
      <c r="Q186">
        <f t="shared" si="3"/>
        <v>0</v>
      </c>
    </row>
    <row r="187" spans="1:17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  <c r="O187">
        <f>SUMIF(historia4[[#This Row],[A]:[L]],"&gt;33",historia4[[#This Row],[A]:[L]])</f>
        <v>331.81</v>
      </c>
      <c r="P187">
        <f>SUM(historia4[[#This Row],[A]:[L]])</f>
        <v>422.36999999999995</v>
      </c>
      <c r="Q187">
        <f t="shared" si="3"/>
        <v>0</v>
      </c>
    </row>
    <row r="188" spans="1:17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  <c r="O188">
        <f>SUMIF(historia4[[#This Row],[A]:[L]],"&gt;33",historia4[[#This Row],[A]:[L]])</f>
        <v>327.01</v>
      </c>
      <c r="P188">
        <f>SUM(historia4[[#This Row],[A]:[L]])</f>
        <v>417.08</v>
      </c>
      <c r="Q188">
        <f t="shared" si="3"/>
        <v>0</v>
      </c>
    </row>
    <row r="189" spans="1:17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  <c r="O189">
        <f>SUMIF(historia4[[#This Row],[A]:[L]],"&gt;33",historia4[[#This Row],[A]:[L]])</f>
        <v>276.01</v>
      </c>
      <c r="P189">
        <f>SUM(historia4[[#This Row],[A]:[L]])</f>
        <v>394.95000000000005</v>
      </c>
      <c r="Q189">
        <f t="shared" si="3"/>
        <v>0</v>
      </c>
    </row>
    <row r="190" spans="1:17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  <c r="O190">
        <f>SUMIF(historia4[[#This Row],[A]:[L]],"&gt;33",historia4[[#This Row],[A]:[L]])</f>
        <v>312.42</v>
      </c>
      <c r="P190">
        <f>SUM(historia4[[#This Row],[A]:[L]])</f>
        <v>398.14</v>
      </c>
      <c r="Q190">
        <f t="shared" si="3"/>
        <v>0</v>
      </c>
    </row>
    <row r="191" spans="1:17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  <c r="O191">
        <f>SUMIF(historia4[[#This Row],[A]:[L]],"&gt;33",historia4[[#This Row],[A]:[L]])</f>
        <v>310.67</v>
      </c>
      <c r="P191">
        <f>SUM(historia4[[#This Row],[A]:[L]])</f>
        <v>396.69000000000005</v>
      </c>
      <c r="Q191">
        <f t="shared" si="3"/>
        <v>0</v>
      </c>
    </row>
    <row r="192" spans="1:17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  <c r="O192">
        <f>SUMIF(historia4[[#This Row],[A]:[L]],"&gt;33",historia4[[#This Row],[A]:[L]])</f>
        <v>208.2</v>
      </c>
      <c r="P192">
        <f>SUM(historia4[[#This Row],[A]:[L]])</f>
        <v>387.92</v>
      </c>
      <c r="Q192">
        <f t="shared" si="3"/>
        <v>0</v>
      </c>
    </row>
    <row r="193" spans="1:17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  <c r="O193">
        <f>SUMIF(historia4[[#This Row],[A]:[L]],"&gt;33",historia4[[#This Row],[A]:[L]])</f>
        <v>209.31</v>
      </c>
      <c r="P193">
        <f>SUM(historia4[[#This Row],[A]:[L]])</f>
        <v>392.55</v>
      </c>
      <c r="Q193">
        <f t="shared" si="3"/>
        <v>0</v>
      </c>
    </row>
    <row r="194" spans="1:17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  <c r="O194">
        <f>SUMIF(historia4[[#This Row],[A]:[L]],"&gt;33",historia4[[#This Row],[A]:[L]])</f>
        <v>0</v>
      </c>
      <c r="P194">
        <f>SUM(historia4[[#This Row],[A]:[L]])</f>
        <v>359.23</v>
      </c>
      <c r="Q194">
        <f t="shared" si="3"/>
        <v>0</v>
      </c>
    </row>
    <row r="195" spans="1:17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  <c r="O195">
        <f>SUMIF(historia4[[#This Row],[A]:[L]],"&gt;33",historia4[[#This Row],[A]:[L]])</f>
        <v>0</v>
      </c>
      <c r="P195">
        <f>SUM(historia4[[#This Row],[A]:[L]])</f>
        <v>348.10999999999996</v>
      </c>
      <c r="Q195">
        <f t="shared" si="3"/>
        <v>0</v>
      </c>
    </row>
    <row r="196" spans="1:17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  <c r="O196">
        <f>SUMIF(historia4[[#This Row],[A]:[L]],"&gt;33",historia4[[#This Row],[A]:[L]])</f>
        <v>0</v>
      </c>
      <c r="P196">
        <f>SUM(historia4[[#This Row],[A]:[L]])</f>
        <v>330.54000000000008</v>
      </c>
      <c r="Q196">
        <f t="shared" si="3"/>
        <v>0</v>
      </c>
    </row>
    <row r="197" spans="1:17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  <c r="O197">
        <f>SUMIF(historia4[[#This Row],[A]:[L]],"&gt;33",historia4[[#This Row],[A]:[L]])</f>
        <v>0</v>
      </c>
      <c r="P197">
        <f>SUM(historia4[[#This Row],[A]:[L]])</f>
        <v>321.83</v>
      </c>
      <c r="Q197">
        <f t="shared" si="3"/>
        <v>0</v>
      </c>
    </row>
    <row r="198" spans="1:17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  <c r="O198">
        <f>SUMIF(historia4[[#This Row],[A]:[L]],"&gt;33",historia4[[#This Row],[A]:[L]])</f>
        <v>0</v>
      </c>
      <c r="P198">
        <f>SUM(historia4[[#This Row],[A]:[L]])</f>
        <v>299.13</v>
      </c>
      <c r="Q198">
        <f t="shared" ref="Q198:Q252" si="4">IF(O198=P198,1,0)</f>
        <v>0</v>
      </c>
    </row>
    <row r="199" spans="1:17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  <c r="O199">
        <f>SUMIF(historia4[[#This Row],[A]:[L]],"&gt;33",historia4[[#This Row],[A]:[L]])</f>
        <v>0</v>
      </c>
      <c r="P199">
        <f>SUM(historia4[[#This Row],[A]:[L]])</f>
        <v>320.09000000000003</v>
      </c>
      <c r="Q199">
        <f t="shared" si="4"/>
        <v>0</v>
      </c>
    </row>
    <row r="200" spans="1:17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  <c r="O200">
        <f>SUMIF(historia4[[#This Row],[A]:[L]],"&gt;33",historia4[[#This Row],[A]:[L]])</f>
        <v>0</v>
      </c>
      <c r="P200">
        <f>SUM(historia4[[#This Row],[A]:[L]])</f>
        <v>333.99</v>
      </c>
      <c r="Q200">
        <f t="shared" si="4"/>
        <v>0</v>
      </c>
    </row>
    <row r="201" spans="1:17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  <c r="O201">
        <f>SUMIF(historia4[[#This Row],[A]:[L]],"&gt;33",historia4[[#This Row],[A]:[L]])</f>
        <v>0</v>
      </c>
      <c r="P201">
        <f>SUM(historia4[[#This Row],[A]:[L]])</f>
        <v>308.63000000000005</v>
      </c>
      <c r="Q201">
        <f t="shared" si="4"/>
        <v>0</v>
      </c>
    </row>
    <row r="202" spans="1:17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  <c r="O202">
        <f>SUMIF(historia4[[#This Row],[A]:[L]],"&gt;33",historia4[[#This Row],[A]:[L]])</f>
        <v>0</v>
      </c>
      <c r="P202">
        <f>SUM(historia4[[#This Row],[A]:[L]])</f>
        <v>289.29000000000002</v>
      </c>
      <c r="Q202">
        <f t="shared" si="4"/>
        <v>0</v>
      </c>
    </row>
    <row r="203" spans="1:17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  <c r="O203">
        <f>SUMIF(historia4[[#This Row],[A]:[L]],"&gt;33",historia4[[#This Row],[A]:[L]])</f>
        <v>0</v>
      </c>
      <c r="P203">
        <f>SUM(historia4[[#This Row],[A]:[L]])</f>
        <v>279.68</v>
      </c>
      <c r="Q203">
        <f t="shared" si="4"/>
        <v>0</v>
      </c>
    </row>
    <row r="204" spans="1:17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  <c r="O204">
        <f>SUMIF(historia4[[#This Row],[A]:[L]],"&gt;33",historia4[[#This Row],[A]:[L]])</f>
        <v>0</v>
      </c>
      <c r="P204">
        <f>SUM(historia4[[#This Row],[A]:[L]])</f>
        <v>287.09000000000003</v>
      </c>
      <c r="Q204">
        <f t="shared" si="4"/>
        <v>0</v>
      </c>
    </row>
    <row r="205" spans="1:17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  <c r="O205">
        <f>SUMIF(historia4[[#This Row],[A]:[L]],"&gt;33",historia4[[#This Row],[A]:[L]])</f>
        <v>0</v>
      </c>
      <c r="P205">
        <f>SUM(historia4[[#This Row],[A]:[L]])</f>
        <v>289.03000000000003</v>
      </c>
      <c r="Q205">
        <f t="shared" si="4"/>
        <v>0</v>
      </c>
    </row>
    <row r="206" spans="1:17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  <c r="O206">
        <f>SUMIF(historia4[[#This Row],[A]:[L]],"&gt;33",historia4[[#This Row],[A]:[L]])</f>
        <v>0</v>
      </c>
      <c r="P206">
        <f>SUM(historia4[[#This Row],[A]:[L]])</f>
        <v>275.67</v>
      </c>
      <c r="Q206">
        <f t="shared" si="4"/>
        <v>0</v>
      </c>
    </row>
    <row r="207" spans="1:17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  <c r="O207">
        <f>SUMIF(historia4[[#This Row],[A]:[L]],"&gt;33",historia4[[#This Row],[A]:[L]])</f>
        <v>0</v>
      </c>
      <c r="P207">
        <f>SUM(historia4[[#This Row],[A]:[L]])</f>
        <v>272</v>
      </c>
      <c r="Q207">
        <f t="shared" si="4"/>
        <v>0</v>
      </c>
    </row>
    <row r="208" spans="1:17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  <c r="O208">
        <f>SUMIF(historia4[[#This Row],[A]:[L]],"&gt;33",historia4[[#This Row],[A]:[L]])</f>
        <v>0</v>
      </c>
      <c r="P208">
        <f>SUM(historia4[[#This Row],[A]:[L]])</f>
        <v>266.12</v>
      </c>
      <c r="Q208">
        <f t="shared" si="4"/>
        <v>0</v>
      </c>
    </row>
    <row r="209" spans="1:17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  <c r="O209">
        <f>SUMIF(historia4[[#This Row],[A]:[L]],"&gt;33",historia4[[#This Row],[A]:[L]])</f>
        <v>0</v>
      </c>
      <c r="P209">
        <f>SUM(historia4[[#This Row],[A]:[L]])</f>
        <v>251.7</v>
      </c>
      <c r="Q209">
        <f t="shared" si="4"/>
        <v>0</v>
      </c>
    </row>
    <row r="210" spans="1:17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  <c r="O210">
        <f>SUMIF(historia4[[#This Row],[A]:[L]],"&gt;33",historia4[[#This Row],[A]:[L]])</f>
        <v>0</v>
      </c>
      <c r="P210">
        <f>SUM(historia4[[#This Row],[A]:[L]])</f>
        <v>255.47999999999996</v>
      </c>
      <c r="Q210">
        <f t="shared" si="4"/>
        <v>0</v>
      </c>
    </row>
    <row r="211" spans="1:17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  <c r="O211">
        <f>SUMIF(historia4[[#This Row],[A]:[L]],"&gt;33",historia4[[#This Row],[A]:[L]])</f>
        <v>0</v>
      </c>
      <c r="P211">
        <f>SUM(historia4[[#This Row],[A]:[L]])</f>
        <v>265.71999999999997</v>
      </c>
      <c r="Q211">
        <f t="shared" si="4"/>
        <v>0</v>
      </c>
    </row>
    <row r="212" spans="1:17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  <c r="O212">
        <f>SUMIF(historia4[[#This Row],[A]:[L]],"&gt;33",historia4[[#This Row],[A]:[L]])</f>
        <v>0</v>
      </c>
      <c r="P212">
        <f>SUM(historia4[[#This Row],[A]:[L]])</f>
        <v>275.70999999999998</v>
      </c>
      <c r="Q212">
        <f t="shared" si="4"/>
        <v>0</v>
      </c>
    </row>
    <row r="213" spans="1:17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  <c r="O213">
        <f>SUMIF(historia4[[#This Row],[A]:[L]],"&gt;33",historia4[[#This Row],[A]:[L]])</f>
        <v>0</v>
      </c>
      <c r="P213">
        <f>SUM(historia4[[#This Row],[A]:[L]])</f>
        <v>285.53999999999996</v>
      </c>
      <c r="Q213">
        <f t="shared" si="4"/>
        <v>0</v>
      </c>
    </row>
    <row r="214" spans="1:17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  <c r="O214">
        <f>SUMIF(historia4[[#This Row],[A]:[L]],"&gt;33",historia4[[#This Row],[A]:[L]])</f>
        <v>0</v>
      </c>
      <c r="P214">
        <f>SUM(historia4[[#This Row],[A]:[L]])</f>
        <v>287.68999999999994</v>
      </c>
      <c r="Q214">
        <f t="shared" si="4"/>
        <v>0</v>
      </c>
    </row>
    <row r="215" spans="1:17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  <c r="O215">
        <f>SUMIF(historia4[[#This Row],[A]:[L]],"&gt;33",historia4[[#This Row],[A]:[L]])</f>
        <v>0</v>
      </c>
      <c r="P215">
        <f>SUM(historia4[[#This Row],[A]:[L]])</f>
        <v>306.50999999999993</v>
      </c>
      <c r="Q215">
        <f t="shared" si="4"/>
        <v>0</v>
      </c>
    </row>
    <row r="216" spans="1:17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  <c r="O216">
        <f>SUMIF(historia4[[#This Row],[A]:[L]],"&gt;33",historia4[[#This Row],[A]:[L]])</f>
        <v>0</v>
      </c>
      <c r="P216">
        <f>SUM(historia4[[#This Row],[A]:[L]])</f>
        <v>293.02000000000004</v>
      </c>
      <c r="Q216">
        <f t="shared" si="4"/>
        <v>0</v>
      </c>
    </row>
    <row r="217" spans="1:17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  <c r="O217">
        <f>SUMIF(historia4[[#This Row],[A]:[L]],"&gt;33",historia4[[#This Row],[A]:[L]])</f>
        <v>0</v>
      </c>
      <c r="P217">
        <f>SUM(historia4[[#This Row],[A]:[L]])</f>
        <v>280.48</v>
      </c>
      <c r="Q217">
        <f t="shared" si="4"/>
        <v>0</v>
      </c>
    </row>
    <row r="218" spans="1:17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  <c r="O218">
        <f>SUMIF(historia4[[#This Row],[A]:[L]],"&gt;33",historia4[[#This Row],[A]:[L]])</f>
        <v>0</v>
      </c>
      <c r="P218">
        <f>SUM(historia4[[#This Row],[A]:[L]])</f>
        <v>286.82000000000005</v>
      </c>
      <c r="Q218">
        <f t="shared" si="4"/>
        <v>0</v>
      </c>
    </row>
    <row r="219" spans="1:17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  <c r="O219">
        <f>SUMIF(historia4[[#This Row],[A]:[L]],"&gt;33",historia4[[#This Row],[A]:[L]])</f>
        <v>0</v>
      </c>
      <c r="P219">
        <f>SUM(historia4[[#This Row],[A]:[L]])</f>
        <v>287.49</v>
      </c>
      <c r="Q219">
        <f t="shared" si="4"/>
        <v>0</v>
      </c>
    </row>
    <row r="220" spans="1:17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  <c r="O220">
        <f>SUMIF(historia4[[#This Row],[A]:[L]],"&gt;33",historia4[[#This Row],[A]:[L]])</f>
        <v>0</v>
      </c>
      <c r="P220">
        <f>SUM(historia4[[#This Row],[A]:[L]])</f>
        <v>268.05</v>
      </c>
      <c r="Q220">
        <f t="shared" si="4"/>
        <v>0</v>
      </c>
    </row>
    <row r="221" spans="1:17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  <c r="O221">
        <f>SUMIF(historia4[[#This Row],[A]:[L]],"&gt;33",historia4[[#This Row],[A]:[L]])</f>
        <v>0</v>
      </c>
      <c r="P221">
        <f>SUM(historia4[[#This Row],[A]:[L]])</f>
        <v>262.21000000000004</v>
      </c>
      <c r="Q221">
        <f t="shared" si="4"/>
        <v>0</v>
      </c>
    </row>
    <row r="222" spans="1:17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  <c r="O222">
        <f>SUMIF(historia4[[#This Row],[A]:[L]],"&gt;33",historia4[[#This Row],[A]:[L]])</f>
        <v>0</v>
      </c>
      <c r="P222">
        <f>SUM(historia4[[#This Row],[A]:[L]])</f>
        <v>263.96000000000004</v>
      </c>
      <c r="Q222">
        <f t="shared" si="4"/>
        <v>0</v>
      </c>
    </row>
    <row r="223" spans="1:17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  <c r="O223">
        <f>SUMIF(historia4[[#This Row],[A]:[L]],"&gt;33",historia4[[#This Row],[A]:[L]])</f>
        <v>0</v>
      </c>
      <c r="P223">
        <f>SUM(historia4[[#This Row],[A]:[L]])</f>
        <v>257.27999999999997</v>
      </c>
      <c r="Q223">
        <f t="shared" si="4"/>
        <v>0</v>
      </c>
    </row>
    <row r="224" spans="1:17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  <c r="O224">
        <f>SUMIF(historia4[[#This Row],[A]:[L]],"&gt;33",historia4[[#This Row],[A]:[L]])</f>
        <v>0</v>
      </c>
      <c r="P224">
        <f>SUM(historia4[[#This Row],[A]:[L]])</f>
        <v>255.39000000000001</v>
      </c>
      <c r="Q224">
        <f t="shared" si="4"/>
        <v>0</v>
      </c>
    </row>
    <row r="225" spans="1:17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  <c r="O225">
        <f>SUMIF(historia4[[#This Row],[A]:[L]],"&gt;33",historia4[[#This Row],[A]:[L]])</f>
        <v>0</v>
      </c>
      <c r="P225">
        <f>SUM(historia4[[#This Row],[A]:[L]])</f>
        <v>243.31000000000003</v>
      </c>
      <c r="Q225">
        <f t="shared" si="4"/>
        <v>0</v>
      </c>
    </row>
    <row r="226" spans="1:17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  <c r="O226">
        <f>SUMIF(historia4[[#This Row],[A]:[L]],"&gt;33",historia4[[#This Row],[A]:[L]])</f>
        <v>0</v>
      </c>
      <c r="P226">
        <f>SUM(historia4[[#This Row],[A]:[L]])</f>
        <v>231.14000000000001</v>
      </c>
      <c r="Q226">
        <f t="shared" si="4"/>
        <v>0</v>
      </c>
    </row>
    <row r="227" spans="1:17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  <c r="O227">
        <f>SUMIF(historia4[[#This Row],[A]:[L]],"&gt;33",historia4[[#This Row],[A]:[L]])</f>
        <v>0</v>
      </c>
      <c r="P227">
        <f>SUM(historia4[[#This Row],[A]:[L]])</f>
        <v>232.76999999999995</v>
      </c>
      <c r="Q227">
        <f t="shared" si="4"/>
        <v>0</v>
      </c>
    </row>
    <row r="228" spans="1:17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  <c r="O228">
        <f>SUMIF(historia4[[#This Row],[A]:[L]],"&gt;33",historia4[[#This Row],[A]:[L]])</f>
        <v>0</v>
      </c>
      <c r="P228">
        <f>SUM(historia4[[#This Row],[A]:[L]])</f>
        <v>255.72000000000003</v>
      </c>
      <c r="Q228">
        <f t="shared" si="4"/>
        <v>0</v>
      </c>
    </row>
    <row r="229" spans="1:17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  <c r="O229">
        <f>SUMIF(historia4[[#This Row],[A]:[L]],"&gt;33",historia4[[#This Row],[A]:[L]])</f>
        <v>0</v>
      </c>
      <c r="P229">
        <f>SUM(historia4[[#This Row],[A]:[L]])</f>
        <v>259.70999999999998</v>
      </c>
      <c r="Q229">
        <f t="shared" si="4"/>
        <v>0</v>
      </c>
    </row>
    <row r="230" spans="1:17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  <c r="O230">
        <f>SUMIF(historia4[[#This Row],[A]:[L]],"&gt;33",historia4[[#This Row],[A]:[L]])</f>
        <v>0</v>
      </c>
      <c r="P230">
        <f>SUM(historia4[[#This Row],[A]:[L]])</f>
        <v>259.08000000000004</v>
      </c>
      <c r="Q230">
        <f t="shared" si="4"/>
        <v>0</v>
      </c>
    </row>
    <row r="231" spans="1:17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  <c r="O231">
        <f>SUMIF(historia4[[#This Row],[A]:[L]],"&gt;33",historia4[[#This Row],[A]:[L]])</f>
        <v>0</v>
      </c>
      <c r="P231">
        <f>SUM(historia4[[#This Row],[A]:[L]])</f>
        <v>266.43</v>
      </c>
      <c r="Q231">
        <f t="shared" si="4"/>
        <v>0</v>
      </c>
    </row>
    <row r="232" spans="1:17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  <c r="O232">
        <f>SUMIF(historia4[[#This Row],[A]:[L]],"&gt;33",historia4[[#This Row],[A]:[L]])</f>
        <v>0</v>
      </c>
      <c r="P232">
        <f>SUM(historia4[[#This Row],[A]:[L]])</f>
        <v>266.94</v>
      </c>
      <c r="Q232">
        <f t="shared" si="4"/>
        <v>0</v>
      </c>
    </row>
    <row r="233" spans="1:17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  <c r="O233">
        <f>SUMIF(historia4[[#This Row],[A]:[L]],"&gt;33",historia4[[#This Row],[A]:[L]])</f>
        <v>0</v>
      </c>
      <c r="P233">
        <f>SUM(historia4[[#This Row],[A]:[L]])</f>
        <v>254.97</v>
      </c>
      <c r="Q233">
        <f t="shared" si="4"/>
        <v>0</v>
      </c>
    </row>
    <row r="234" spans="1:17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  <c r="O234">
        <f>SUMIF(historia4[[#This Row],[A]:[L]],"&gt;33",historia4[[#This Row],[A]:[L]])</f>
        <v>0</v>
      </c>
      <c r="P234">
        <f>SUM(historia4[[#This Row],[A]:[L]])</f>
        <v>257.08999999999997</v>
      </c>
      <c r="Q234">
        <f t="shared" si="4"/>
        <v>0</v>
      </c>
    </row>
    <row r="235" spans="1:17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  <c r="O235">
        <f>SUMIF(historia4[[#This Row],[A]:[L]],"&gt;33",historia4[[#This Row],[A]:[L]])</f>
        <v>0</v>
      </c>
      <c r="P235">
        <f>SUM(historia4[[#This Row],[A]:[L]])</f>
        <v>255.77</v>
      </c>
      <c r="Q235">
        <f t="shared" si="4"/>
        <v>0</v>
      </c>
    </row>
    <row r="236" spans="1:17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  <c r="O236">
        <f>SUMIF(historia4[[#This Row],[A]:[L]],"&gt;33",historia4[[#This Row],[A]:[L]])</f>
        <v>0</v>
      </c>
      <c r="P236">
        <f>SUM(historia4[[#This Row],[A]:[L]])</f>
        <v>261.27999999999997</v>
      </c>
      <c r="Q236">
        <f t="shared" si="4"/>
        <v>0</v>
      </c>
    </row>
    <row r="237" spans="1:17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  <c r="O237">
        <f>SUMIF(historia4[[#This Row],[A]:[L]],"&gt;33",historia4[[#This Row],[A]:[L]])</f>
        <v>0</v>
      </c>
      <c r="P237">
        <f>SUM(historia4[[#This Row],[A]:[L]])</f>
        <v>252.16000000000003</v>
      </c>
      <c r="Q237">
        <f t="shared" si="4"/>
        <v>0</v>
      </c>
    </row>
    <row r="238" spans="1:17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  <c r="O238">
        <f>SUMIF(historia4[[#This Row],[A]:[L]],"&gt;33",historia4[[#This Row],[A]:[L]])</f>
        <v>0</v>
      </c>
      <c r="P238">
        <f>SUM(historia4[[#This Row],[A]:[L]])</f>
        <v>257.18000000000006</v>
      </c>
      <c r="Q238">
        <f t="shared" si="4"/>
        <v>0</v>
      </c>
    </row>
    <row r="239" spans="1:17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  <c r="O239">
        <f>SUMIF(historia4[[#This Row],[A]:[L]],"&gt;33",historia4[[#This Row],[A]:[L]])</f>
        <v>0</v>
      </c>
      <c r="P239">
        <f>SUM(historia4[[#This Row],[A]:[L]])</f>
        <v>265.19</v>
      </c>
      <c r="Q239">
        <f t="shared" si="4"/>
        <v>0</v>
      </c>
    </row>
    <row r="240" spans="1:17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  <c r="O240">
        <f>SUMIF(historia4[[#This Row],[A]:[L]],"&gt;33",historia4[[#This Row],[A]:[L]])</f>
        <v>0</v>
      </c>
      <c r="P240">
        <f>SUM(historia4[[#This Row],[A]:[L]])</f>
        <v>270.06</v>
      </c>
      <c r="Q240">
        <f t="shared" si="4"/>
        <v>0</v>
      </c>
    </row>
    <row r="241" spans="1:17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  <c r="O241">
        <f>SUMIF(historia4[[#This Row],[A]:[L]],"&gt;33",historia4[[#This Row],[A]:[L]])</f>
        <v>0</v>
      </c>
      <c r="P241">
        <f>SUM(historia4[[#This Row],[A]:[L]])</f>
        <v>268.57</v>
      </c>
      <c r="Q241">
        <f t="shared" si="4"/>
        <v>0</v>
      </c>
    </row>
    <row r="242" spans="1:17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  <c r="O242">
        <f>SUMIF(historia4[[#This Row],[A]:[L]],"&gt;33",historia4[[#This Row],[A]:[L]])</f>
        <v>0</v>
      </c>
      <c r="P242">
        <f>SUM(historia4[[#This Row],[A]:[L]])</f>
        <v>262.39</v>
      </c>
      <c r="Q242">
        <f t="shared" si="4"/>
        <v>0</v>
      </c>
    </row>
    <row r="243" spans="1:17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  <c r="O243">
        <f>SUMIF(historia4[[#This Row],[A]:[L]],"&gt;33",historia4[[#This Row],[A]:[L]])</f>
        <v>0</v>
      </c>
      <c r="P243">
        <f>SUM(historia4[[#This Row],[A]:[L]])</f>
        <v>264.52000000000004</v>
      </c>
      <c r="Q243">
        <f t="shared" si="4"/>
        <v>0</v>
      </c>
    </row>
    <row r="244" spans="1:17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  <c r="O244">
        <f>SUMIF(historia4[[#This Row],[A]:[L]],"&gt;33",historia4[[#This Row],[A]:[L]])</f>
        <v>0</v>
      </c>
      <c r="P244">
        <f>SUM(historia4[[#This Row],[A]:[L]])</f>
        <v>269.79000000000002</v>
      </c>
      <c r="Q244">
        <f t="shared" si="4"/>
        <v>0</v>
      </c>
    </row>
    <row r="245" spans="1:17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  <c r="O245">
        <f>SUMIF(historia4[[#This Row],[A]:[L]],"&gt;33",historia4[[#This Row],[A]:[L]])</f>
        <v>0</v>
      </c>
      <c r="P245">
        <f>SUM(historia4[[#This Row],[A]:[L]])</f>
        <v>271.81</v>
      </c>
      <c r="Q245">
        <f t="shared" si="4"/>
        <v>0</v>
      </c>
    </row>
    <row r="246" spans="1:17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  <c r="O246">
        <f>SUMIF(historia4[[#This Row],[A]:[L]],"&gt;33",historia4[[#This Row],[A]:[L]])</f>
        <v>0</v>
      </c>
      <c r="P246">
        <f>SUM(historia4[[#This Row],[A]:[L]])</f>
        <v>268.41000000000003</v>
      </c>
      <c r="Q246">
        <f t="shared" si="4"/>
        <v>0</v>
      </c>
    </row>
    <row r="247" spans="1:17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  <c r="O247">
        <f>SUMIF(historia4[[#This Row],[A]:[L]],"&gt;33",historia4[[#This Row],[A]:[L]])</f>
        <v>0</v>
      </c>
      <c r="P247">
        <f>SUM(historia4[[#This Row],[A]:[L]])</f>
        <v>265.33999999999997</v>
      </c>
      <c r="Q247">
        <f t="shared" si="4"/>
        <v>0</v>
      </c>
    </row>
    <row r="248" spans="1:17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  <c r="O248">
        <f>SUMIF(historia4[[#This Row],[A]:[L]],"&gt;33",historia4[[#This Row],[A]:[L]])</f>
        <v>0</v>
      </c>
      <c r="P248">
        <f>SUM(historia4[[#This Row],[A]:[L]])</f>
        <v>262.63</v>
      </c>
      <c r="Q248">
        <f t="shared" si="4"/>
        <v>0</v>
      </c>
    </row>
    <row r="249" spans="1:17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  <c r="O249">
        <f>SUMIF(historia4[[#This Row],[A]:[L]],"&gt;33",historia4[[#This Row],[A]:[L]])</f>
        <v>0</v>
      </c>
      <c r="P249">
        <f>SUM(historia4[[#This Row],[A]:[L]])</f>
        <v>265.73</v>
      </c>
      <c r="Q249">
        <f t="shared" si="4"/>
        <v>0</v>
      </c>
    </row>
    <row r="250" spans="1:17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  <c r="O250">
        <f>SUMIF(historia4[[#This Row],[A]:[L]],"&gt;33",historia4[[#This Row],[A]:[L]])</f>
        <v>0</v>
      </c>
      <c r="P250">
        <f>SUM(historia4[[#This Row],[A]:[L]])</f>
        <v>269.77</v>
      </c>
      <c r="Q250">
        <f t="shared" si="4"/>
        <v>0</v>
      </c>
    </row>
    <row r="251" spans="1:17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  <c r="O251">
        <f>SUMIF(historia4[[#This Row],[A]:[L]],"&gt;33",historia4[[#This Row],[A]:[L]])</f>
        <v>0</v>
      </c>
      <c r="P251">
        <f>SUM(historia4[[#This Row],[A]:[L]])</f>
        <v>269.89</v>
      </c>
      <c r="Q251">
        <f t="shared" si="4"/>
        <v>0</v>
      </c>
    </row>
    <row r="252" spans="1:17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  <c r="O252">
        <f>SUMIF(historia4[[#This Row],[A]:[L]],"&gt;33",historia4[[#This Row],[A]:[L]])</f>
        <v>0</v>
      </c>
      <c r="P252">
        <f>SUM(historia4[[#This Row],[A]:[L]])</f>
        <v>273.37</v>
      </c>
      <c r="Q252">
        <f t="shared" si="4"/>
        <v>0</v>
      </c>
    </row>
  </sheetData>
  <conditionalFormatting sqref="R1 Q1:Q1048576">
    <cfRule type="cellIs" dxfId="1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8603-A5FF-4790-8C37-CF173F9F16DB}">
  <dimension ref="A1:M270"/>
  <sheetViews>
    <sheetView topLeftCell="A242" workbookViewId="0">
      <selection activeCell="A254" sqref="A254:M256"/>
    </sheetView>
  </sheetViews>
  <sheetFormatPr defaultRowHeight="15" x14ac:dyDescent="0.25"/>
  <cols>
    <col min="1" max="1" width="13.28515625" bestFit="1" customWidth="1"/>
    <col min="2" max="2" width="12.28515625" bestFit="1" customWidth="1"/>
    <col min="3" max="3" width="13.28515625" bestFit="1" customWidth="1"/>
    <col min="4" max="13" width="6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</row>
    <row r="3" spans="1:13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</row>
    <row r="4" spans="1:13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</row>
    <row r="5" spans="1:13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</row>
    <row r="6" spans="1:13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</row>
    <row r="7" spans="1:13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</row>
    <row r="8" spans="1:13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</row>
    <row r="9" spans="1:13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</row>
    <row r="10" spans="1:13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</row>
    <row r="11" spans="1:13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</row>
    <row r="12" spans="1:13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</row>
    <row r="13" spans="1:13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</row>
    <row r="14" spans="1:13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</row>
    <row r="15" spans="1:13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</row>
    <row r="16" spans="1:13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</row>
    <row r="17" spans="1:13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</row>
    <row r="18" spans="1:13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</row>
    <row r="19" spans="1:13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</row>
    <row r="20" spans="1:13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</row>
    <row r="21" spans="1:13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</row>
    <row r="22" spans="1:13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</row>
    <row r="23" spans="1:13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</row>
    <row r="24" spans="1:13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</row>
    <row r="25" spans="1:13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</row>
    <row r="26" spans="1:13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</row>
    <row r="27" spans="1:13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</row>
    <row r="28" spans="1:13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</row>
    <row r="29" spans="1:13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</row>
    <row r="30" spans="1:13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</row>
    <row r="31" spans="1:13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</row>
    <row r="32" spans="1:13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</row>
    <row r="33" spans="1:13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</row>
    <row r="34" spans="1:13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</row>
    <row r="35" spans="1:13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</row>
    <row r="36" spans="1:13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</row>
    <row r="37" spans="1:13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</row>
    <row r="38" spans="1:13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</row>
    <row r="39" spans="1:13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</row>
    <row r="40" spans="1:13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</row>
    <row r="41" spans="1:13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</row>
    <row r="42" spans="1:13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</row>
    <row r="43" spans="1:13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</row>
    <row r="44" spans="1:13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</row>
    <row r="45" spans="1:13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</row>
    <row r="46" spans="1:13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</row>
    <row r="47" spans="1:13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</row>
    <row r="48" spans="1:13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</row>
    <row r="49" spans="1:13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</row>
    <row r="50" spans="1:13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</row>
    <row r="51" spans="1:13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</row>
    <row r="52" spans="1:13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</row>
    <row r="53" spans="1:13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</row>
    <row r="54" spans="1:13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</row>
    <row r="55" spans="1:13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</row>
    <row r="56" spans="1:13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</row>
    <row r="57" spans="1:13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</row>
    <row r="58" spans="1:13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</row>
    <row r="59" spans="1:13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</row>
    <row r="60" spans="1:13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</row>
    <row r="61" spans="1:13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</row>
    <row r="62" spans="1:13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</row>
    <row r="63" spans="1:13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</row>
    <row r="64" spans="1:13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</row>
    <row r="65" spans="1:13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</row>
    <row r="66" spans="1:13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</row>
    <row r="67" spans="1:13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</row>
    <row r="68" spans="1:13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</row>
    <row r="69" spans="1:13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</row>
    <row r="70" spans="1:13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</row>
    <row r="71" spans="1:13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</row>
    <row r="72" spans="1:13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</row>
    <row r="73" spans="1:13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</row>
    <row r="74" spans="1:13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</row>
    <row r="75" spans="1:13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</row>
    <row r="76" spans="1:13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</row>
    <row r="77" spans="1:13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</row>
    <row r="78" spans="1:13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</row>
    <row r="79" spans="1:13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</row>
    <row r="80" spans="1:13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</row>
    <row r="81" spans="1:13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</row>
    <row r="82" spans="1:13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</row>
    <row r="83" spans="1:13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</row>
    <row r="84" spans="1:13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</row>
    <row r="85" spans="1:13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</row>
    <row r="86" spans="1:13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</row>
    <row r="87" spans="1:13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</row>
    <row r="88" spans="1:13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</row>
    <row r="89" spans="1:13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</row>
    <row r="90" spans="1:13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</row>
    <row r="91" spans="1:13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</row>
    <row r="92" spans="1:13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</row>
    <row r="93" spans="1:13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</row>
    <row r="94" spans="1:13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</row>
    <row r="95" spans="1:13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</row>
    <row r="96" spans="1:13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</row>
    <row r="97" spans="1:13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</row>
    <row r="98" spans="1:13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</row>
    <row r="99" spans="1:13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</row>
    <row r="100" spans="1:13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</row>
    <row r="101" spans="1:13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</row>
    <row r="102" spans="1:13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</row>
    <row r="103" spans="1:13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</row>
    <row r="104" spans="1:13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</row>
    <row r="105" spans="1:13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</row>
    <row r="106" spans="1:13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</row>
    <row r="107" spans="1:13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</row>
    <row r="108" spans="1:13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</row>
    <row r="109" spans="1:13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</row>
    <row r="110" spans="1:13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</row>
    <row r="111" spans="1:13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</row>
    <row r="112" spans="1:13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</row>
    <row r="113" spans="1:13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</row>
    <row r="114" spans="1:13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</row>
    <row r="115" spans="1:13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</row>
    <row r="116" spans="1:13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</row>
    <row r="117" spans="1:13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</row>
    <row r="118" spans="1:13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</row>
    <row r="119" spans="1:13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</row>
    <row r="120" spans="1:13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</row>
    <row r="121" spans="1:13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</row>
    <row r="122" spans="1:13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</row>
    <row r="123" spans="1:13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</row>
    <row r="124" spans="1:13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</row>
    <row r="125" spans="1:13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</row>
    <row r="126" spans="1:13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</row>
    <row r="127" spans="1:13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</row>
    <row r="128" spans="1:13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</row>
    <row r="129" spans="1:13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</row>
    <row r="130" spans="1:13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</row>
    <row r="131" spans="1:13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</row>
    <row r="132" spans="1:13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</row>
    <row r="133" spans="1:13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</row>
    <row r="134" spans="1:13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</row>
    <row r="135" spans="1:13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</row>
    <row r="136" spans="1:13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</row>
    <row r="137" spans="1:13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</row>
    <row r="138" spans="1:13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</row>
    <row r="139" spans="1:13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</row>
    <row r="140" spans="1:13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</row>
    <row r="141" spans="1:13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</row>
    <row r="142" spans="1:13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</row>
    <row r="143" spans="1:13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</row>
    <row r="144" spans="1:13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</row>
    <row r="145" spans="1:13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</row>
    <row r="146" spans="1:13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</row>
    <row r="147" spans="1:13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</row>
    <row r="148" spans="1:13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</row>
    <row r="149" spans="1:13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</row>
    <row r="150" spans="1:13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</row>
    <row r="151" spans="1:13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</row>
    <row r="152" spans="1:13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</row>
    <row r="153" spans="1:13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</row>
    <row r="154" spans="1:13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</row>
    <row r="155" spans="1:13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</row>
    <row r="156" spans="1:13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</row>
    <row r="157" spans="1:13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</row>
    <row r="158" spans="1:13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</row>
    <row r="159" spans="1:13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</row>
    <row r="160" spans="1:13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</row>
    <row r="161" spans="1:13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</row>
    <row r="162" spans="1:13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</row>
    <row r="163" spans="1:13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</row>
    <row r="164" spans="1:13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</row>
    <row r="165" spans="1:13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</row>
    <row r="166" spans="1:13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</row>
    <row r="167" spans="1:13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</row>
    <row r="168" spans="1:13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</row>
    <row r="169" spans="1:13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</row>
    <row r="170" spans="1:13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</row>
    <row r="171" spans="1:13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</row>
    <row r="172" spans="1:13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</row>
    <row r="173" spans="1:13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</row>
    <row r="174" spans="1:13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</row>
    <row r="175" spans="1:13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</row>
    <row r="176" spans="1:13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</row>
    <row r="177" spans="1:13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</row>
    <row r="178" spans="1:13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</row>
    <row r="179" spans="1:13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</row>
    <row r="180" spans="1:13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</row>
    <row r="181" spans="1:13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</row>
    <row r="182" spans="1:13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</row>
    <row r="183" spans="1:13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</row>
    <row r="184" spans="1:13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</row>
    <row r="185" spans="1:13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</row>
    <row r="186" spans="1:13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</row>
    <row r="187" spans="1:13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</row>
    <row r="188" spans="1:13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</row>
    <row r="189" spans="1:13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</row>
    <row r="190" spans="1:13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</row>
    <row r="191" spans="1:13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</row>
    <row r="192" spans="1:13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</row>
    <row r="193" spans="1:13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</row>
    <row r="194" spans="1:13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</row>
    <row r="195" spans="1:13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</row>
    <row r="196" spans="1:13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</row>
    <row r="197" spans="1:13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</row>
    <row r="198" spans="1:13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</row>
    <row r="199" spans="1:13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</row>
    <row r="200" spans="1:13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</row>
    <row r="201" spans="1:13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</row>
    <row r="202" spans="1:13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</row>
    <row r="203" spans="1:13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</row>
    <row r="204" spans="1:13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</row>
    <row r="205" spans="1:13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</row>
    <row r="206" spans="1:13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</row>
    <row r="207" spans="1:13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</row>
    <row r="208" spans="1:13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</row>
    <row r="209" spans="1:13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</row>
    <row r="210" spans="1:13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</row>
    <row r="211" spans="1:13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</row>
    <row r="212" spans="1:13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</row>
    <row r="213" spans="1:13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</row>
    <row r="214" spans="1:13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</row>
    <row r="215" spans="1:13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</row>
    <row r="216" spans="1:13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</row>
    <row r="217" spans="1:13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</row>
    <row r="218" spans="1:13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</row>
    <row r="219" spans="1:13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</row>
    <row r="220" spans="1:13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</row>
    <row r="221" spans="1:13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</row>
    <row r="222" spans="1:13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</row>
    <row r="223" spans="1:13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</row>
    <row r="224" spans="1:13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</row>
    <row r="225" spans="1:13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</row>
    <row r="226" spans="1:13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</row>
    <row r="227" spans="1:13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</row>
    <row r="228" spans="1:13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</row>
    <row r="229" spans="1:13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</row>
    <row r="230" spans="1:13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</row>
    <row r="231" spans="1:13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</row>
    <row r="232" spans="1:13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</row>
    <row r="233" spans="1:13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</row>
    <row r="234" spans="1:13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</row>
    <row r="235" spans="1:13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</row>
    <row r="236" spans="1:13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</row>
    <row r="237" spans="1:13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</row>
    <row r="238" spans="1:13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</row>
    <row r="239" spans="1:13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</row>
    <row r="240" spans="1:13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</row>
    <row r="241" spans="1:13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</row>
    <row r="242" spans="1:13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</row>
    <row r="243" spans="1:13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</row>
    <row r="244" spans="1:13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</row>
    <row r="245" spans="1:13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</row>
    <row r="246" spans="1:13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</row>
    <row r="247" spans="1:13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</row>
    <row r="248" spans="1:13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</row>
    <row r="249" spans="1:13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</row>
    <row r="250" spans="1:13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</row>
    <row r="251" spans="1:13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</row>
    <row r="252" spans="1:13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</row>
    <row r="254" spans="1:13" x14ac:dyDescent="0.25"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</row>
    <row r="255" spans="1:13" x14ac:dyDescent="0.25">
      <c r="A255" t="s">
        <v>18</v>
      </c>
      <c r="B255">
        <f>MAX(historia6[A])</f>
        <v>50.9</v>
      </c>
      <c r="C255">
        <f>MAX(historia6[B])</f>
        <v>51.62</v>
      </c>
      <c r="D255">
        <f>MAX(historia6[C])</f>
        <v>53.12</v>
      </c>
      <c r="E255">
        <f>MAX(historia6[D])</f>
        <v>58.66</v>
      </c>
      <c r="F255">
        <f>MAX(historia6[E])</f>
        <v>58.96</v>
      </c>
      <c r="G255">
        <f>MAX(historia6[F])</f>
        <v>59.26</v>
      </c>
      <c r="H255">
        <f>MAX(historia6[G])</f>
        <v>48.15</v>
      </c>
      <c r="I255">
        <f>MAX(historia6[H])</f>
        <v>48.17</v>
      </c>
      <c r="J255">
        <f>MAX(historia6[I])</f>
        <v>48.19</v>
      </c>
      <c r="K255">
        <f>MAX(historia6[J])</f>
        <v>50.23</v>
      </c>
      <c r="L255">
        <f>MAX(historia6[K])</f>
        <v>50.23</v>
      </c>
      <c r="M255">
        <f>MAX(historia6[L])</f>
        <v>50.23</v>
      </c>
    </row>
    <row r="256" spans="1:13" x14ac:dyDescent="0.25">
      <c r="A256" t="s">
        <v>19</v>
      </c>
      <c r="B256">
        <f>MIN(historia6[[#All],[A]])</f>
        <v>20.82</v>
      </c>
      <c r="C256">
        <f>MIN(historia6[[#All],[B]])</f>
        <v>21.21</v>
      </c>
      <c r="D256">
        <f>MIN(historia6[[#All],[C]])</f>
        <v>21.92</v>
      </c>
      <c r="E256">
        <f>MIN(historia6[[#All],[D]])</f>
        <v>18.760000000000002</v>
      </c>
      <c r="F256">
        <f>MIN(historia6[[#All],[E]])</f>
        <v>18.940000000000001</v>
      </c>
      <c r="G256">
        <f>MIN(historia6[[#All],[F]])</f>
        <v>19.12</v>
      </c>
      <c r="H256">
        <f>MIN(historia6[[#All],[G]])</f>
        <v>16.04</v>
      </c>
      <c r="I256">
        <f>MIN(historia6[[#All],[H]])</f>
        <v>16.079999999999998</v>
      </c>
      <c r="J256">
        <f>MIN(historia6[[#All],[I]])</f>
        <v>16.12</v>
      </c>
      <c r="K256">
        <f>MIN(historia6[[#All],[J]])</f>
        <v>20.329999999999998</v>
      </c>
      <c r="L256">
        <f>MIN(historia6[[#All],[K]])</f>
        <v>20.41</v>
      </c>
      <c r="M256">
        <f>MIN(historia6[[#All],[L]])</f>
        <v>20.5</v>
      </c>
    </row>
    <row r="258" spans="1:3" x14ac:dyDescent="0.25">
      <c r="A258" s="3" cm="1">
        <f t="array" ref="A258:C270">TRANSPOSE(A254:M256)</f>
        <v>0</v>
      </c>
      <c r="B258" s="3" t="str">
        <v>NAJWIĘKSZA</v>
      </c>
      <c r="C258" s="3" t="str">
        <v>NAJMNIEJSZA</v>
      </c>
    </row>
    <row r="259" spans="1:3" x14ac:dyDescent="0.25">
      <c r="A259" s="3" t="str">
        <v>A</v>
      </c>
      <c r="B259" s="3">
        <v>50.9</v>
      </c>
      <c r="C259" s="3">
        <v>20.82</v>
      </c>
    </row>
    <row r="260" spans="1:3" x14ac:dyDescent="0.25">
      <c r="A260" s="3" t="str">
        <v>B</v>
      </c>
      <c r="B260" s="3">
        <v>51.62</v>
      </c>
      <c r="C260" s="3">
        <v>21.21</v>
      </c>
    </row>
    <row r="261" spans="1:3" x14ac:dyDescent="0.25">
      <c r="A261" s="3" t="str">
        <v>C</v>
      </c>
      <c r="B261" s="3">
        <v>53.12</v>
      </c>
      <c r="C261" s="3">
        <v>21.92</v>
      </c>
    </row>
    <row r="262" spans="1:3" x14ac:dyDescent="0.25">
      <c r="A262" s="3" t="str">
        <v>D</v>
      </c>
      <c r="B262" s="3">
        <v>58.66</v>
      </c>
      <c r="C262" s="3">
        <v>18.760000000000002</v>
      </c>
    </row>
    <row r="263" spans="1:3" x14ac:dyDescent="0.25">
      <c r="A263" s="3" t="str">
        <v>E</v>
      </c>
      <c r="B263" s="3">
        <v>58.96</v>
      </c>
      <c r="C263" s="3">
        <v>18.940000000000001</v>
      </c>
    </row>
    <row r="264" spans="1:3" x14ac:dyDescent="0.25">
      <c r="A264" s="3" t="str">
        <v>F</v>
      </c>
      <c r="B264" s="3">
        <v>59.26</v>
      </c>
      <c r="C264" s="3">
        <v>19.12</v>
      </c>
    </row>
    <row r="265" spans="1:3" x14ac:dyDescent="0.25">
      <c r="A265" s="3" t="str">
        <v>G</v>
      </c>
      <c r="B265" s="3">
        <v>48.15</v>
      </c>
      <c r="C265" s="3">
        <v>16.04</v>
      </c>
    </row>
    <row r="266" spans="1:3" x14ac:dyDescent="0.25">
      <c r="A266" s="3" t="str">
        <v>H</v>
      </c>
      <c r="B266" s="3">
        <v>48.17</v>
      </c>
      <c r="C266" s="3">
        <v>16.079999999999998</v>
      </c>
    </row>
    <row r="267" spans="1:3" x14ac:dyDescent="0.25">
      <c r="A267" s="3" t="str">
        <v>I</v>
      </c>
      <c r="B267" s="3">
        <v>48.19</v>
      </c>
      <c r="C267" s="3">
        <v>16.12</v>
      </c>
    </row>
    <row r="268" spans="1:3" x14ac:dyDescent="0.25">
      <c r="A268" s="3" t="str">
        <v>J</v>
      </c>
      <c r="B268" s="3">
        <v>50.23</v>
      </c>
      <c r="C268" s="3">
        <v>20.329999999999998</v>
      </c>
    </row>
    <row r="269" spans="1:3" x14ac:dyDescent="0.25">
      <c r="A269" s="3" t="str">
        <v>K</v>
      </c>
      <c r="B269" s="3">
        <v>50.23</v>
      </c>
      <c r="C269" s="3">
        <v>20.41</v>
      </c>
    </row>
    <row r="270" spans="1:3" x14ac:dyDescent="0.25">
      <c r="A270" s="3" t="str">
        <v>L</v>
      </c>
      <c r="B270" s="3">
        <v>50.23</v>
      </c>
      <c r="C270" s="3">
        <v>20.5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BBB7-C00E-462F-81C9-E696B03D3588}">
  <dimension ref="A1:P254"/>
  <sheetViews>
    <sheetView tabSelected="1" workbookViewId="0">
      <selection activeCell="O3" sqref="O3"/>
    </sheetView>
  </sheetViews>
  <sheetFormatPr defaultRowHeight="15" x14ac:dyDescent="0.25"/>
  <cols>
    <col min="1" max="1" width="19.5703125" bestFit="1" customWidth="1"/>
    <col min="2" max="9" width="11.140625" bestFit="1" customWidth="1"/>
    <col min="10" max="13" width="12.140625" bestFit="1" customWidth="1"/>
    <col min="15" max="15" width="35.42578125" bestFit="1" customWidth="1"/>
    <col min="16" max="16" width="18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3" t="s">
        <v>20</v>
      </c>
      <c r="P1" s="3" t="s">
        <v>21</v>
      </c>
    </row>
    <row r="2" spans="1:16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  <c r="O2" s="3">
        <f>_xlfn.MODE.SNGL(historia5[[A]:[L]])</f>
        <v>42.98</v>
      </c>
      <c r="P2" s="3">
        <f>SUM(B254:M254)</f>
        <v>8</v>
      </c>
    </row>
    <row r="3" spans="1:16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</row>
    <row r="4" spans="1:16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</row>
    <row r="5" spans="1:16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</row>
    <row r="6" spans="1:16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</row>
    <row r="7" spans="1:16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</row>
    <row r="8" spans="1:16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</row>
    <row r="9" spans="1:16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</row>
    <row r="10" spans="1:16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</row>
    <row r="11" spans="1:16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</row>
    <row r="12" spans="1:16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</row>
    <row r="13" spans="1:16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</row>
    <row r="14" spans="1:16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</row>
    <row r="15" spans="1:16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</row>
    <row r="16" spans="1:16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</row>
    <row r="17" spans="1:13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</row>
    <row r="18" spans="1:13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</row>
    <row r="19" spans="1:13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</row>
    <row r="20" spans="1:13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</row>
    <row r="21" spans="1:13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</row>
    <row r="22" spans="1:13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</row>
    <row r="23" spans="1:13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</row>
    <row r="24" spans="1:13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</row>
    <row r="25" spans="1:13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</row>
    <row r="26" spans="1:13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</row>
    <row r="27" spans="1:13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</row>
    <row r="28" spans="1:13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</row>
    <row r="29" spans="1:13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</row>
    <row r="30" spans="1:13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</row>
    <row r="31" spans="1:13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</row>
    <row r="32" spans="1:13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</row>
    <row r="33" spans="1:13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</row>
    <row r="34" spans="1:13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</row>
    <row r="35" spans="1:13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</row>
    <row r="36" spans="1:13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</row>
    <row r="37" spans="1:13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</row>
    <row r="38" spans="1:13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</row>
    <row r="39" spans="1:13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</row>
    <row r="40" spans="1:13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</row>
    <row r="41" spans="1:13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</row>
    <row r="42" spans="1:13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</row>
    <row r="43" spans="1:13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</row>
    <row r="44" spans="1:13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</row>
    <row r="45" spans="1:13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</row>
    <row r="46" spans="1:13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</row>
    <row r="47" spans="1:13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</row>
    <row r="48" spans="1:13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</row>
    <row r="49" spans="1:13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</row>
    <row r="50" spans="1:13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</row>
    <row r="51" spans="1:13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</row>
    <row r="52" spans="1:13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</row>
    <row r="53" spans="1:13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</row>
    <row r="54" spans="1:13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</row>
    <row r="55" spans="1:13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</row>
    <row r="56" spans="1:13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</row>
    <row r="57" spans="1:13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</row>
    <row r="58" spans="1:13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</row>
    <row r="59" spans="1:13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</row>
    <row r="60" spans="1:13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</row>
    <row r="61" spans="1:13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</row>
    <row r="62" spans="1:13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</row>
    <row r="63" spans="1:13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</row>
    <row r="64" spans="1:13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</row>
    <row r="65" spans="1:13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</row>
    <row r="66" spans="1:13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</row>
    <row r="67" spans="1:13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</row>
    <row r="68" spans="1:13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</row>
    <row r="69" spans="1:13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</row>
    <row r="70" spans="1:13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</row>
    <row r="71" spans="1:13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</row>
    <row r="72" spans="1:13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</row>
    <row r="73" spans="1:13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</row>
    <row r="74" spans="1:13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</row>
    <row r="75" spans="1:13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</row>
    <row r="76" spans="1:13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</row>
    <row r="77" spans="1:13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</row>
    <row r="78" spans="1:13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</row>
    <row r="79" spans="1:13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</row>
    <row r="80" spans="1:13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</row>
    <row r="81" spans="1:13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</row>
    <row r="82" spans="1:13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</row>
    <row r="83" spans="1:13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</row>
    <row r="84" spans="1:13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</row>
    <row r="85" spans="1:13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</row>
    <row r="86" spans="1:13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</row>
    <row r="87" spans="1:13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</row>
    <row r="88" spans="1:13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</row>
    <row r="89" spans="1:13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</row>
    <row r="90" spans="1:13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</row>
    <row r="91" spans="1:13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</row>
    <row r="92" spans="1:13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</row>
    <row r="93" spans="1:13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</row>
    <row r="94" spans="1:13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</row>
    <row r="95" spans="1:13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</row>
    <row r="96" spans="1:13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</row>
    <row r="97" spans="1:13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</row>
    <row r="98" spans="1:13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</row>
    <row r="99" spans="1:13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</row>
    <row r="100" spans="1:13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</row>
    <row r="101" spans="1:13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</row>
    <row r="102" spans="1:13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</row>
    <row r="103" spans="1:13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</row>
    <row r="104" spans="1:13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</row>
    <row r="105" spans="1:13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</row>
    <row r="106" spans="1:13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</row>
    <row r="107" spans="1:13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</row>
    <row r="108" spans="1:13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</row>
    <row r="109" spans="1:13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</row>
    <row r="110" spans="1:13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</row>
    <row r="111" spans="1:13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</row>
    <row r="112" spans="1:13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</row>
    <row r="113" spans="1:13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</row>
    <row r="114" spans="1:13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</row>
    <row r="115" spans="1:13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</row>
    <row r="116" spans="1:13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</row>
    <row r="117" spans="1:13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</row>
    <row r="118" spans="1:13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</row>
    <row r="119" spans="1:13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</row>
    <row r="120" spans="1:13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</row>
    <row r="121" spans="1:13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</row>
    <row r="122" spans="1:13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</row>
    <row r="123" spans="1:13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</row>
    <row r="124" spans="1:13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</row>
    <row r="125" spans="1:13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</row>
    <row r="126" spans="1:13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</row>
    <row r="127" spans="1:13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</row>
    <row r="128" spans="1:13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</row>
    <row r="129" spans="1:13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</row>
    <row r="130" spans="1:13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</row>
    <row r="131" spans="1:13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</row>
    <row r="132" spans="1:13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</row>
    <row r="133" spans="1:13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</row>
    <row r="134" spans="1:13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</row>
    <row r="135" spans="1:13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</row>
    <row r="136" spans="1:13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</row>
    <row r="137" spans="1:13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</row>
    <row r="138" spans="1:13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</row>
    <row r="139" spans="1:13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</row>
    <row r="140" spans="1:13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</row>
    <row r="141" spans="1:13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</row>
    <row r="142" spans="1:13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</row>
    <row r="143" spans="1:13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</row>
    <row r="144" spans="1:13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</row>
    <row r="145" spans="1:13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</row>
    <row r="146" spans="1:13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</row>
    <row r="147" spans="1:13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</row>
    <row r="148" spans="1:13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</row>
    <row r="149" spans="1:13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</row>
    <row r="150" spans="1:13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</row>
    <row r="151" spans="1:13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</row>
    <row r="152" spans="1:13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</row>
    <row r="153" spans="1:13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</row>
    <row r="154" spans="1:13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</row>
    <row r="155" spans="1:13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</row>
    <row r="156" spans="1:13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</row>
    <row r="157" spans="1:13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</row>
    <row r="158" spans="1:13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</row>
    <row r="159" spans="1:13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</row>
    <row r="160" spans="1:13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</row>
    <row r="161" spans="1:13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</row>
    <row r="162" spans="1:13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</row>
    <row r="163" spans="1:13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</row>
    <row r="164" spans="1:13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</row>
    <row r="165" spans="1:13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</row>
    <row r="166" spans="1:13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</row>
    <row r="167" spans="1:13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</row>
    <row r="168" spans="1:13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</row>
    <row r="169" spans="1:13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</row>
    <row r="170" spans="1:13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</row>
    <row r="171" spans="1:13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</row>
    <row r="172" spans="1:13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</row>
    <row r="173" spans="1:13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</row>
    <row r="174" spans="1:13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</row>
    <row r="175" spans="1:13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</row>
    <row r="176" spans="1:13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</row>
    <row r="177" spans="1:13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</row>
    <row r="178" spans="1:13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</row>
    <row r="179" spans="1:13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</row>
    <row r="180" spans="1:13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</row>
    <row r="181" spans="1:13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</row>
    <row r="182" spans="1:13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</row>
    <row r="183" spans="1:13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</row>
    <row r="184" spans="1:13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</row>
    <row r="185" spans="1:13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</row>
    <row r="186" spans="1:13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</row>
    <row r="187" spans="1:13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</row>
    <row r="188" spans="1:13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</row>
    <row r="189" spans="1:13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</row>
    <row r="190" spans="1:13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</row>
    <row r="191" spans="1:13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</row>
    <row r="192" spans="1:13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</row>
    <row r="193" spans="1:13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</row>
    <row r="194" spans="1:13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</row>
    <row r="195" spans="1:13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</row>
    <row r="196" spans="1:13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</row>
    <row r="197" spans="1:13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</row>
    <row r="198" spans="1:13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</row>
    <row r="199" spans="1:13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</row>
    <row r="200" spans="1:13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</row>
    <row r="201" spans="1:13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</row>
    <row r="202" spans="1:13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</row>
    <row r="203" spans="1:13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</row>
    <row r="204" spans="1:13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</row>
    <row r="205" spans="1:13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</row>
    <row r="206" spans="1:13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</row>
    <row r="207" spans="1:13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</row>
    <row r="208" spans="1:13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</row>
    <row r="209" spans="1:13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</row>
    <row r="210" spans="1:13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</row>
    <row r="211" spans="1:13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</row>
    <row r="212" spans="1:13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</row>
    <row r="213" spans="1:13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</row>
    <row r="214" spans="1:13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</row>
    <row r="215" spans="1:13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</row>
    <row r="216" spans="1:13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</row>
    <row r="217" spans="1:13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</row>
    <row r="218" spans="1:13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</row>
    <row r="219" spans="1:13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</row>
    <row r="220" spans="1:13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</row>
    <row r="221" spans="1:13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</row>
    <row r="222" spans="1:13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</row>
    <row r="223" spans="1:13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</row>
    <row r="224" spans="1:13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</row>
    <row r="225" spans="1:13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</row>
    <row r="226" spans="1:13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</row>
    <row r="227" spans="1:13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</row>
    <row r="228" spans="1:13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</row>
    <row r="229" spans="1:13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</row>
    <row r="230" spans="1:13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</row>
    <row r="231" spans="1:13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</row>
    <row r="232" spans="1:13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</row>
    <row r="233" spans="1:13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</row>
    <row r="234" spans="1:13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</row>
    <row r="235" spans="1:13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</row>
    <row r="236" spans="1:13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</row>
    <row r="237" spans="1:13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</row>
    <row r="238" spans="1:13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</row>
    <row r="239" spans="1:13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</row>
    <row r="240" spans="1:13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</row>
    <row r="241" spans="1:13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</row>
    <row r="242" spans="1:13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</row>
    <row r="243" spans="1:13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</row>
    <row r="244" spans="1:13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</row>
    <row r="245" spans="1:13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</row>
    <row r="246" spans="1:13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</row>
    <row r="247" spans="1:13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</row>
    <row r="248" spans="1:13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</row>
    <row r="249" spans="1:13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</row>
    <row r="250" spans="1:13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</row>
    <row r="251" spans="1:13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</row>
    <row r="252" spans="1:13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</row>
    <row r="254" spans="1:13" x14ac:dyDescent="0.25">
      <c r="A254" t="s">
        <v>22</v>
      </c>
      <c r="B254">
        <f>SUMIF(historia5[[#All],[A]],"=42,98")/42.98</f>
        <v>2</v>
      </c>
      <c r="C254">
        <f>SUMIF(historia5[[#All],[B]],"=42,98")/42.98</f>
        <v>1</v>
      </c>
      <c r="D254">
        <f>SUMIF(historia5[[#All],[C]],"=42,98")/42.98</f>
        <v>0</v>
      </c>
      <c r="E254">
        <f>SUMIF(historia5[[#All],[D]],"=42,98")/42.98</f>
        <v>1</v>
      </c>
      <c r="F254">
        <f>SUMIF(historia5[[#All],[E]],"=42,98")/42.98</f>
        <v>0</v>
      </c>
      <c r="G254">
        <f>SUMIF(historia5[[#All],[F]],"=42,98")/42.98</f>
        <v>0</v>
      </c>
      <c r="H254">
        <f>SUMIF(historia5[[#All],[G]],"=42,98")/42.98</f>
        <v>0</v>
      </c>
      <c r="I254">
        <f>SUMIF(historia5[[#All],[H]],"=42,98")/42.98</f>
        <v>1</v>
      </c>
      <c r="J254">
        <f>SUMIF(historia5[[#All],[I]],"=42,98")/42.98</f>
        <v>1</v>
      </c>
      <c r="K254">
        <f>SUMIF(historia5[[#All],[J]],"=42,98")/42.98</f>
        <v>0</v>
      </c>
      <c r="L254">
        <f>SUMIF(historia5[[#All],[K]],"=42,98")/42.98</f>
        <v>1</v>
      </c>
      <c r="M254">
        <f>SUMIF(historia5[[#All],[L]],"=42,98")/42.98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2351-7DC2-4D7F-859F-47ECF6B42BE5}">
  <dimension ref="A1:M252"/>
  <sheetViews>
    <sheetView workbookViewId="0">
      <selection activeCell="O1" sqref="O1"/>
    </sheetView>
  </sheetViews>
  <sheetFormatPr defaultRowHeight="15" x14ac:dyDescent="0.25"/>
  <cols>
    <col min="1" max="9" width="11.140625" bestFit="1" customWidth="1"/>
    <col min="10" max="13" width="1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</row>
    <row r="3" spans="1:13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</row>
    <row r="4" spans="1:13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</row>
    <row r="5" spans="1:13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</row>
    <row r="6" spans="1:13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</row>
    <row r="7" spans="1:13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</row>
    <row r="8" spans="1:13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</row>
    <row r="9" spans="1:13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</row>
    <row r="10" spans="1:13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</row>
    <row r="11" spans="1:13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</row>
    <row r="12" spans="1:13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</row>
    <row r="13" spans="1:13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</row>
    <row r="14" spans="1:13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</row>
    <row r="15" spans="1:13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</row>
    <row r="16" spans="1:13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</row>
    <row r="17" spans="1:13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</row>
    <row r="18" spans="1:13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</row>
    <row r="19" spans="1:13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</row>
    <row r="20" spans="1:13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</row>
    <row r="21" spans="1:13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</row>
    <row r="22" spans="1:13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</row>
    <row r="23" spans="1:13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</row>
    <row r="24" spans="1:13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</row>
    <row r="25" spans="1:13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</row>
    <row r="26" spans="1:13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</row>
    <row r="27" spans="1:13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</row>
    <row r="28" spans="1:13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</row>
    <row r="29" spans="1:13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</row>
    <row r="30" spans="1:13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</row>
    <row r="31" spans="1:13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</row>
    <row r="32" spans="1:13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</row>
    <row r="33" spans="1:13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</row>
    <row r="34" spans="1:13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</row>
    <row r="35" spans="1:13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</row>
    <row r="36" spans="1:13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</row>
    <row r="37" spans="1:13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</row>
    <row r="38" spans="1:13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</row>
    <row r="39" spans="1:13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</row>
    <row r="40" spans="1:13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</row>
    <row r="41" spans="1:13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</row>
    <row r="42" spans="1:13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</row>
    <row r="43" spans="1:13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</row>
    <row r="44" spans="1:13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</row>
    <row r="45" spans="1:13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</row>
    <row r="46" spans="1:13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</row>
    <row r="47" spans="1:13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</row>
    <row r="48" spans="1:13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</row>
    <row r="49" spans="1:13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</row>
    <row r="50" spans="1:13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</row>
    <row r="51" spans="1:13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</row>
    <row r="52" spans="1:13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</row>
    <row r="53" spans="1:13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</row>
    <row r="54" spans="1:13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</row>
    <row r="55" spans="1:13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</row>
    <row r="56" spans="1:13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</row>
    <row r="57" spans="1:13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</row>
    <row r="58" spans="1:13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</row>
    <row r="59" spans="1:13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</row>
    <row r="60" spans="1:13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</row>
    <row r="61" spans="1:13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</row>
    <row r="62" spans="1:13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</row>
    <row r="63" spans="1:13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</row>
    <row r="64" spans="1:13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</row>
    <row r="65" spans="1:13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</row>
    <row r="66" spans="1:13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</row>
    <row r="67" spans="1:13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</row>
    <row r="68" spans="1:13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</row>
    <row r="69" spans="1:13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</row>
    <row r="70" spans="1:13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</row>
    <row r="71" spans="1:13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</row>
    <row r="72" spans="1:13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</row>
    <row r="73" spans="1:13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</row>
    <row r="74" spans="1:13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</row>
    <row r="75" spans="1:13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</row>
    <row r="76" spans="1:13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</row>
    <row r="77" spans="1:13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</row>
    <row r="78" spans="1:13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</row>
    <row r="79" spans="1:13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</row>
    <row r="80" spans="1:13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</row>
    <row r="81" spans="1:13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</row>
    <row r="82" spans="1:13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</row>
    <row r="83" spans="1:13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</row>
    <row r="84" spans="1:13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</row>
    <row r="85" spans="1:13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</row>
    <row r="86" spans="1:13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</row>
    <row r="87" spans="1:13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</row>
    <row r="88" spans="1:13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</row>
    <row r="89" spans="1:13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</row>
    <row r="90" spans="1:13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</row>
    <row r="91" spans="1:13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</row>
    <row r="92" spans="1:13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</row>
    <row r="93" spans="1:13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</row>
    <row r="94" spans="1:13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</row>
    <row r="95" spans="1:13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</row>
    <row r="96" spans="1:13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</row>
    <row r="97" spans="1:13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</row>
    <row r="98" spans="1:13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</row>
    <row r="99" spans="1:13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</row>
    <row r="100" spans="1:13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</row>
    <row r="101" spans="1:13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</row>
    <row r="102" spans="1:13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</row>
    <row r="103" spans="1:13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</row>
    <row r="104" spans="1:13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</row>
    <row r="105" spans="1:13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</row>
    <row r="106" spans="1:13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</row>
    <row r="107" spans="1:13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</row>
    <row r="108" spans="1:13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</row>
    <row r="109" spans="1:13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</row>
    <row r="110" spans="1:13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</row>
    <row r="111" spans="1:13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</row>
    <row r="112" spans="1:13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</row>
    <row r="113" spans="1:13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</row>
    <row r="114" spans="1:13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</row>
    <row r="115" spans="1:13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</row>
    <row r="116" spans="1:13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</row>
    <row r="117" spans="1:13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</row>
    <row r="118" spans="1:13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</row>
    <row r="119" spans="1:13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</row>
    <row r="120" spans="1:13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</row>
    <row r="121" spans="1:13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</row>
    <row r="122" spans="1:13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</row>
    <row r="123" spans="1:13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</row>
    <row r="124" spans="1:13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</row>
    <row r="125" spans="1:13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</row>
    <row r="126" spans="1:13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</row>
    <row r="127" spans="1:13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</row>
    <row r="128" spans="1:13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</row>
    <row r="129" spans="1:13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</row>
    <row r="130" spans="1:13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</row>
    <row r="131" spans="1:13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</row>
    <row r="132" spans="1:13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</row>
    <row r="133" spans="1:13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</row>
    <row r="134" spans="1:13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</row>
    <row r="135" spans="1:13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</row>
    <row r="136" spans="1:13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</row>
    <row r="137" spans="1:13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</row>
    <row r="138" spans="1:13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</row>
    <row r="139" spans="1:13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</row>
    <row r="140" spans="1:13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</row>
    <row r="141" spans="1:13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</row>
    <row r="142" spans="1:13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</row>
    <row r="143" spans="1:13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</row>
    <row r="144" spans="1:13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</row>
    <row r="145" spans="1:13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</row>
    <row r="146" spans="1:13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</row>
    <row r="147" spans="1:13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</row>
    <row r="148" spans="1:13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</row>
    <row r="149" spans="1:13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</row>
    <row r="150" spans="1:13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</row>
    <row r="151" spans="1:13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</row>
    <row r="152" spans="1:13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</row>
    <row r="153" spans="1:13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</row>
    <row r="154" spans="1:13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</row>
    <row r="155" spans="1:13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</row>
    <row r="156" spans="1:13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</row>
    <row r="157" spans="1:13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</row>
    <row r="158" spans="1:13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</row>
    <row r="159" spans="1:13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</row>
    <row r="160" spans="1:13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</row>
    <row r="161" spans="1:13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</row>
    <row r="162" spans="1:13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</row>
    <row r="163" spans="1:13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</row>
    <row r="164" spans="1:13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</row>
    <row r="165" spans="1:13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</row>
    <row r="166" spans="1:13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</row>
    <row r="167" spans="1:13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</row>
    <row r="168" spans="1:13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</row>
    <row r="169" spans="1:13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</row>
    <row r="170" spans="1:13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</row>
    <row r="171" spans="1:13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</row>
    <row r="172" spans="1:13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</row>
    <row r="173" spans="1:13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</row>
    <row r="174" spans="1:13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</row>
    <row r="175" spans="1:13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</row>
    <row r="176" spans="1:13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</row>
    <row r="177" spans="1:13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</row>
    <row r="178" spans="1:13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</row>
    <row r="179" spans="1:13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</row>
    <row r="180" spans="1:13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</row>
    <row r="181" spans="1:13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</row>
    <row r="182" spans="1:13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</row>
    <row r="183" spans="1:13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</row>
    <row r="184" spans="1:13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</row>
    <row r="185" spans="1:13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</row>
    <row r="186" spans="1:13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</row>
    <row r="187" spans="1:13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</row>
    <row r="188" spans="1:13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</row>
    <row r="189" spans="1:13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</row>
    <row r="190" spans="1:13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</row>
    <row r="191" spans="1:13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</row>
    <row r="192" spans="1:13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</row>
    <row r="193" spans="1:13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</row>
    <row r="194" spans="1:13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</row>
    <row r="195" spans="1:13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</row>
    <row r="196" spans="1:13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</row>
    <row r="197" spans="1:13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</row>
    <row r="198" spans="1:13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</row>
    <row r="199" spans="1:13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</row>
    <row r="200" spans="1:13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</row>
    <row r="201" spans="1:13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</row>
    <row r="202" spans="1:13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</row>
    <row r="203" spans="1:13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</row>
    <row r="204" spans="1:13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</row>
    <row r="205" spans="1:13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</row>
    <row r="206" spans="1:13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</row>
    <row r="207" spans="1:13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</row>
    <row r="208" spans="1:13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</row>
    <row r="209" spans="1:13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</row>
    <row r="210" spans="1:13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</row>
    <row r="211" spans="1:13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</row>
    <row r="212" spans="1:13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</row>
    <row r="213" spans="1:13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</row>
    <row r="214" spans="1:13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</row>
    <row r="215" spans="1:13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</row>
    <row r="216" spans="1:13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</row>
    <row r="217" spans="1:13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</row>
    <row r="218" spans="1:13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</row>
    <row r="219" spans="1:13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</row>
    <row r="220" spans="1:13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</row>
    <row r="221" spans="1:13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</row>
    <row r="222" spans="1:13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</row>
    <row r="223" spans="1:13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</row>
    <row r="224" spans="1:13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</row>
    <row r="225" spans="1:13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</row>
    <row r="226" spans="1:13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</row>
    <row r="227" spans="1:13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</row>
    <row r="228" spans="1:13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</row>
    <row r="229" spans="1:13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</row>
    <row r="230" spans="1:13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</row>
    <row r="231" spans="1:13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</row>
    <row r="232" spans="1:13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</row>
    <row r="233" spans="1:13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</row>
    <row r="234" spans="1:13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</row>
    <row r="235" spans="1:13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</row>
    <row r="236" spans="1:13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</row>
    <row r="237" spans="1:13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</row>
    <row r="238" spans="1:13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</row>
    <row r="239" spans="1:13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</row>
    <row r="240" spans="1:13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</row>
    <row r="241" spans="1:13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</row>
    <row r="242" spans="1:13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</row>
    <row r="243" spans="1:13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</row>
    <row r="244" spans="1:13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</row>
    <row r="245" spans="1:13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</row>
    <row r="246" spans="1:13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</row>
    <row r="247" spans="1:13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</row>
    <row r="248" spans="1:13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</row>
    <row r="249" spans="1:13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</row>
    <row r="250" spans="1:13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</row>
    <row r="251" spans="1:13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</row>
    <row r="252" spans="1:13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CFEE94-52C3-4B9F-9AA7-91891C35B1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</vt:lpstr>
      <vt:lpstr>B</vt:lpstr>
      <vt:lpstr>D</vt:lpstr>
      <vt:lpstr>c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Zając</dc:creator>
  <cp:lastModifiedBy>Robert Zając</cp:lastModifiedBy>
  <dcterms:created xsi:type="dcterms:W3CDTF">2025-10-20T15:26:24Z</dcterms:created>
  <dcterms:modified xsi:type="dcterms:W3CDTF">2025-10-23T15:48:05Z</dcterms:modified>
</cp:coreProperties>
</file>